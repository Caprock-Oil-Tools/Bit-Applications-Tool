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336\"/>
    </mc:Choice>
  </mc:AlternateContent>
  <xr:revisionPtr revIDLastSave="0" documentId="8_{089C1700-7B49-4EC2-BA72-1BAC249F1DC3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64" i="1" l="1" a="1"/>
  <c r="AY164" i="1" s="1"/>
  <c r="AV24" i="4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V271" i="1"/>
  <c r="G116" i="1" s="1"/>
  <c r="U271" i="1"/>
  <c r="F116" i="1" s="1"/>
  <c r="T271" i="1"/>
  <c r="E116" i="1" s="1"/>
  <c r="V270" i="1"/>
  <c r="G115" i="1" s="1"/>
  <c r="U270" i="1"/>
  <c r="F115" i="1" s="1"/>
  <c r="T270" i="1"/>
  <c r="E115" i="1" s="1"/>
  <c r="V269" i="1"/>
  <c r="G114" i="1" s="1"/>
  <c r="U269" i="1"/>
  <c r="F114" i="1" s="1"/>
  <c r="T269" i="1"/>
  <c r="E114" i="1" s="1"/>
  <c r="V268" i="1"/>
  <c r="G113" i="1" s="1"/>
  <c r="U268" i="1"/>
  <c r="F113" i="1" s="1"/>
  <c r="T268" i="1"/>
  <c r="E113" i="1" s="1"/>
  <c r="V267" i="1"/>
  <c r="G112" i="1" s="1"/>
  <c r="U267" i="1"/>
  <c r="F112" i="1" s="1"/>
  <c r="T267" i="1"/>
  <c r="E112" i="1" s="1"/>
  <c r="V266" i="1"/>
  <c r="G111" i="1" s="1"/>
  <c r="U266" i="1"/>
  <c r="F111" i="1" s="1"/>
  <c r="T266" i="1"/>
  <c r="E111" i="1" s="1"/>
  <c r="V265" i="1"/>
  <c r="G110" i="1" s="1"/>
  <c r="U265" i="1"/>
  <c r="F110" i="1" s="1"/>
  <c r="T265" i="1"/>
  <c r="E110" i="1" s="1"/>
  <c r="V264" i="1"/>
  <c r="G109" i="1" s="1"/>
  <c r="U264" i="1"/>
  <c r="F109" i="1" s="1"/>
  <c r="T264" i="1"/>
  <c r="E109" i="1" s="1"/>
  <c r="V263" i="1"/>
  <c r="G108" i="1" s="1"/>
  <c r="U263" i="1"/>
  <c r="F108" i="1" s="1"/>
  <c r="T263" i="1"/>
  <c r="E108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Z271" i="1"/>
  <c r="K116" i="1" s="1"/>
  <c r="A116" i="1" s="1"/>
  <c r="Z270" i="1"/>
  <c r="K115" i="1" s="1"/>
  <c r="A115" i="1" s="1"/>
  <c r="Z269" i="1"/>
  <c r="K114" i="1" s="1"/>
  <c r="A114" i="1" s="1"/>
  <c r="Z268" i="1"/>
  <c r="K113" i="1" s="1"/>
  <c r="A113" i="1" s="1"/>
  <c r="Z267" i="1"/>
  <c r="Z266" i="1"/>
  <c r="K111" i="1" s="1"/>
  <c r="A111" i="1" s="1"/>
  <c r="Z265" i="1"/>
  <c r="K110" i="1" s="1"/>
  <c r="A110" i="1" s="1"/>
  <c r="Z264" i="1"/>
  <c r="K109" i="1" s="1"/>
  <c r="A109" i="1" s="1"/>
  <c r="Z263" i="1"/>
  <c r="K108" i="1" s="1"/>
  <c r="A108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X271" i="1"/>
  <c r="I116" i="1" s="1"/>
  <c r="S271" i="1"/>
  <c r="R271" i="1"/>
  <c r="Q271" i="1"/>
  <c r="X270" i="1"/>
  <c r="I115" i="1" s="1"/>
  <c r="S270" i="1"/>
  <c r="R270" i="1"/>
  <c r="Q270" i="1"/>
  <c r="X269" i="1"/>
  <c r="I114" i="1" s="1"/>
  <c r="S269" i="1"/>
  <c r="R269" i="1"/>
  <c r="Q269" i="1"/>
  <c r="X268" i="1"/>
  <c r="I113" i="1" s="1"/>
  <c r="S268" i="1"/>
  <c r="R268" i="1"/>
  <c r="Q268" i="1"/>
  <c r="X267" i="1"/>
  <c r="I112" i="1" s="1"/>
  <c r="S267" i="1"/>
  <c r="R267" i="1"/>
  <c r="Q267" i="1"/>
  <c r="X266" i="1"/>
  <c r="I111" i="1" s="1"/>
  <c r="S266" i="1"/>
  <c r="R266" i="1"/>
  <c r="Q266" i="1"/>
  <c r="X265" i="1"/>
  <c r="I110" i="1" s="1"/>
  <c r="S265" i="1"/>
  <c r="R265" i="1"/>
  <c r="Q265" i="1"/>
  <c r="X264" i="1"/>
  <c r="I109" i="1" s="1"/>
  <c r="S264" i="1"/>
  <c r="R264" i="1"/>
  <c r="Q264" i="1"/>
  <c r="X263" i="1"/>
  <c r="I108" i="1" s="1"/>
  <c r="S263" i="1"/>
  <c r="R263" i="1"/>
  <c r="Q263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B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69" i="1"/>
  <c r="H114" i="1" s="1"/>
  <c r="W277" i="1"/>
  <c r="H122" i="1" s="1"/>
  <c r="W285" i="1"/>
  <c r="H130" i="1" s="1"/>
  <c r="W293" i="1"/>
  <c r="H138" i="1" s="1"/>
  <c r="W301" i="1"/>
  <c r="H146" i="1" s="1"/>
  <c r="W270" i="1"/>
  <c r="H115" i="1" s="1"/>
  <c r="W278" i="1"/>
  <c r="H123" i="1" s="1"/>
  <c r="W286" i="1"/>
  <c r="H131" i="1" s="1"/>
  <c r="W294" i="1"/>
  <c r="H139" i="1" s="1"/>
  <c r="W302" i="1"/>
  <c r="H147" i="1" s="1"/>
  <c r="W263" i="1"/>
  <c r="H108" i="1" s="1"/>
  <c r="W271" i="1"/>
  <c r="H116" i="1" s="1"/>
  <c r="W279" i="1"/>
  <c r="H124" i="1" s="1"/>
  <c r="W287" i="1"/>
  <c r="H132" i="1" s="1"/>
  <c r="W295" i="1"/>
  <c r="H140" i="1" s="1"/>
  <c r="W303" i="1"/>
  <c r="H148" i="1" s="1"/>
  <c r="W264" i="1"/>
  <c r="H109" i="1" s="1"/>
  <c r="W272" i="1"/>
  <c r="H117" i="1" s="1"/>
  <c r="W280" i="1"/>
  <c r="H125" i="1" s="1"/>
  <c r="W296" i="1"/>
  <c r="H141" i="1" s="1"/>
  <c r="W304" i="1"/>
  <c r="H149" i="1" s="1"/>
  <c r="W265" i="1"/>
  <c r="H110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AJ164" i="1" l="1" a="1"/>
  <c r="AJ164" i="1" s="1"/>
  <c r="D64" i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F164" i="1" a="1"/>
  <c r="AF164" i="1" s="1"/>
  <c r="AH164" i="1" a="1"/>
  <c r="AH164" i="1" s="1"/>
  <c r="D9" i="1"/>
  <c r="C9" i="1"/>
  <c r="AQ34" i="4"/>
  <c r="AI34" i="4"/>
  <c r="AU34" i="4"/>
  <c r="AW34" i="4" s="1"/>
  <c r="AK164" i="1" l="1" a="1"/>
  <c r="AK164" i="1" s="1"/>
  <c r="AW164" i="1" a="1"/>
  <c r="AW164" i="1" s="1"/>
  <c r="AR164" i="1" a="1"/>
  <c r="AR164" i="1" s="1"/>
  <c r="AG164" i="1" a="1"/>
  <c r="AG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V164" i="1" a="1"/>
  <c r="AV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164" i="1" l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164" i="1" s="1" a="1"/>
  <c r="AP164" i="1" s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AX164" i="1" l="1" a="1"/>
  <c r="AX164" i="1" s="1"/>
  <c r="AO164" i="1" s="1" a="1"/>
  <c r="AO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AN164" i="1" s="1" a="1"/>
  <c r="AN164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<sst xmlns="http://schemas.openxmlformats.org/spreadsheetml/2006/main" count="876" uniqueCount="424">
  <si>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</si>
  <si>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</si>
  <si>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</si>
  <si>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</si>
  <si>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</si>
  <si>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</si>
  <si>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</si>
  <si>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</si>
  <si>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</si>
  <si>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</si>
  <si>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</si>
  <si>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</si>
  <si>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</si>
  <si>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</si>
  <si>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</si>
  <si>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</si>
  <si>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</si>
  <si>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</si>
  <si>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</si>
  <si>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</si>
  <si>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</si>
  <si>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</si>
  <si>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</si>
  <si>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</si>
  <si>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</si>
  <si>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</si>
  <si>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</si>
  <si>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</si>
  <si>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</si>
  <si>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</si>
  <si>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</si>
  <si>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</si>
  <si>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</si>
  <si>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</si>
  <si>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</si>
  <si>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</si>
  <si>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</si>
  <si>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</si>
  <si>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</si>
  <si>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</si>
  <si>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</si>
  <si>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</si>
  <si>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</si>
  <si>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</si>
  <si>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</si>
  <si>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</si>
  <si>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</si>
  <si>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</si>
  <si>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</si>
  <si>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</si>
  <si>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</si>
  <si>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</si>
  <si>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</si>
  <si>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</si>
  <si>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</si>
  <si>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</si>
  <si>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</si>
  <si>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</si>
  <si>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</si>
  <si>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</si>
  <si>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</si>
  <si>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</si>
  <si>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</si>
  <si>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</si>
  <si>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</si>
  <si>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</si>
  <si>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</si>
  <si>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</si>
  <si>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</si>
  <si>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</si>
  <si>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</si>
  <si>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</si>
  <si>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</si>
  <si>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</si>
  <si>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</si>
  <si>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</si>
  <si>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</si>
  <si>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</si>
  <si>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</si>
  <si>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</si>
  <si>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</si>
  <si>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</si>
  <si>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</si>
  <si>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</si>
  <si>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</si>
  <si>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</si>
  <si>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</si>
  <si>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</si>
  <si>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</si>
  <si>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</si>
  <si>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</si>
  <si>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</si>
  <si>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</si>
  <si>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</si>
  <si>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</si>
  <si>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</si>
  <si>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</si>
  <si>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</si>
  <si>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</si>
  <si>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</si>
  <si>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</si>
  <si>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</si>
  <si>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</si>
  <si>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</si>
  <si>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</si>
  <si>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</si>
  <si>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</si>
  <si>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</si>
  <si>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</si>
  <si>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</si>
  <si>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</si>
  <si>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</si>
  <si>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</si>
  <si>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</si>
  <si>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</si>
  <si>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</si>
  <si>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</si>
  <si>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</si>
  <si>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</si>
  <si>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</si>
  <si>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</si>
  <si>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</si>
  <si>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</si>
  <si>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</si>
  <si>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</si>
  <si>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</si>
  <si>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</si>
  <si>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</si>
  <si>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</si>
  <si>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</si>
  <si>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</si>
  <si>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</si>
  <si>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</si>
  <si>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</si>
  <si>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</si>
  <si>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</si>
  <si>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</si>
  <si>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</si>
  <si>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</si>
  <si>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</si>
  <si>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</si>
  <si>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</si>
  <si>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</si>
  <si>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</si>
  <si>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</si>
  <si>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</si>
  <si>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</si>
  <si>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</si>
  <si>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</si>
  <si>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</si>
  <si>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</si>
  <si>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</si>
  <si>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</si>
  <si>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</si>
  <si>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</si>
  <si>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</si>
  <si>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</si>
  <si>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</si>
  <si>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</si>
  <si>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</si>
  <si>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</si>
  <si>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</si>
  <si>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</si>
  <si>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</si>
  <si>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</si>
  <si>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</si>
  <si>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</si>
  <si>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</si>
  <si>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</si>
  <si>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</si>
  <si>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</si>
  <si>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</si>
  <si>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</si>
  <si>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</si>
  <si>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</si>
  <si>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</si>
  <si>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</si>
  <si>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</si>
  <si>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</si>
  <si>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</si>
  <si>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</si>
  <si>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</si>
  <si>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</si>
  <si>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</si>
  <si>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</si>
  <si>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</si>
  <si>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</si>
  <si>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</si>
  <si>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</si>
  <si>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</si>
  <si>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</si>
  <si>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</si>
  <si>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</si>
  <si>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</si>
  <si>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</si>
  <si>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</si>
  <si>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</si>
  <si>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</si>
  <si>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</si>
  <si>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</si>
  <si>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</si>
  <si>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</si>
  <si>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</si>
  <si>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</si>
  <si>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</si>
  <si>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</si>
  <si>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</si>
  <si>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</si>
  <si>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</si>
  <si>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</si>
  <si>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</si>
  <si>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</si>
  <si>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</si>
  <si>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</si>
  <si>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</si>
  <si>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</si>
  <si>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</si>
  <si>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</si>
  <si>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</si>
  <si>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</si>
  <si>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</si>
  <si>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</si>
  <si>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</si>
  <si>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</si>
  <si>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</si>
  <si>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</si>
  <si>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</si>
  <si>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</si>
  <si>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</si>
  <si>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</si>
  <si>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</si>
  <si>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</si>
  <si>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</si>
  <si>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</si>
  <si>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</si>
  <si>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</si>
  <si>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</si>
  <si>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</si>
  <si>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</si>
  <si>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</si>
  <si>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</si>
  <si>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</si>
  <si>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</si>
  <si>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</si>
  <si>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</si>
  <si>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</si>
  <si>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</si>
  <si>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</si>
  <si>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</si>
  <si>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</si>
  <si>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</si>
  <si>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</si>
  <si>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</si>
  <si>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</si>
  <si>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</si>
  <si>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</si>
  <si>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</si>
  <si>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</si>
  <si>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</si>
  <si>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</si>
  <si>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</si>
  <si>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</si>
  <si>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</si>
  <si>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</si>
  <si>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</si>
  <si>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</si>
  <si>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</si>
  <si>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</si>
  <si>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</si>
  <si>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</si>
  <si>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</si>
  <si>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</si>
  <si>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</si>
  <si>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</si>
  <si>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</si>
  <si>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</si>
  <si>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</si>
  <si>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</si>
  <si>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</si>
  <si>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</si>
  <si>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</si>
  <si>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</si>
  <si>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</si>
  <si>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</si>
  <si>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</si>
  <si>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</si>
  <si>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</si>
  <si>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</si>
  <si>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</si>
  <si>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</si>
  <si>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</si>
  <si>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</si>
  <si>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</si>
  <si>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</si>
  <si>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</si>
  <si>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</si>
  <si>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</si>
  <si>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</si>
  <si>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</si>
  <si>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</si>
  <si>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</si>
  <si>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</si>
  <si>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</si>
  <si>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</si>
  <si>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</si>
  <si>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</si>
  <si>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</si>
  <si>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</si>
  <si>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</si>
  <si>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</si>
  <si>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</si>
  <si>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</si>
  <si>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</si>
  <si>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</si>
  <si>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</si>
  <si>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</si>
  <si>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</si>
  <si>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</si>
  <si>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</si>
  <si>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</si>
  <si>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</si>
  <si>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</si>
  <si>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</si>
  <si>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</si>
  <si>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</si>
  <si>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</si>
  <si>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</si>
  <si>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</si>
  <si>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</si>
  <si>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</si>
  <si>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</si>
  <si>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</si>
  <si>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</si>
  <si>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</si>
  <si>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</si>
  <si>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</si>
  <si>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</si>
  <si>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</si>
  <si>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</si>
  <si>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</si>
  <si>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</si>
  <si>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</si>
  <si>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</si>
  <si>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</si>
  <si>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</si>
  <si>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</si>
  <si>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</si>
  <si>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</si>
  <si>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</si>
  <si>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</si>
  <si>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</si>
  <si>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</si>
  <si>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</si>
  <si>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</si>
  <si>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</si>
  <si>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</si>
  <si>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</si>
  <si>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</si>
  <si>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</si>
  <si>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</si>
  <si>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</si>
  <si>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</si>
  <si>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</si>
  <si>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</si>
  <si>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</si>
  <si>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</si>
  <si>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</si>
  <si>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</si>
  <si>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</si>
  <si>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</si>
  <si>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</si>
  <si>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</si>
  <si>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</si>
  <si>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</si>
  <si>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</si>
  <si>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</si>
  <si>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</si>
  <si>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</si>
  <si>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</si>
  <si>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</si>
  <si>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</si>
  <si>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</si>
  <si>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</si>
  <si>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</si>
  <si>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</si>
  <si>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</si>
  <si>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</si>
  <si>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</si>
  <si>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</si>
  <si>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</si>
  <si>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</si>
  <si>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</si>
  <si>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</si>
  <si>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</si>
  <si>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</si>
  <si>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</si>
  <si>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</si>
  <si>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</si>
  <si>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</si>
  <si>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</si>
  <si>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</si>
  <si>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2556r00</t>
  </si>
  <si>
    <t>Perp &lt;</t>
  </si>
  <si>
    <t>CPS-31650-00r1.asm</t>
  </si>
  <si>
    <t>CPS-31654-00(.020)r1.asm</t>
  </si>
  <si>
    <t>CPS-32425r1.par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</si>
  <si>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</si>
  <si>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</si>
  <si>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</si>
  <si>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</si>
  <si>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</si>
  <si>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</si>
  <si>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</si>
  <si>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</si>
  <si>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</si>
  <si>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</si>
  <si>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</si>
  <si>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</si>
  <si>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</si>
  <si>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</si>
  <si>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</si>
  <si>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</si>
  <si>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</si>
  <si>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 Ripper.par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</si>
</sst>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1" xfId="0" applyFill="1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71" t="s">
        <v>77</v>
      </c>
      <c r="D1" s="971"/>
      <c r="E1" s="971"/>
      <c r="F1" s="971"/>
      <c r="G1" s="971"/>
      <c r="H1" s="971"/>
      <c r="I1" s="971"/>
      <c r="J1" s="971"/>
      <c r="K1" s="971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6" t="s">
        <v>80</v>
      </c>
      <c r="B6" s="99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3" t="s">
        <v>370</v>
      </c>
      <c r="AQ7" s="993"/>
      <c r="AR7" s="993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6">
        <v>9</v>
      </c>
      <c r="D9" s="990"/>
      <c r="E9" s="990"/>
      <c r="F9" s="990"/>
      <c r="G9" s="990"/>
      <c r="H9" s="990"/>
      <c r="I9" s="990"/>
      <c r="J9" s="990"/>
      <c r="K9" s="987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8"/>
      <c r="C10" s="1009"/>
      <c r="D10" s="1009"/>
      <c r="E10" s="1009"/>
      <c r="F10" s="1009"/>
      <c r="G10" s="100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84"/>
      <c r="B11" s="997" t="s">
        <v>33</v>
      </c>
      <c r="C11" s="1002" t="s">
        <v>34</v>
      </c>
      <c r="D11" s="1002"/>
      <c r="E11" s="1001" t="s">
        <v>39</v>
      </c>
      <c r="F11" s="997" t="s">
        <v>35</v>
      </c>
      <c r="G11" s="997" t="s">
        <v>36</v>
      </c>
      <c r="H11" s="997" t="s">
        <v>43</v>
      </c>
      <c r="I11" s="988" t="s">
        <v>67</v>
      </c>
      <c r="J11" s="1002" t="s">
        <v>56</v>
      </c>
      <c r="K11" s="100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11" t="s">
        <v>338</v>
      </c>
      <c r="AN11" s="990"/>
      <c r="AO11" s="990"/>
      <c r="AP11" s="990"/>
      <c r="AQ11" s="990"/>
      <c r="AR11" s="1012"/>
      <c r="AS11" s="1019" t="s">
        <v>345</v>
      </c>
      <c r="AT11" s="1020"/>
      <c r="AU11" s="1020"/>
      <c r="AV11" s="1021"/>
      <c r="BC11" s="419"/>
    </row>
    <row r="12" spans="1:55" ht="15.75" thickBot="1" x14ac:dyDescent="0.3">
      <c r="A12" s="1003"/>
      <c r="B12" s="998"/>
      <c r="C12" s="48" t="s">
        <v>8</v>
      </c>
      <c r="D12" s="49" t="s">
        <v>10</v>
      </c>
      <c r="E12" s="998"/>
      <c r="F12" s="998"/>
      <c r="G12" s="998"/>
      <c r="H12" s="998"/>
      <c r="I12" s="989"/>
      <c r="J12" s="52" t="s">
        <v>8</v>
      </c>
      <c r="K12" s="53" t="s">
        <v>10</v>
      </c>
      <c r="M12" s="31"/>
      <c r="N12" s="31"/>
      <c r="O12" s="980" t="s">
        <v>46</v>
      </c>
      <c r="P12" s="981"/>
      <c r="Q12" s="999" t="s">
        <v>45</v>
      </c>
      <c r="R12" s="1000"/>
      <c r="S12" s="1000"/>
      <c r="T12" s="1000"/>
      <c r="U12" s="1000"/>
      <c r="V12" s="1000"/>
      <c r="W12" s="1000"/>
      <c r="X12" s="1000"/>
      <c r="Y12" s="1000"/>
      <c r="Z12" s="1000"/>
      <c r="AA12" s="1000"/>
      <c r="AB12" s="1000"/>
      <c r="AC12" s="1000"/>
      <c r="AD12" s="1000"/>
      <c r="AE12" s="986"/>
      <c r="AF12" s="974" t="s">
        <v>56</v>
      </c>
      <c r="AG12" s="975"/>
      <c r="AH12" s="31"/>
      <c r="AK12" s="994" t="s">
        <v>346</v>
      </c>
      <c r="AL12" s="1010"/>
      <c r="AM12" s="1013" t="s">
        <v>343</v>
      </c>
      <c r="AN12" s="1014"/>
      <c r="AO12" s="995"/>
      <c r="AP12" s="994" t="s">
        <v>371</v>
      </c>
      <c r="AQ12" s="995"/>
      <c r="AR12" s="743" t="s">
        <v>369</v>
      </c>
      <c r="AS12" s="1016" t="s">
        <v>343</v>
      </c>
      <c r="AT12" s="995"/>
      <c r="AU12" s="1017" t="s">
        <v>344</v>
      </c>
      <c r="AV12" s="1018"/>
      <c r="AW12" s="1022" t="s">
        <v>342</v>
      </c>
      <c r="AX12" s="1023"/>
      <c r="AZ12" s="994" t="s">
        <v>60</v>
      </c>
      <c r="BA12" s="995"/>
      <c r="BC12" s="1015" t="s">
        <v>374</v>
      </c>
    </row>
    <row r="13" spans="1:55" ht="15.75" thickBot="1" x14ac:dyDescent="0.3">
      <c r="A13" s="63" t="s">
        <v>57</v>
      </c>
      <c r="B13" s="1004" t="s">
        <v>97</v>
      </c>
      <c r="C13" s="1006" t="str">
        <f>SUBSTITUTE(ADDRESS(1,COLUMN(Assy.Model!X9),4),"1","")</f>
        <v>X</v>
      </c>
      <c r="D13" s="97" t="str">
        <f>SUBSTITUTE(ADDRESS(1,COLUMN(Assy.Model!Y9),4),"1","")</f>
        <v>Y</v>
      </c>
      <c r="E13" s="991" t="str">
        <f>SUBSTITUTE(ADDRESS(1,COLUMN(Assy.Model!H9),4),"1","")</f>
        <v>H</v>
      </c>
      <c r="F13" s="991" t="str">
        <f>SUBSTITUTE(ADDRESS(1,COLUMN(Assy.Model!AN9),4),"1","")</f>
        <v>AN</v>
      </c>
      <c r="G13" s="991" t="str">
        <f>SUBSTITUTE(ADDRESS(1,COLUMN(Assy.Model!AO9),4),"1","")</f>
        <v>AO</v>
      </c>
      <c r="H13" s="991" t="str">
        <f>SUBSTITUTE(ADDRESS(1,COLUMN(Assy.Model!AO9),4),"1","")</f>
        <v>AO</v>
      </c>
      <c r="I13" s="991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82"/>
      <c r="P13" s="983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15"/>
    </row>
    <row r="14" spans="1:55" x14ac:dyDescent="0.25">
      <c r="A14" s="61" t="s">
        <v>58</v>
      </c>
      <c r="B14" s="1005"/>
      <c r="C14" s="1007"/>
      <c r="D14" s="98" t="str">
        <f>SUBSTITUTE(ADDRESS(1,COLUMN(Assy.Model!AT9),4),"1","")</f>
        <v>AT</v>
      </c>
      <c r="E14" s="992"/>
      <c r="F14" s="992"/>
      <c r="G14" s="992"/>
      <c r="H14" s="992"/>
      <c r="I14" s="992"/>
      <c r="J14" s="87">
        <v>0</v>
      </c>
      <c r="K14" s="88">
        <v>0</v>
      </c>
      <c r="L14" s="31"/>
      <c r="M14" s="185">
        <v>6.25E-2</v>
      </c>
      <c r="N14" s="31">
        <v>32</v>
      </c>
      <c r="O14" s="978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78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78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78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78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78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79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6" t="s">
        <v>64</v>
      </c>
      <c r="C21" s="990"/>
      <c r="D21" s="990"/>
      <c r="E21" s="990"/>
      <c r="F21" s="987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84"/>
      <c r="C22" s="986" t="s">
        <v>63</v>
      </c>
      <c r="D22" s="987"/>
      <c r="E22" s="988" t="s">
        <v>60</v>
      </c>
      <c r="F22" s="988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85"/>
      <c r="C23" s="56" t="s">
        <v>8</v>
      </c>
      <c r="D23" s="56" t="s">
        <v>9</v>
      </c>
      <c r="E23" s="989"/>
      <c r="F23" s="989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76">
        <v>0</v>
      </c>
      <c r="E24" s="976">
        <v>2</v>
      </c>
      <c r="F24" s="976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977"/>
      <c r="E25" s="977"/>
      <c r="F25" s="977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72" t="s">
        <v>302</v>
      </c>
      <c r="C27" s="972"/>
      <c r="D27" s="972"/>
      <c r="E27" s="972"/>
      <c r="F27" s="972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73" t="s">
        <v>401</v>
      </c>
      <c r="C28" s="973"/>
      <c r="D28" s="973"/>
      <c r="E28" s="973"/>
      <c r="F28" s="973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0" t="s">
        <v>95</v>
      </c>
      <c r="D3" s="990"/>
      <c r="E3" s="990"/>
      <c r="F3" s="990"/>
      <c r="G3" s="990"/>
      <c r="H3" s="990"/>
      <c r="I3" s="990"/>
      <c r="J3" s="990"/>
      <c r="K3" s="1012"/>
      <c r="L3" s="1070"/>
      <c r="M3" s="990"/>
      <c r="N3" s="990"/>
      <c r="O3" s="990"/>
      <c r="P3" s="990"/>
      <c r="Q3" s="990"/>
      <c r="R3" s="987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2" t="s">
        <v>86</v>
      </c>
      <c r="C4" s="1053" t="s">
        <v>82</v>
      </c>
      <c r="D4" s="990" t="s">
        <v>83</v>
      </c>
      <c r="E4" s="990"/>
      <c r="F4" s="990"/>
      <c r="G4" s="990"/>
      <c r="H4" s="990"/>
      <c r="I4" s="990"/>
      <c r="J4" s="990"/>
      <c r="K4" s="990"/>
      <c r="L4" s="146" t="s">
        <v>91</v>
      </c>
      <c r="M4" s="986" t="s">
        <v>94</v>
      </c>
      <c r="N4" s="990"/>
      <c r="O4" s="990"/>
      <c r="P4" s="1012"/>
      <c r="Q4" s="990" t="s">
        <v>52</v>
      </c>
      <c r="R4" s="987"/>
      <c r="S4" s="103"/>
      <c r="T4" s="986">
        <v>350</v>
      </c>
      <c r="U4" s="990"/>
      <c r="V4" s="990" t="s">
        <v>76</v>
      </c>
      <c r="W4" s="990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3"/>
      <c r="C5" s="1054"/>
      <c r="D5" s="1038" t="s">
        <v>85</v>
      </c>
      <c r="E5" s="1056" t="s">
        <v>89</v>
      </c>
      <c r="F5" s="1002" t="s">
        <v>34</v>
      </c>
      <c r="G5" s="1002"/>
      <c r="H5" s="1001" t="s">
        <v>39</v>
      </c>
      <c r="I5" s="997" t="s">
        <v>35</v>
      </c>
      <c r="J5" s="997" t="s">
        <v>36</v>
      </c>
      <c r="K5" s="1064" t="s">
        <v>67</v>
      </c>
      <c r="L5" s="147" t="s">
        <v>92</v>
      </c>
      <c r="M5" s="988" t="s">
        <v>90</v>
      </c>
      <c r="N5" s="988" t="s">
        <v>47</v>
      </c>
      <c r="O5" s="1066" t="s">
        <v>84</v>
      </c>
      <c r="P5" s="1067"/>
      <c r="Q5" s="1068" t="s">
        <v>84</v>
      </c>
      <c r="R5" s="1069"/>
      <c r="S5" s="103"/>
      <c r="T5" s="980" t="s">
        <v>46</v>
      </c>
      <c r="U5" s="1071"/>
      <c r="V5" s="1023" t="s">
        <v>45</v>
      </c>
      <c r="W5" s="975"/>
      <c r="X5" s="975"/>
      <c r="Y5" s="975"/>
      <c r="Z5" s="975"/>
      <c r="AA5" s="975"/>
      <c r="AB5" s="975"/>
      <c r="AC5" s="975"/>
      <c r="AD5" s="975"/>
      <c r="AE5" s="975"/>
      <c r="AF5" s="975"/>
      <c r="AG5" s="975"/>
      <c r="AH5" s="975"/>
      <c r="AI5" s="975"/>
      <c r="AJ5" s="975"/>
      <c r="AK5" s="31"/>
      <c r="AL5" s="31"/>
    </row>
    <row r="6" spans="2:38" ht="15" customHeight="1" thickBot="1" x14ac:dyDescent="0.3">
      <c r="B6" s="1034"/>
      <c r="C6" s="1055"/>
      <c r="D6" s="1039"/>
      <c r="E6" s="1057"/>
      <c r="F6" s="104" t="s">
        <v>8</v>
      </c>
      <c r="G6" s="105" t="s">
        <v>10</v>
      </c>
      <c r="H6" s="1052"/>
      <c r="I6" s="1052"/>
      <c r="J6" s="1052"/>
      <c r="K6" s="1065"/>
      <c r="L6" s="148" t="s">
        <v>93</v>
      </c>
      <c r="M6" s="1063"/>
      <c r="N6" s="1063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65"/>
      <c r="U6" s="1072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0">
        <f>ROW(Assy.Model!B9)</f>
        <v>9</v>
      </c>
      <c r="D7" s="1029" t="str">
        <f>SUBSTITUTE(ADDRESS(1,COLUMN(Assy.Model!B9),4),"1","")</f>
        <v>B</v>
      </c>
      <c r="E7" s="1043" t="str">
        <f>SUBSTITUTE(ADDRESS(1,COLUMN(Assy.Model!M9),4),"1","")</f>
        <v>M</v>
      </c>
      <c r="F7" s="1046" t="str">
        <f>SUBSTITUTE(ADDRESS(1,COLUMN(Assy.Model!X9),4),"1","")</f>
        <v>X</v>
      </c>
      <c r="G7" s="1035" t="str">
        <f>SUBSTITUTE(ADDRESS(1,COLUMN(Assy.Model!AT9),4),"1","")</f>
        <v>AT</v>
      </c>
      <c r="H7" s="1049" t="str">
        <f>SUBSTITUTE(ADDRESS(1,COLUMN(Assy.Model!H9),4),"1","")</f>
        <v>H</v>
      </c>
      <c r="I7" s="1049" t="str">
        <f>SUBSTITUTE(ADDRESS(1,COLUMN(Assy.Model!AN9),4),"1","")</f>
        <v>AN</v>
      </c>
      <c r="J7" s="1049" t="str">
        <f>SUBSTITUTE(ADDRESS(1,COLUMN(Assy.Model!AO9),4),"1","")</f>
        <v>AO</v>
      </c>
      <c r="K7" s="105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26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24" t="s">
        <v>81</v>
      </c>
      <c r="C8" s="1041"/>
      <c r="D8" s="1030"/>
      <c r="E8" s="1044"/>
      <c r="F8" s="1047"/>
      <c r="G8" s="1036"/>
      <c r="H8" s="1050"/>
      <c r="I8" s="1050"/>
      <c r="J8" s="1050"/>
      <c r="K8" s="1059"/>
      <c r="L8" s="149" t="s">
        <v>93</v>
      </c>
      <c r="M8" s="106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27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24"/>
      <c r="C9" s="1041"/>
      <c r="D9" s="1030"/>
      <c r="E9" s="1044"/>
      <c r="F9" s="1047"/>
      <c r="G9" s="1036"/>
      <c r="H9" s="1050"/>
      <c r="I9" s="1050"/>
      <c r="J9" s="1050"/>
      <c r="K9" s="1059"/>
      <c r="L9" s="149" t="s">
        <v>92</v>
      </c>
      <c r="M9" s="106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27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24"/>
      <c r="C10" s="1041"/>
      <c r="D10" s="1030"/>
      <c r="E10" s="1044"/>
      <c r="F10" s="1047"/>
      <c r="G10" s="1036"/>
      <c r="H10" s="1050"/>
      <c r="I10" s="1050"/>
      <c r="J10" s="1050"/>
      <c r="K10" s="1059"/>
      <c r="L10" s="149" t="s">
        <v>92</v>
      </c>
      <c r="M10" s="106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27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24"/>
      <c r="C11" s="1041"/>
      <c r="D11" s="1030"/>
      <c r="E11" s="1044"/>
      <c r="F11" s="1047"/>
      <c r="G11" s="1036"/>
      <c r="H11" s="1050"/>
      <c r="I11" s="1050"/>
      <c r="J11" s="1050"/>
      <c r="K11" s="1059"/>
      <c r="L11" s="149" t="s">
        <v>92</v>
      </c>
      <c r="M11" s="106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27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24"/>
      <c r="C12" s="1041"/>
      <c r="D12" s="1030"/>
      <c r="E12" s="1044"/>
      <c r="F12" s="1047"/>
      <c r="G12" s="1036"/>
      <c r="H12" s="1050"/>
      <c r="I12" s="1050"/>
      <c r="J12" s="1050"/>
      <c r="K12" s="1059"/>
      <c r="L12" s="149" t="s">
        <v>92</v>
      </c>
      <c r="M12" s="106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27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24"/>
      <c r="C13" s="1041"/>
      <c r="D13" s="1030"/>
      <c r="E13" s="1044"/>
      <c r="F13" s="1047"/>
      <c r="G13" s="1036"/>
      <c r="H13" s="1050"/>
      <c r="I13" s="1050"/>
      <c r="J13" s="1050"/>
      <c r="K13" s="1059"/>
      <c r="L13" s="149" t="s">
        <v>92</v>
      </c>
      <c r="M13" s="106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27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25"/>
      <c r="C14" s="1042"/>
      <c r="D14" s="1031"/>
      <c r="E14" s="1045"/>
      <c r="F14" s="1048"/>
      <c r="G14" s="1037"/>
      <c r="H14" s="1051"/>
      <c r="I14" s="1051"/>
      <c r="J14" s="1051"/>
      <c r="K14" s="1060"/>
      <c r="L14" s="150" t="s">
        <v>93</v>
      </c>
      <c r="M14" s="106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28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24.7109375" style="31" bestFit="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73" t="str">
        <f>CONCATENATE(Settings!$C$19," ",Settings!$B$28)</f>
        <v>7.875 2556r00</v>
      </c>
      <c r="D1" s="1173"/>
      <c r="E1" s="1173"/>
      <c r="F1" s="1173"/>
      <c r="G1" s="1173"/>
      <c r="H1" s="1173"/>
      <c r="I1" s="1173"/>
      <c r="J1" s="1173"/>
      <c r="K1" s="1173"/>
      <c r="L1" s="709"/>
      <c r="M1" s="419"/>
      <c r="N1" s="419"/>
      <c r="O1" s="419"/>
      <c r="P1" s="949"/>
      <c r="Q1" s="82"/>
      <c r="R1" s="949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5" t="s">
        <v>306</v>
      </c>
      <c r="C2" s="1186"/>
      <c r="D2" s="1186"/>
      <c r="E2" s="1186"/>
      <c r="F2" s="1186"/>
      <c r="G2" s="1186"/>
      <c r="H2" s="1186"/>
      <c r="I2" s="1186"/>
      <c r="J2" s="1186"/>
      <c r="K2" s="1187"/>
      <c r="L2" s="1122" t="str" cm="1">
        <f t="array" ref="L2">IF(OR($K$9:$K$150="Undefined"),"Undefined Element","")</f>
        <v/>
      </c>
      <c r="M2" s="1193" t="s">
        <v>0</v>
      </c>
      <c r="N2" s="1139" t="s">
        <v>1</v>
      </c>
      <c r="O2" s="1140"/>
      <c r="P2" s="1140"/>
      <c r="Q2" s="1140"/>
      <c r="R2" s="1140"/>
      <c r="S2" s="1140"/>
      <c r="T2" s="1140"/>
      <c r="U2" s="1140"/>
      <c r="V2" s="1140"/>
      <c r="W2" s="1140"/>
      <c r="X2" s="1140"/>
      <c r="Y2" s="1141"/>
      <c r="Z2" s="1139" t="s">
        <v>2</v>
      </c>
      <c r="AA2" s="1140"/>
      <c r="AB2" s="1140"/>
      <c r="AC2" s="1140"/>
      <c r="AD2" s="1140"/>
      <c r="AE2" s="1140"/>
      <c r="AF2" s="1140"/>
      <c r="AG2" s="1140"/>
      <c r="AH2" s="1140"/>
      <c r="AI2" s="1140"/>
      <c r="AJ2" s="1140"/>
      <c r="AK2" s="1140"/>
      <c r="AL2" s="1140"/>
      <c r="AM2" s="1140"/>
      <c r="AN2" s="1140"/>
      <c r="AO2" s="1140"/>
      <c r="AP2" s="1140"/>
      <c r="AQ2" s="1163"/>
      <c r="AS2" s="1147" t="s">
        <v>44</v>
      </c>
      <c r="AT2" s="1148"/>
      <c r="AV2" s="1137" t="s">
        <v>0</v>
      </c>
      <c r="AW2" s="1139" t="s">
        <v>109</v>
      </c>
      <c r="AX2" s="1140"/>
      <c r="AY2" s="1140"/>
      <c r="AZ2" s="1140"/>
      <c r="BA2" s="1140"/>
      <c r="BB2" s="1140"/>
      <c r="BC2" s="1140"/>
      <c r="BD2" s="1140"/>
      <c r="BE2" s="1163"/>
      <c r="BF2" s="1169" t="s">
        <v>115</v>
      </c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0"/>
      <c r="CU2" s="1140"/>
      <c r="CV2" s="1140"/>
      <c r="CW2" s="1140"/>
      <c r="CX2" s="1140"/>
      <c r="CY2" s="1140"/>
      <c r="CZ2" s="1140"/>
      <c r="DA2" s="1140"/>
      <c r="DB2" s="1140"/>
      <c r="DC2" s="1140"/>
      <c r="DD2" s="1140"/>
      <c r="DE2" s="1140"/>
      <c r="DF2" s="1140"/>
      <c r="DG2" s="1140"/>
      <c r="DH2" s="1140"/>
      <c r="DI2" s="1140"/>
      <c r="DJ2" s="1140"/>
      <c r="DK2" s="1140"/>
      <c r="DL2" s="1140"/>
      <c r="DM2" s="1140"/>
      <c r="DN2" s="1140"/>
      <c r="DO2" s="1140"/>
      <c r="DP2" s="1140"/>
      <c r="DQ2" s="1140"/>
      <c r="DR2" s="1140"/>
      <c r="DS2" s="1140"/>
      <c r="DT2" s="1140"/>
      <c r="DU2" s="1140"/>
      <c r="DV2" s="1140"/>
      <c r="DW2" s="1140"/>
      <c r="DX2" s="1140"/>
      <c r="DY2" s="1140"/>
      <c r="DZ2" s="1140"/>
      <c r="EA2" s="1140"/>
      <c r="EB2" s="1140"/>
      <c r="EC2" s="1140"/>
      <c r="ED2" s="1140"/>
      <c r="EE2" s="1140"/>
      <c r="EF2" s="1140"/>
      <c r="EG2" s="1140"/>
      <c r="EH2" s="1140"/>
      <c r="EI2" s="1140"/>
      <c r="EJ2" s="1140"/>
      <c r="EK2" s="1140"/>
      <c r="EL2" s="1140"/>
      <c r="EM2" s="1140"/>
      <c r="EN2" s="1140"/>
      <c r="EO2" s="1140"/>
      <c r="EP2" s="1140"/>
      <c r="EQ2" s="1140"/>
      <c r="ER2" s="1141"/>
      <c r="ES2" s="1364" t="s">
        <v>196</v>
      </c>
      <c r="ET2" s="1365"/>
      <c r="EU2" s="1365"/>
      <c r="EV2" s="1365"/>
      <c r="EW2" s="1365"/>
      <c r="EX2" s="1365"/>
      <c r="EY2" s="1365"/>
      <c r="EZ2" s="1365"/>
      <c r="FA2" s="1365"/>
      <c r="FB2" s="1365"/>
      <c r="FC2" s="1365"/>
      <c r="FD2" s="1365"/>
      <c r="FE2" s="1365"/>
      <c r="FF2" s="1366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39" t="str">
        <f>IFERROR(CONCATENATE("Sum of Lateral Forces = ",ROUND(HE3,0)," lbs @ ",ROUND(HF3,1),"° Relative to Blade 1"),"")</f>
        <v/>
      </c>
      <c r="HX2" s="1339"/>
      <c r="HY2" s="1339"/>
      <c r="HZ2" s="1339"/>
      <c r="IA2" s="1339"/>
      <c r="IB2" s="1339"/>
      <c r="IC2" s="1339"/>
      <c r="ID2" s="1339"/>
      <c r="IE2" s="1339"/>
      <c r="IF2" s="860"/>
      <c r="IN2" s="31"/>
      <c r="IO2" s="323"/>
      <c r="JC2" s="82"/>
      <c r="JD2" s="82"/>
      <c r="JE2" s="82"/>
    </row>
    <row r="3" spans="1:285" ht="15" customHeight="1" x14ac:dyDescent="0.25">
      <c r="B3" s="1188"/>
      <c r="C3" s="1135"/>
      <c r="D3" s="1135"/>
      <c r="E3" s="1135"/>
      <c r="F3" s="1135"/>
      <c r="G3" s="1135"/>
      <c r="H3" s="1135"/>
      <c r="I3" s="1135"/>
      <c r="J3" s="1135"/>
      <c r="K3" s="1189"/>
      <c r="L3" s="1122"/>
      <c r="M3" s="1188"/>
      <c r="N3" s="1142"/>
      <c r="O3" s="1143"/>
      <c r="P3" s="1143"/>
      <c r="Q3" s="1143"/>
      <c r="R3" s="1143"/>
      <c r="S3" s="1143"/>
      <c r="T3" s="1143"/>
      <c r="U3" s="1143"/>
      <c r="V3" s="1143"/>
      <c r="W3" s="1143"/>
      <c r="X3" s="1143"/>
      <c r="Y3" s="1144"/>
      <c r="Z3" s="1142"/>
      <c r="AA3" s="1143"/>
      <c r="AB3" s="1143"/>
      <c r="AC3" s="1143"/>
      <c r="AD3" s="1143"/>
      <c r="AE3" s="1143"/>
      <c r="AF3" s="1143"/>
      <c r="AG3" s="1143"/>
      <c r="AH3" s="1143"/>
      <c r="AI3" s="1143"/>
      <c r="AJ3" s="1143"/>
      <c r="AK3" s="1143"/>
      <c r="AL3" s="1143"/>
      <c r="AM3" s="1143"/>
      <c r="AN3" s="1143"/>
      <c r="AO3" s="1143"/>
      <c r="AP3" s="1143"/>
      <c r="AQ3" s="1164"/>
      <c r="AS3" s="415">
        <v>100</v>
      </c>
      <c r="AT3" s="412" t="s">
        <v>45</v>
      </c>
      <c r="AV3" s="1138"/>
      <c r="AW3" s="1220"/>
      <c r="AX3" s="1171"/>
      <c r="AY3" s="1171"/>
      <c r="AZ3" s="1171"/>
      <c r="BA3" s="1171"/>
      <c r="BB3" s="1171"/>
      <c r="BC3" s="1171"/>
      <c r="BD3" s="1171"/>
      <c r="BE3" s="1221"/>
      <c r="BF3" s="1170"/>
      <c r="BG3" s="1171"/>
      <c r="BH3" s="1171"/>
      <c r="BI3" s="1171"/>
      <c r="BJ3" s="1171"/>
      <c r="BK3" s="1171"/>
      <c r="BL3" s="1171"/>
      <c r="BM3" s="1171"/>
      <c r="BN3" s="1171"/>
      <c r="BO3" s="1171"/>
      <c r="BP3" s="1171"/>
      <c r="BQ3" s="1171"/>
      <c r="BR3" s="1171"/>
      <c r="BS3" s="1171"/>
      <c r="BT3" s="1171"/>
      <c r="BU3" s="1171"/>
      <c r="BV3" s="1171"/>
      <c r="BW3" s="1171"/>
      <c r="BX3" s="1171"/>
      <c r="BY3" s="1171"/>
      <c r="BZ3" s="1171"/>
      <c r="CA3" s="1171"/>
      <c r="CB3" s="1171"/>
      <c r="CC3" s="1171"/>
      <c r="CD3" s="1171"/>
      <c r="CE3" s="1171"/>
      <c r="CF3" s="1171"/>
      <c r="CG3" s="1171"/>
      <c r="CH3" s="1171"/>
      <c r="CI3" s="1171"/>
      <c r="CJ3" s="1171"/>
      <c r="CK3" s="1171"/>
      <c r="CL3" s="1171"/>
      <c r="CM3" s="1171"/>
      <c r="CN3" s="1171"/>
      <c r="CO3" s="1171"/>
      <c r="CP3" s="1171"/>
      <c r="CQ3" s="1171"/>
      <c r="CR3" s="1171"/>
      <c r="CS3" s="1171"/>
      <c r="CT3" s="1171"/>
      <c r="CU3" s="1171"/>
      <c r="CV3" s="1171"/>
      <c r="CW3" s="1171"/>
      <c r="CX3" s="1171"/>
      <c r="CY3" s="1171"/>
      <c r="CZ3" s="1171"/>
      <c r="DA3" s="1171"/>
      <c r="DB3" s="1171"/>
      <c r="DC3" s="1171"/>
      <c r="DD3" s="1171"/>
      <c r="DE3" s="1171"/>
      <c r="DF3" s="1171"/>
      <c r="DG3" s="1171"/>
      <c r="DH3" s="1171"/>
      <c r="DI3" s="1171"/>
      <c r="DJ3" s="1171"/>
      <c r="DK3" s="1171"/>
      <c r="DL3" s="1171"/>
      <c r="DM3" s="1171"/>
      <c r="DN3" s="1171"/>
      <c r="DO3" s="1171"/>
      <c r="DP3" s="1171"/>
      <c r="DQ3" s="1171"/>
      <c r="DR3" s="1171"/>
      <c r="DS3" s="1171"/>
      <c r="DT3" s="1171"/>
      <c r="DU3" s="1171"/>
      <c r="DV3" s="1171"/>
      <c r="DW3" s="1171"/>
      <c r="DX3" s="1171"/>
      <c r="DY3" s="1171"/>
      <c r="DZ3" s="1171"/>
      <c r="EA3" s="1171"/>
      <c r="EB3" s="1171"/>
      <c r="EC3" s="1171"/>
      <c r="ED3" s="1171"/>
      <c r="EE3" s="1171"/>
      <c r="EF3" s="1171"/>
      <c r="EG3" s="1171"/>
      <c r="EH3" s="1171"/>
      <c r="EI3" s="1171"/>
      <c r="EJ3" s="1171"/>
      <c r="EK3" s="1171"/>
      <c r="EL3" s="1171"/>
      <c r="EM3" s="1171"/>
      <c r="EN3" s="1171"/>
      <c r="EO3" s="1171"/>
      <c r="EP3" s="1171"/>
      <c r="EQ3" s="1171"/>
      <c r="ER3" s="1172"/>
      <c r="ES3" s="1220"/>
      <c r="ET3" s="1171"/>
      <c r="EU3" s="1171"/>
      <c r="EV3" s="1171"/>
      <c r="EW3" s="1171"/>
      <c r="EX3" s="1171"/>
      <c r="EY3" s="1171"/>
      <c r="EZ3" s="1171"/>
      <c r="FA3" s="1171"/>
      <c r="FB3" s="1171"/>
      <c r="FC3" s="1171"/>
      <c r="FD3" s="1171"/>
      <c r="FE3" s="1171"/>
      <c r="FF3" s="1172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90"/>
      <c r="C4" s="1191"/>
      <c r="D4" s="1191"/>
      <c r="E4" s="1191"/>
      <c r="F4" s="1191"/>
      <c r="G4" s="1191"/>
      <c r="H4" s="1191"/>
      <c r="I4" s="1191"/>
      <c r="J4" s="1191"/>
      <c r="K4" s="1192"/>
      <c r="L4" s="1122"/>
      <c r="M4" s="1188"/>
      <c r="N4" s="1197" t="s">
        <v>3</v>
      </c>
      <c r="O4" s="1131"/>
      <c r="P4" s="1131"/>
      <c r="Q4" s="1132" t="s">
        <v>4</v>
      </c>
      <c r="R4" s="1131"/>
      <c r="S4" s="1133"/>
      <c r="T4" s="1206" t="str">
        <f>N4</f>
        <v>Cartesian Coordinates</v>
      </c>
      <c r="U4" s="1177"/>
      <c r="V4" s="1207"/>
      <c r="W4" s="1177" t="str">
        <f>$Q$4</f>
        <v>Polar XY; Cartesian Z</v>
      </c>
      <c r="X4" s="1177"/>
      <c r="Y4" s="1178"/>
      <c r="Z4" s="1197" t="s">
        <v>3</v>
      </c>
      <c r="AA4" s="1131"/>
      <c r="AB4" s="1131"/>
      <c r="AC4" s="1131"/>
      <c r="AD4" s="1131"/>
      <c r="AE4" s="1131"/>
      <c r="AF4" s="1131"/>
      <c r="AG4" s="1130" t="s">
        <v>31</v>
      </c>
      <c r="AH4" s="1131"/>
      <c r="AI4" s="1131"/>
      <c r="AJ4" s="1133"/>
      <c r="AK4" s="1165" t="s">
        <v>32</v>
      </c>
      <c r="AL4" s="1166"/>
      <c r="AM4" s="1166"/>
      <c r="AN4" s="1166"/>
      <c r="AO4" s="1166"/>
      <c r="AP4" s="1166"/>
      <c r="AQ4" s="1167"/>
      <c r="AS4" s="416">
        <v>125</v>
      </c>
      <c r="AT4" s="413" t="s">
        <v>46</v>
      </c>
      <c r="AV4" s="1138"/>
      <c r="AW4" s="1231" t="s">
        <v>112</v>
      </c>
      <c r="AX4" s="1232"/>
      <c r="AY4" s="981"/>
      <c r="AZ4" s="1217"/>
      <c r="BA4" s="1218"/>
      <c r="BB4" s="1222" t="s">
        <v>113</v>
      </c>
      <c r="BC4" s="1177" t="str">
        <f>$Q$4</f>
        <v>Polar XY; Cartesian Z</v>
      </c>
      <c r="BD4" s="1177"/>
      <c r="BE4" s="1225"/>
      <c r="BF4" s="1236" t="s">
        <v>129</v>
      </c>
      <c r="BG4" s="1237"/>
      <c r="BH4" s="1237"/>
      <c r="BI4" s="1237"/>
      <c r="BJ4" s="1237"/>
      <c r="BK4" s="1237"/>
      <c r="BL4" s="1237"/>
      <c r="BM4" s="1237"/>
      <c r="BN4" s="1237"/>
      <c r="BO4" s="1237"/>
      <c r="BP4" s="1237"/>
      <c r="BQ4" s="1237"/>
      <c r="BR4" s="1237"/>
      <c r="BS4" s="1237"/>
      <c r="BT4" s="1237"/>
      <c r="BU4" s="1237"/>
      <c r="BV4" s="1237"/>
      <c r="BW4" s="1237"/>
      <c r="BX4" s="1237"/>
      <c r="BY4" s="1237"/>
      <c r="BZ4" s="1237"/>
      <c r="CA4" s="1237"/>
      <c r="CB4" s="1237"/>
      <c r="CC4" s="1237"/>
      <c r="CD4" s="1237"/>
      <c r="CE4" s="1237"/>
      <c r="CF4" s="1237"/>
      <c r="CG4" s="1237"/>
      <c r="CH4" s="1237"/>
      <c r="CI4" s="1237"/>
      <c r="CJ4" s="1237"/>
      <c r="CK4" s="1237"/>
      <c r="CL4" s="1237"/>
      <c r="CM4" s="1237"/>
      <c r="CN4" s="1238"/>
      <c r="CO4" s="1275" t="s">
        <v>192</v>
      </c>
      <c r="CP4" s="1276"/>
      <c r="CQ4" s="1276"/>
      <c r="CR4" s="1276"/>
      <c r="CS4" s="1276"/>
      <c r="CT4" s="1276"/>
      <c r="CU4" s="1276"/>
      <c r="CV4" s="1276"/>
      <c r="CW4" s="1276"/>
      <c r="CX4" s="1276"/>
      <c r="CY4" s="1276"/>
      <c r="CZ4" s="1276"/>
      <c r="DA4" s="1277"/>
      <c r="DB4" s="1361" t="s">
        <v>389</v>
      </c>
      <c r="DC4" s="1362"/>
      <c r="DD4" s="1362"/>
      <c r="DE4" s="1362"/>
      <c r="DF4" s="1362"/>
      <c r="DG4" s="1362"/>
      <c r="DH4" s="1362"/>
      <c r="DI4" s="1362"/>
      <c r="DJ4" s="1362"/>
      <c r="DK4" s="1362"/>
      <c r="DL4" s="1362"/>
      <c r="DM4" s="1362"/>
      <c r="DN4" s="1362"/>
      <c r="DO4" s="1362"/>
      <c r="DP4" s="1362"/>
      <c r="DQ4" s="1362"/>
      <c r="DR4" s="1362"/>
      <c r="DS4" s="1362"/>
      <c r="DT4" s="1362"/>
      <c r="DU4" s="1362"/>
      <c r="DV4" s="1362"/>
      <c r="DW4" s="1362"/>
      <c r="DX4" s="1362"/>
      <c r="DY4" s="1362"/>
      <c r="DZ4" s="1362"/>
      <c r="EA4" s="1362"/>
      <c r="EB4" s="1362"/>
      <c r="EC4" s="1362"/>
      <c r="ED4" s="1362"/>
      <c r="EE4" s="1362"/>
      <c r="EF4" s="1362"/>
      <c r="EG4" s="1362"/>
      <c r="EH4" s="1362"/>
      <c r="EI4" s="1362"/>
      <c r="EJ4" s="1362"/>
      <c r="EK4" s="1362"/>
      <c r="EL4" s="1362"/>
      <c r="EM4" s="1362"/>
      <c r="EN4" s="1362"/>
      <c r="EO4" s="1362"/>
      <c r="EP4" s="1362"/>
      <c r="EQ4" s="1362"/>
      <c r="ER4" s="1363"/>
      <c r="ES4" s="1250" t="s">
        <v>195</v>
      </c>
      <c r="ET4" s="1251"/>
      <c r="EU4" s="1251"/>
      <c r="EV4" s="1251"/>
      <c r="EW4" s="1251"/>
      <c r="EX4" s="1251"/>
      <c r="EY4" s="1252"/>
      <c r="EZ4" s="1257" t="s">
        <v>200</v>
      </c>
      <c r="FA4" s="1258"/>
      <c r="FB4" s="1258"/>
      <c r="FC4" s="1258"/>
      <c r="FD4" s="1258"/>
      <c r="FE4" s="1258"/>
      <c r="FF4" s="1259"/>
      <c r="FG4" s="325"/>
      <c r="FP4" s="1330" t="s">
        <v>228</v>
      </c>
      <c r="FZ4" s="1330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9" t="s">
        <v>235</v>
      </c>
      <c r="GK4" s="1000"/>
      <c r="GL4" s="1000"/>
      <c r="GM4" s="1000"/>
      <c r="GN4" s="1310"/>
      <c r="GO4" s="1312" t="s">
        <v>228</v>
      </c>
      <c r="GP4" s="1316" t="s">
        <v>227</v>
      </c>
      <c r="GR4" s="1321" t="s">
        <v>257</v>
      </c>
      <c r="GS4" s="1070" t="s">
        <v>255</v>
      </c>
      <c r="GT4" s="990"/>
      <c r="GU4" s="990"/>
      <c r="GV4" s="990"/>
      <c r="GW4" s="990"/>
      <c r="GX4" s="990"/>
      <c r="GY4" s="990"/>
      <c r="GZ4" s="990"/>
      <c r="HA4" s="1289" t="str">
        <f>IFERROR(CONCATENATE("Lateral Forces = ",ROUND(HE3,0)," lbs @ ",ROUND(HF3,1),"° Relative to Blade 1"),"")</f>
        <v/>
      </c>
      <c r="HB4" s="1290"/>
      <c r="HC4" s="1290"/>
      <c r="HD4" s="1290"/>
      <c r="HE4" s="1290"/>
      <c r="HF4" s="1290"/>
      <c r="HG4" s="1290"/>
      <c r="HH4" s="1291"/>
      <c r="HI4" s="1294" t="s">
        <v>0</v>
      </c>
      <c r="HV4" s="861"/>
      <c r="HW4" s="1340" t="e">
        <f>CONCATENATE("Yeield Strength of Rock = ",IF(HW6&gt;1000,(ROUNDDOWN(HW6,-3)/1000),""), IF(HW6&gt;1000,",",""),RIGHT(HW6,3)," psi (Tangential Force)")</f>
        <v>#DIV/0!</v>
      </c>
      <c r="HX4" s="1340"/>
      <c r="HY4" s="1340"/>
      <c r="HZ4" s="1340"/>
      <c r="IA4" s="1340"/>
      <c r="IB4" s="1340"/>
      <c r="IC4" s="1340"/>
      <c r="ID4" s="1340"/>
      <c r="IE4" s="1340"/>
      <c r="IF4" s="858"/>
      <c r="IG4" s="996" t="s">
        <v>372</v>
      </c>
      <c r="IH4" s="996"/>
      <c r="II4" s="710" cm="1">
        <f t="array" ref="II4">MAX(MOD(IF($II$9:$II$150="",0,($II$9:$II$150*1000)),100))</f>
        <v>20</v>
      </c>
      <c r="IN4" s="31"/>
      <c r="IO4" s="710"/>
    </row>
    <row r="5" spans="1:285" ht="15" customHeight="1" thickBot="1" x14ac:dyDescent="0.3">
      <c r="A5" s="139">
        <v>0.02</v>
      </c>
      <c r="B5" s="1179" t="str">
        <f>CONCATENATE(B7," ; ",E7," ; ",H7)</f>
        <v>Absolute-Point ; Incremental-Vector Point ; Pocket Info.</v>
      </c>
      <c r="C5" s="1180"/>
      <c r="D5" s="1180"/>
      <c r="E5" s="1180"/>
      <c r="F5" s="1180"/>
      <c r="G5" s="1180"/>
      <c r="H5" s="1180"/>
      <c r="I5" s="1180"/>
      <c r="J5" s="1180"/>
      <c r="K5" s="1181"/>
      <c r="L5" s="813" t="str" cm="1">
        <f t="array" ref="L5">IF(OR(IF(LEFT($K$9:$K$150,4)="&lt;&gt;CS",TRUE,FALSE)),"Wrong CS","")</f>
        <v/>
      </c>
      <c r="M5" s="1188"/>
      <c r="N5" s="1216" t="s">
        <v>5</v>
      </c>
      <c r="O5" s="1086"/>
      <c r="P5" s="1086"/>
      <c r="Q5" s="1085" t="s">
        <v>6</v>
      </c>
      <c r="R5" s="1086"/>
      <c r="S5" s="1087"/>
      <c r="T5" s="1127" t="str">
        <f>CONCATENATE("Relative to ",M8,"'s θ about Z Axis")</f>
        <v>Relative to 1.113's θ about Z Axis</v>
      </c>
      <c r="U5" s="1128"/>
      <c r="V5" s="1159"/>
      <c r="W5" s="1128" t="str">
        <f>CONCATENATE("Relative to ",M8,"'s θ about Z Axis")</f>
        <v>Relative to 1.113's θ about Z Axis</v>
      </c>
      <c r="X5" s="1128"/>
      <c r="Y5" s="1208"/>
      <c r="Z5" s="1198" t="str">
        <f>N5</f>
        <v>Relative to World_CS</v>
      </c>
      <c r="AA5" s="1128"/>
      <c r="AB5" s="1128"/>
      <c r="AC5" s="1128"/>
      <c r="AD5" s="1128"/>
      <c r="AE5" s="1128"/>
      <c r="AF5" s="1128"/>
      <c r="AG5" s="1127" t="str">
        <f>N5</f>
        <v>Relative to World_CS</v>
      </c>
      <c r="AH5" s="1128"/>
      <c r="AI5" s="1128"/>
      <c r="AJ5" s="1129"/>
      <c r="AK5" s="1168" t="s">
        <v>7</v>
      </c>
      <c r="AL5" s="1086"/>
      <c r="AM5" s="1086"/>
      <c r="AN5" s="1086"/>
      <c r="AO5" s="1086"/>
      <c r="AP5" s="1086"/>
      <c r="AQ5" s="1087"/>
      <c r="AS5" s="167">
        <f>(((AS4*12)/60)/AS3)</f>
        <v>0.25</v>
      </c>
      <c r="AT5" s="413" t="s">
        <v>47</v>
      </c>
      <c r="AV5" s="1138"/>
      <c r="AW5" s="1233"/>
      <c r="AX5" s="1234"/>
      <c r="AY5" s="1235"/>
      <c r="AZ5" s="1219"/>
      <c r="BA5" s="971"/>
      <c r="BB5" s="1223"/>
      <c r="BC5" s="1228" t="str">
        <f>$W$5</f>
        <v>Relative to 1.113's θ about Z Axis</v>
      </c>
      <c r="BD5" s="1128"/>
      <c r="BE5" s="1129"/>
      <c r="BF5" s="1070" t="s">
        <v>128</v>
      </c>
      <c r="BG5" s="990"/>
      <c r="BH5" s="990"/>
      <c r="BI5" s="990"/>
      <c r="BJ5" s="990"/>
      <c r="BK5" s="990"/>
      <c r="BL5" s="990"/>
      <c r="BM5" s="990"/>
      <c r="BN5" s="990"/>
      <c r="BO5" s="990"/>
      <c r="BP5" s="990"/>
      <c r="BQ5" s="990"/>
      <c r="BR5" s="1012"/>
      <c r="BS5" s="1070" t="s">
        <v>130</v>
      </c>
      <c r="BT5" s="990"/>
      <c r="BU5" s="990"/>
      <c r="BV5" s="990"/>
      <c r="BW5" s="990"/>
      <c r="BX5" s="990"/>
      <c r="BY5" s="990"/>
      <c r="BZ5" s="990"/>
      <c r="CA5" s="990"/>
      <c r="CB5" s="990"/>
      <c r="CC5" s="990"/>
      <c r="CD5" s="990"/>
      <c r="CE5" s="1012"/>
      <c r="CF5" s="1070" t="s">
        <v>138</v>
      </c>
      <c r="CG5" s="990"/>
      <c r="CH5" s="1012"/>
      <c r="CI5" s="1070" t="s">
        <v>139</v>
      </c>
      <c r="CJ5" s="990"/>
      <c r="CK5" s="990"/>
      <c r="CL5" s="990"/>
      <c r="CM5" s="990"/>
      <c r="CN5" s="1012"/>
      <c r="CO5" s="1102" t="s">
        <v>266</v>
      </c>
      <c r="CP5" s="1102" t="s">
        <v>149</v>
      </c>
      <c r="CQ5" s="1232"/>
      <c r="CR5" s="1232"/>
      <c r="CS5" s="1071"/>
      <c r="CT5" s="1232" t="s">
        <v>150</v>
      </c>
      <c r="CU5" s="981"/>
      <c r="CV5" s="1070" t="s">
        <v>161</v>
      </c>
      <c r="CW5" s="990"/>
      <c r="CX5" s="990"/>
      <c r="CY5" s="990"/>
      <c r="CZ5" s="990"/>
      <c r="DA5" s="1012"/>
      <c r="DB5" s="1070" t="s">
        <v>162</v>
      </c>
      <c r="DC5" s="990"/>
      <c r="DD5" s="990"/>
      <c r="DE5" s="990"/>
      <c r="DF5" s="990"/>
      <c r="DG5" s="990"/>
      <c r="DH5" s="1012"/>
      <c r="DI5" s="1112" t="s">
        <v>172</v>
      </c>
      <c r="DJ5" s="1112"/>
      <c r="DK5" s="1113"/>
      <c r="DL5" s="1345" t="s">
        <v>173</v>
      </c>
      <c r="DM5" s="1112"/>
      <c r="DN5" s="1346"/>
      <c r="DO5" s="1116" t="s">
        <v>174</v>
      </c>
      <c r="DP5" s="1117"/>
      <c r="DQ5" s="1117"/>
      <c r="DR5" s="1099" t="s">
        <v>186</v>
      </c>
      <c r="DS5" s="1099"/>
      <c r="DT5" s="1099"/>
      <c r="DU5" s="1099"/>
      <c r="DV5" s="1099"/>
      <c r="DW5" s="1099"/>
      <c r="DX5" s="1102" t="s">
        <v>189</v>
      </c>
      <c r="DY5" s="1032" t="s">
        <v>149</v>
      </c>
      <c r="DZ5" s="1099"/>
      <c r="EA5" s="1099"/>
      <c r="EB5" s="1099"/>
      <c r="EC5" s="1099" t="s">
        <v>150</v>
      </c>
      <c r="ED5" s="1099"/>
      <c r="EE5" s="1321" t="s">
        <v>193</v>
      </c>
      <c r="EF5" s="1321"/>
      <c r="EG5" s="1273"/>
      <c r="EH5" s="1349" t="s">
        <v>194</v>
      </c>
      <c r="EI5" s="1350"/>
      <c r="EJ5" s="1351"/>
      <c r="EK5" s="1099" t="s">
        <v>187</v>
      </c>
      <c r="EL5" s="1102"/>
      <c r="EM5" s="1070" t="s">
        <v>188</v>
      </c>
      <c r="EN5" s="990"/>
      <c r="EO5" s="990"/>
      <c r="EP5" s="990"/>
      <c r="EQ5" s="990"/>
      <c r="ER5" s="1101"/>
      <c r="ES5" s="1231" t="s">
        <v>201</v>
      </c>
      <c r="ET5" s="1232"/>
      <c r="EU5" s="1071"/>
      <c r="EV5" s="1253" t="s">
        <v>221</v>
      </c>
      <c r="EW5" s="1254"/>
      <c r="EX5" s="1254"/>
      <c r="EY5" s="1255"/>
      <c r="EZ5" s="1369" t="s">
        <v>199</v>
      </c>
      <c r="FA5" s="1066" t="s">
        <v>201</v>
      </c>
      <c r="FB5" s="1266"/>
      <c r="FC5" s="1067"/>
      <c r="FD5" s="1270" t="s">
        <v>221</v>
      </c>
      <c r="FE5" s="1271"/>
      <c r="FF5" s="1272"/>
      <c r="FJ5" s="31" t="s">
        <v>390</v>
      </c>
      <c r="FP5" s="1331"/>
      <c r="FQ5" s="31"/>
      <c r="FR5" s="31"/>
      <c r="FS5" s="31"/>
      <c r="FT5" s="31"/>
      <c r="FZ5" s="1331"/>
      <c r="GJ5" s="1308" t="s">
        <v>262</v>
      </c>
      <c r="GK5" s="1355" t="s">
        <v>260</v>
      </c>
      <c r="GL5" s="1357" t="s">
        <v>110</v>
      </c>
      <c r="GM5" s="1357" t="s">
        <v>111</v>
      </c>
      <c r="GN5" s="1358"/>
      <c r="GO5" s="1313"/>
      <c r="GP5" s="1317"/>
      <c r="GQ5" s="31"/>
      <c r="GR5" s="1122"/>
      <c r="GS5" s="1219" t="s">
        <v>244</v>
      </c>
      <c r="GT5" s="1327"/>
      <c r="GU5" s="1323" t="s">
        <v>245</v>
      </c>
      <c r="GV5" s="1324"/>
      <c r="GW5" s="1325"/>
      <c r="GX5" s="1326"/>
      <c r="GY5" s="1311" t="s">
        <v>107</v>
      </c>
      <c r="GZ5" s="973"/>
      <c r="HA5" s="1286" t="s">
        <v>244</v>
      </c>
      <c r="HB5" s="1287"/>
      <c r="HC5" s="1287"/>
      <c r="HD5" s="1288"/>
      <c r="HE5" s="1297" t="s">
        <v>245</v>
      </c>
      <c r="HF5" s="1287"/>
      <c r="HG5" s="1287"/>
      <c r="HH5" s="1298"/>
      <c r="HI5" s="1295"/>
      <c r="HM5" s="909"/>
      <c r="HS5" s="909"/>
      <c r="HT5" s="909"/>
      <c r="HU5" s="909"/>
      <c r="HV5" s="910"/>
      <c r="HW5" s="1283" t="s">
        <v>245</v>
      </c>
      <c r="HX5" s="1284"/>
      <c r="HY5" s="1282" t="s">
        <v>388</v>
      </c>
      <c r="HZ5" s="1283"/>
      <c r="IA5" s="1283"/>
      <c r="IB5" s="1284"/>
      <c r="IC5" s="1282" t="s">
        <v>254</v>
      </c>
      <c r="ID5" s="1283"/>
      <c r="IE5" s="1284"/>
      <c r="IF5" s="858"/>
    </row>
    <row r="6" spans="1:285" ht="15" customHeight="1" thickBot="1" x14ac:dyDescent="0.4">
      <c r="B6" s="1182"/>
      <c r="C6" s="1183"/>
      <c r="D6" s="1183"/>
      <c r="E6" s="1183"/>
      <c r="F6" s="1183"/>
      <c r="G6" s="1183"/>
      <c r="H6" s="1183"/>
      <c r="I6" s="1183"/>
      <c r="J6" s="1183"/>
      <c r="K6" s="1184"/>
      <c r="L6" s="1122" t="str" cm="1">
        <f t="array" ref="L6">IF(OR($K$9:$K$150="Inactive"),"Inactive Element","")</f>
        <v/>
      </c>
      <c r="M6" s="1188"/>
      <c r="N6" s="1212" t="s">
        <v>8</v>
      </c>
      <c r="O6" s="1214" t="s">
        <v>9</v>
      </c>
      <c r="P6" s="1083" t="s">
        <v>10</v>
      </c>
      <c r="Q6" s="1123" t="s">
        <v>11</v>
      </c>
      <c r="R6" s="1124"/>
      <c r="S6" s="1209" t="s">
        <v>10</v>
      </c>
      <c r="T6" s="1155" t="str">
        <f>N6</f>
        <v>X</v>
      </c>
      <c r="U6" s="1157" t="str">
        <f>O6</f>
        <v>Y</v>
      </c>
      <c r="V6" s="1204" t="str">
        <f>P6</f>
        <v>Z</v>
      </c>
      <c r="W6" s="1195" t="str">
        <f>$Q$6</f>
        <v>Projected XY</v>
      </c>
      <c r="X6" s="1196"/>
      <c r="Y6" s="1153" t="str">
        <f>$S$6</f>
        <v>Z</v>
      </c>
      <c r="Z6" s="1134" t="s">
        <v>12</v>
      </c>
      <c r="AA6" s="1135"/>
      <c r="AB6" s="1135"/>
      <c r="AC6" s="1136"/>
      <c r="AD6" s="1132" t="s">
        <v>13</v>
      </c>
      <c r="AE6" s="1131"/>
      <c r="AF6" s="1131"/>
      <c r="AG6" s="1130" t="s">
        <v>7</v>
      </c>
      <c r="AH6" s="1131"/>
      <c r="AI6" s="1132" t="s">
        <v>14</v>
      </c>
      <c r="AJ6" s="1133"/>
      <c r="AK6" s="1160" t="str">
        <f>AD6</f>
        <v>Unit Vector</v>
      </c>
      <c r="AL6" s="1161"/>
      <c r="AM6" s="1162"/>
      <c r="AN6" s="34" t="s">
        <v>15</v>
      </c>
      <c r="AO6" s="35" t="s">
        <v>16</v>
      </c>
      <c r="AP6" s="680" t="s">
        <v>17</v>
      </c>
      <c r="AQ6" s="1145" t="s">
        <v>108</v>
      </c>
      <c r="AS6" s="168">
        <f>(AS5/360)</f>
        <v>6.9444444444444447E-4</v>
      </c>
      <c r="AT6" s="414" t="s">
        <v>48</v>
      </c>
      <c r="AV6" s="1138"/>
      <c r="AW6" s="1125" t="s">
        <v>105</v>
      </c>
      <c r="AX6" s="1126"/>
      <c r="AY6" s="188" t="s">
        <v>110</v>
      </c>
      <c r="AZ6" s="1229" t="s">
        <v>111</v>
      </c>
      <c r="BA6" s="1230"/>
      <c r="BB6" s="1224"/>
      <c r="BC6" s="1195" t="str">
        <f>$Q$6</f>
        <v>Projected XY</v>
      </c>
      <c r="BD6" s="1196"/>
      <c r="BE6" s="1226" t="str">
        <f>$S$6</f>
        <v>Z</v>
      </c>
      <c r="BF6" s="1016" t="s">
        <v>125</v>
      </c>
      <c r="BG6" s="1014"/>
      <c r="BH6" s="1082"/>
      <c r="BI6" s="994" t="s">
        <v>126</v>
      </c>
      <c r="BJ6" s="1014"/>
      <c r="BK6" s="995"/>
      <c r="BL6" s="1017" t="s">
        <v>127</v>
      </c>
      <c r="BM6" s="1014"/>
      <c r="BN6" s="1018"/>
      <c r="BO6" s="1016" t="s">
        <v>135</v>
      </c>
      <c r="BP6" s="1014"/>
      <c r="BQ6" s="1014"/>
      <c r="BR6" s="1018"/>
      <c r="BS6" s="1016" t="s">
        <v>125</v>
      </c>
      <c r="BT6" s="1014"/>
      <c r="BU6" s="1082"/>
      <c r="BV6" s="994" t="s">
        <v>126</v>
      </c>
      <c r="BW6" s="1014"/>
      <c r="BX6" s="995"/>
      <c r="BY6" s="1017" t="s">
        <v>127</v>
      </c>
      <c r="BZ6" s="1014"/>
      <c r="CA6" s="1018"/>
      <c r="CB6" s="1016" t="s">
        <v>135</v>
      </c>
      <c r="CC6" s="1014"/>
      <c r="CD6" s="1014"/>
      <c r="CE6" s="1018"/>
      <c r="CF6" s="1022" t="s">
        <v>136</v>
      </c>
      <c r="CG6" s="1105"/>
      <c r="CH6" s="1105"/>
      <c r="CI6" s="1107" t="s">
        <v>137</v>
      </c>
      <c r="CJ6" s="1105"/>
      <c r="CK6" s="1023"/>
      <c r="CL6" s="1104" t="s">
        <v>140</v>
      </c>
      <c r="CM6" s="1105"/>
      <c r="CN6" s="1106"/>
      <c r="CO6" s="1103"/>
      <c r="CP6" s="1103"/>
      <c r="CQ6" s="1096"/>
      <c r="CR6" s="1096"/>
      <c r="CS6" s="1256"/>
      <c r="CT6" s="1096"/>
      <c r="CU6" s="1278"/>
      <c r="CV6" s="1211" t="s">
        <v>147</v>
      </c>
      <c r="CW6" s="1014"/>
      <c r="CX6" s="995"/>
      <c r="CY6" s="1241" t="s">
        <v>148</v>
      </c>
      <c r="CZ6" s="1242"/>
      <c r="DA6" s="1243"/>
      <c r="DB6" s="1108" t="s">
        <v>175</v>
      </c>
      <c r="DC6" s="1109"/>
      <c r="DD6" s="1110"/>
      <c r="DE6" s="1111" t="s">
        <v>176</v>
      </c>
      <c r="DF6" s="1109"/>
      <c r="DG6" s="1110"/>
      <c r="DH6" s="242" t="s">
        <v>29</v>
      </c>
      <c r="DI6" s="1114"/>
      <c r="DJ6" s="1114"/>
      <c r="DK6" s="1115"/>
      <c r="DL6" s="1347"/>
      <c r="DM6" s="1114"/>
      <c r="DN6" s="1348"/>
      <c r="DO6" s="1118"/>
      <c r="DP6" s="1119"/>
      <c r="DQ6" s="1119"/>
      <c r="DR6" s="1100"/>
      <c r="DS6" s="1100"/>
      <c r="DT6" s="1100"/>
      <c r="DU6" s="1100"/>
      <c r="DV6" s="1100"/>
      <c r="DW6" s="1100"/>
      <c r="DX6" s="1103"/>
      <c r="DY6" s="1334"/>
      <c r="DZ6" s="1100"/>
      <c r="EA6" s="1100"/>
      <c r="EB6" s="1100"/>
      <c r="EC6" s="1100"/>
      <c r="ED6" s="1100"/>
      <c r="EE6" s="1328"/>
      <c r="EF6" s="1328"/>
      <c r="EG6" s="1329"/>
      <c r="EH6" s="1352"/>
      <c r="EI6" s="1353"/>
      <c r="EJ6" s="1354"/>
      <c r="EK6" s="1100"/>
      <c r="EL6" s="1103"/>
      <c r="EM6" s="1261" t="s">
        <v>198</v>
      </c>
      <c r="EN6" s="1247"/>
      <c r="EO6" s="1344"/>
      <c r="EP6" s="1246" t="s">
        <v>197</v>
      </c>
      <c r="EQ6" s="1247"/>
      <c r="ER6" s="1248"/>
      <c r="ES6" s="1095"/>
      <c r="ET6" s="1096"/>
      <c r="EU6" s="1256"/>
      <c r="EV6" s="263" t="s">
        <v>220</v>
      </c>
      <c r="EW6" s="1246" t="s">
        <v>201</v>
      </c>
      <c r="EX6" s="1247"/>
      <c r="EY6" s="1260"/>
      <c r="EZ6" s="1370"/>
      <c r="FA6" s="1267"/>
      <c r="FB6" s="1268"/>
      <c r="FC6" s="1269"/>
      <c r="FD6" s="1261" t="s">
        <v>201</v>
      </c>
      <c r="FE6" s="1247"/>
      <c r="FF6" s="1248"/>
      <c r="FG6" s="1263" t="s">
        <v>223</v>
      </c>
      <c r="FH6" s="1264"/>
      <c r="FI6" s="1265"/>
      <c r="FJ6" s="1099" t="s">
        <v>202</v>
      </c>
      <c r="FK6" s="1102" t="s">
        <v>213</v>
      </c>
      <c r="FL6" s="1232"/>
      <c r="FM6" s="1071"/>
      <c r="FN6" s="1244" t="s">
        <v>203</v>
      </c>
      <c r="FO6" s="1332" t="s">
        <v>226</v>
      </c>
      <c r="FP6" s="1239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68" t="s">
        <v>217</v>
      </c>
      <c r="FV6" s="1266"/>
      <c r="FW6" s="1069"/>
      <c r="FX6" s="1244" t="s">
        <v>218</v>
      </c>
      <c r="FY6" s="1332" t="s">
        <v>226</v>
      </c>
      <c r="FZ6" s="1239" t="s">
        <v>224</v>
      </c>
      <c r="GA6" s="1367" t="s">
        <v>237</v>
      </c>
      <c r="GB6" s="318" t="s">
        <v>206</v>
      </c>
      <c r="GC6" s="319" t="s">
        <v>238</v>
      </c>
      <c r="GD6" s="320" t="s">
        <v>225</v>
      </c>
      <c r="GE6" s="1306"/>
      <c r="GF6" s="1273" t="s">
        <v>256</v>
      </c>
      <c r="GG6" s="318" t="s">
        <v>206</v>
      </c>
      <c r="GH6" s="319" t="s">
        <v>238</v>
      </c>
      <c r="GI6" s="320" t="s">
        <v>225</v>
      </c>
      <c r="GJ6" s="1309"/>
      <c r="GK6" s="1356"/>
      <c r="GL6" s="1359"/>
      <c r="GM6" s="1359"/>
      <c r="GN6" s="1360"/>
      <c r="GO6" s="1314" t="s">
        <v>236</v>
      </c>
      <c r="GP6" s="1318" t="s">
        <v>224</v>
      </c>
      <c r="GQ6" s="1232" t="s">
        <v>202</v>
      </c>
      <c r="GR6" s="1122"/>
      <c r="GS6" s="1292" t="s">
        <v>248</v>
      </c>
      <c r="GT6" s="1293"/>
      <c r="GU6" s="1285" t="s">
        <v>247</v>
      </c>
      <c r="GV6" s="1242"/>
      <c r="GW6" s="1242"/>
      <c r="GX6" s="340" t="s">
        <v>106</v>
      </c>
      <c r="GY6" s="994" t="s">
        <v>246</v>
      </c>
      <c r="GZ6" s="1082"/>
      <c r="HA6" s="1249" t="s">
        <v>248</v>
      </c>
      <c r="HB6" s="1109"/>
      <c r="HC6" s="1109"/>
      <c r="HD6" s="1110"/>
      <c r="HE6" s="994" t="s">
        <v>247</v>
      </c>
      <c r="HF6" s="1014"/>
      <c r="HG6" s="1014"/>
      <c r="HH6" s="1018"/>
      <c r="HI6" s="1295"/>
      <c r="HM6" s="915" t="s">
        <v>392</v>
      </c>
      <c r="HN6" s="1299" t="s">
        <v>393</v>
      </c>
      <c r="HO6" s="1299"/>
      <c r="HP6" s="1299"/>
      <c r="HQ6" s="1299"/>
      <c r="HR6" s="1300"/>
      <c r="HS6" s="1233" t="s">
        <v>105</v>
      </c>
      <c r="HT6" s="1234"/>
      <c r="HU6" s="1234"/>
      <c r="HV6" s="1341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400</v>
      </c>
      <c r="B7" s="1199" t="s">
        <v>40</v>
      </c>
      <c r="C7" s="1200"/>
      <c r="D7" s="1201"/>
      <c r="E7" s="1202" t="s">
        <v>41</v>
      </c>
      <c r="F7" s="1200"/>
      <c r="G7" s="1203"/>
      <c r="H7" s="1174" t="s">
        <v>98</v>
      </c>
      <c r="I7" s="1175"/>
      <c r="J7" s="1176"/>
      <c r="K7" s="169"/>
      <c r="L7" s="1122"/>
      <c r="M7" s="1194"/>
      <c r="N7" s="1213"/>
      <c r="O7" s="1215"/>
      <c r="P7" s="1084"/>
      <c r="Q7" s="36" t="s">
        <v>18</v>
      </c>
      <c r="R7" s="2" t="s">
        <v>19</v>
      </c>
      <c r="S7" s="1210"/>
      <c r="T7" s="1156"/>
      <c r="U7" s="1158"/>
      <c r="V7" s="1205"/>
      <c r="W7" s="37" t="str">
        <f>$Q$7</f>
        <v>&lt; θ°</v>
      </c>
      <c r="X7" s="27" t="str">
        <f>$R$7</f>
        <v>r</v>
      </c>
      <c r="Y7" s="1154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46"/>
      <c r="AS7" s="1151" t="s">
        <v>54</v>
      </c>
      <c r="AT7" s="1149" t="s">
        <v>53</v>
      </c>
      <c r="AV7" s="1138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24"/>
      <c r="BC7" s="37" t="str">
        <f>$Q$7</f>
        <v>&lt; θ°</v>
      </c>
      <c r="BD7" s="27" t="str">
        <f>$R$7</f>
        <v>r</v>
      </c>
      <c r="BE7" s="1227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71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62"/>
      <c r="FK7" s="358" t="s">
        <v>210</v>
      </c>
      <c r="FL7" s="361" t="s">
        <v>211</v>
      </c>
      <c r="FM7" s="907" t="s">
        <v>212</v>
      </c>
      <c r="FN7" s="1245"/>
      <c r="FO7" s="1333"/>
      <c r="FP7" s="1240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45"/>
      <c r="FY7" s="1333"/>
      <c r="FZ7" s="1240"/>
      <c r="GA7" s="1368"/>
      <c r="GB7" s="212" t="s">
        <v>231</v>
      </c>
      <c r="GC7" s="127" t="s">
        <v>232</v>
      </c>
      <c r="GD7" s="213" t="s">
        <v>233</v>
      </c>
      <c r="GE7" s="1307"/>
      <c r="GF7" s="127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15"/>
      <c r="GP7" s="1319"/>
      <c r="GQ7" s="1320"/>
      <c r="GR7" s="1322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96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120" t="s">
        <v>394</v>
      </c>
      <c r="HP7" s="1121"/>
      <c r="HQ7" s="1271" t="s">
        <v>390</v>
      </c>
      <c r="HR7" s="1272"/>
      <c r="HS7" s="897" t="s">
        <v>29</v>
      </c>
      <c r="HT7" s="898" t="s">
        <v>110</v>
      </c>
      <c r="HU7" s="1342" t="s">
        <v>391</v>
      </c>
      <c r="HV7" s="134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0" t="s">
        <v>33</v>
      </c>
      <c r="IJ7" s="1279" t="s">
        <v>376</v>
      </c>
      <c r="IK7" s="1016" t="s">
        <v>324</v>
      </c>
      <c r="IL7" s="1017"/>
      <c r="IM7" s="1017"/>
      <c r="IN7" s="1014"/>
      <c r="IO7" s="1014"/>
      <c r="IP7" s="1014"/>
      <c r="IQ7" s="995"/>
      <c r="IR7" s="994" t="s">
        <v>320</v>
      </c>
      <c r="IS7" s="1014"/>
      <c r="IT7" s="1014"/>
      <c r="IU7" s="1014"/>
      <c r="IV7" s="1014"/>
      <c r="IW7" s="994" t="s">
        <v>319</v>
      </c>
      <c r="IX7" s="1014"/>
      <c r="IY7" s="1014"/>
      <c r="IZ7" s="1014"/>
      <c r="JA7" s="995"/>
      <c r="JC7" s="725"/>
      <c r="JD7" s="1088" t="s">
        <v>355</v>
      </c>
      <c r="JE7" s="1088"/>
      <c r="JF7" s="1088"/>
      <c r="JG7" s="1089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22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89.401734077335576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-0.53249999999999986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52"/>
      <c r="AT8" s="1150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81"/>
      <c r="IJ8" s="1280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-2.92E-2</v>
      </c>
      <c r="C9" s="641">
        <f t="shared" ref="C9:C40" si="3">IFERROR(R164+($A9*-F9),"")</f>
        <v>0.30019999999999969</v>
      </c>
      <c r="D9" s="642">
        <f t="shared" ref="D9:D40" si="4">IFERROR(S164+($A9*-G9),"")</f>
        <v>-0.57069999999999999</v>
      </c>
      <c r="E9" s="643">
        <f t="shared" ref="E9:E40" si="5">T164</f>
        <v>-0.93358042649720174</v>
      </c>
      <c r="F9" s="641">
        <f t="shared" ref="F9:F40" si="6">U164</f>
        <v>0</v>
      </c>
      <c r="G9" s="644">
        <f t="shared" ref="G9:G40" si="7">V164</f>
        <v>0.35836794954530027</v>
      </c>
      <c r="H9" s="643">
        <f t="shared" ref="H9:H40" si="8">W164</f>
        <v>0.26450000000000001</v>
      </c>
      <c r="I9" s="641">
        <f t="shared" ref="I9:I40" si="9">X164</f>
        <v>0.52</v>
      </c>
      <c r="J9" s="932">
        <f t="shared" ref="J9:J40" si="10">IF(Y164=0,"",Y164)</f>
        <v>1.101</v>
      </c>
      <c r="K9" s="805">
        <f t="shared" ref="K9:K40" si="11">Z164</f>
        <v>1313</v>
      </c>
      <c r="M9" s="163">
        <f t="shared" ref="M9:M40" si="12">IF(J9="","",VALUE(J9))</f>
        <v>1.101</v>
      </c>
      <c r="N9" s="566">
        <f t="shared" ref="N9:N40" si="13">IF(M9="","",B9)</f>
        <v>-2.92E-2</v>
      </c>
      <c r="O9" s="567">
        <f t="shared" ref="O9:O40" si="14">IF(M9="","",C9)</f>
        <v>0.30019999999999969</v>
      </c>
      <c r="P9" s="568">
        <f t="shared" ref="P9:P40" si="15">IF(M9="","",D9)</f>
        <v>-0.57069999999999999</v>
      </c>
      <c r="Q9" s="526">
        <f>IF(M9="","",IF(DEGREES(ATAN2(N9,O9))&lt;0,DEGREES(ATAN2(N9,O9))+360,IF(DEGREES(ATAN2(N9,O9))&gt;360,DEGREES(ATAN2(N9,O9))-360,DEGREES(ATAN2(N9,O9)))))</f>
        <v>95.555597015193158</v>
      </c>
      <c r="R9" s="567">
        <f>IF(M9="","",SQRT(N9^2+O9^2))</f>
        <v>0.30161677672171988</v>
      </c>
      <c r="S9" s="569">
        <f>IF(M9="","",P9)</f>
        <v>-0.57069999999999999</v>
      </c>
      <c r="T9" s="570">
        <f>IF(M9="","",X9*COS(RADIANS(W9)))</f>
        <v>0.29987874245309326</v>
      </c>
      <c r="U9" s="567">
        <f>IF(M9="","",X9*SIN(RADIANS(W9)))</f>
        <v>3.2332952614185867E-2</v>
      </c>
      <c r="V9" s="571">
        <f>IF(M9="","",Y9)</f>
        <v>-0.57069999999999999</v>
      </c>
      <c r="W9" s="526">
        <f t="shared" ref="W9:W14" si="16">IF(M9="","",IF(Q9-$Q$8&lt;0,360+Q9-$Q$8,Q9-$Q$8))</f>
        <v>6.153862937857582</v>
      </c>
      <c r="X9" s="572">
        <f>IF(M9="","",R9)</f>
        <v>0.30161677672171988</v>
      </c>
      <c r="Y9" s="573">
        <f t="shared" ref="Y9:Y15" si="17">IF(M9="","",S9)</f>
        <v>-0.57069999999999999</v>
      </c>
      <c r="Z9" s="566">
        <f t="shared" ref="Z9:Z40" si="18">IF(M9="","",-E9)</f>
        <v>0.93358042649720174</v>
      </c>
      <c r="AA9" s="567">
        <f t="shared" ref="AA9:AA40" si="19">IF(M9="","",-F9)</f>
        <v>0</v>
      </c>
      <c r="AB9" s="567">
        <f t="shared" ref="AB9:AB40" si="20">IF(M9="","",-G9)</f>
        <v>-0.35836794954530027</v>
      </c>
      <c r="AC9" s="571">
        <f>IF(M9="","",SQRT(Z9^2+AA9^2+AB9^2))</f>
        <v>1</v>
      </c>
      <c r="AD9" s="574">
        <f>IF(M9="","",Z9*(1/SQRT(Z9^2+AA9^2+AB9^2)))</f>
        <v>0.93358042649720174</v>
      </c>
      <c r="AE9" s="567">
        <f>IF(M9="","",AA9*(1/SQRT(Z9^2+AA9^2+AB9^2)))</f>
        <v>0</v>
      </c>
      <c r="AF9" s="568">
        <f>IF(M9="","",AB9*(1/SQRT(Z9^2+AA9^2+AB9^2)))</f>
        <v>-0.35836794954530027</v>
      </c>
      <c r="AG9" s="542">
        <f>IF(M9="","",DEGREES(ATAN2(-AF9,AE9)))</f>
        <v>0</v>
      </c>
      <c r="AH9" s="543">
        <f>IF(M9="","",DEGREES(ACOS(AD9)))</f>
        <v>21.000000000000004</v>
      </c>
      <c r="AI9" s="526">
        <f>IF(M9="","",DEGREES(-ACOS(-AF9)))</f>
        <v>-69</v>
      </c>
      <c r="AJ9" s="544">
        <f>IF(M9="","",DEGREES(ATAN2(-AE9,AD9)))</f>
        <v>90</v>
      </c>
      <c r="AK9" s="570">
        <f>IF(M9="","",(COS(RADIANS((90-$Q$8)-W9))*AD9)+(-SIN(RADIANS((90-$Q$8)-W9))*AE9))</f>
        <v>0.92919514319004948</v>
      </c>
      <c r="AL9" s="567">
        <f>IF(M9="","",(SIN(RADIANS((90-$Q$8)-W9))*AD9)+(COS(RADIANS((90-$Q$8)-W9))*AE9))</f>
        <v>-9.0381406332942921E-2</v>
      </c>
      <c r="AM9" s="569">
        <f>IF(M9="","",AF9)</f>
        <v>-0.35836794954530027</v>
      </c>
      <c r="AN9" s="524">
        <f>IF(M9="","",DEGREES(ATAN2(-AM9,AL9)))</f>
        <v>-14.154969626160819</v>
      </c>
      <c r="AO9" s="525">
        <f>IF(ROUND(IF(M9="",0,DEGREES(ACOS(AK9))),4)=90,0,IF(M9="","",DEGREES(ACOS(AK9))))</f>
        <v>21.690301863747006</v>
      </c>
      <c r="AP9" s="722">
        <f>IF(M9="","",DEGREES(ATAN2(AK9,AL9)))</f>
        <v>-5.5555970151931575</v>
      </c>
      <c r="AQ9" s="527">
        <f t="shared" ref="AQ9:AQ40" si="21">IF(M9="","",DEGREES(ATAN(($AS$5*SIN(RADIANS(90)))/(($X9*2*PI())-($AS$5*COS(RADIANS(90)))))))</f>
        <v>7.5149625317363453</v>
      </c>
      <c r="AS9" s="945">
        <f>IF(M9="","",W9)</f>
        <v>6.153862937857582</v>
      </c>
      <c r="AT9" s="941">
        <f t="shared" ref="AT9:AT40" si="22">IF(M9="","",Y9+(((AS9-$AS$9)*$AS$6)*-1))</f>
        <v>-0.57069999999999999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4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5">IF(ISNUMBER($AV9),CI9+($CT9*(CL9-CI9)),"")</f>
        <v/>
      </c>
      <c r="CW9" s="20" t="str">
        <f t="shared" si="35"/>
        <v/>
      </c>
      <c r="CX9" s="25" t="str">
        <f t="shared" si="35"/>
        <v/>
      </c>
      <c r="CY9" s="24" t="str">
        <f t="shared" ref="CY9:DA10" si="36">IF(ISNUMBER($AV9),CI9+($CU9*(CL9-CI9)),"")</f>
        <v/>
      </c>
      <c r="CZ9" s="20" t="str">
        <f t="shared" si="36"/>
        <v/>
      </c>
      <c r="DA9" s="22" t="str">
        <f t="shared" si="3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7">IF(ISNUMBER($AV9),DE9-DB9,"")</f>
        <v/>
      </c>
      <c r="DJ9" s="5" t="str">
        <f t="shared" si="37"/>
        <v/>
      </c>
      <c r="DK9" s="10" t="str">
        <f t="shared" si="37"/>
        <v/>
      </c>
      <c r="DL9" s="9" t="str">
        <f t="shared" ref="DL9:DN9" si="38">IF(ISNUMBER($AV9),CV9-DB9,"")</f>
        <v/>
      </c>
      <c r="DM9" s="173" t="str">
        <f t="shared" si="38"/>
        <v/>
      </c>
      <c r="DN9" s="178" t="str">
        <f t="shared" si="38"/>
        <v/>
      </c>
      <c r="DO9" s="9" t="str">
        <f t="shared" ref="DO9:DQ10" si="39">IF(ISNUMBER($AV9),CY9-CV9,"")</f>
        <v/>
      </c>
      <c r="DP9" s="173" t="str">
        <f t="shared" si="39"/>
        <v/>
      </c>
      <c r="DQ9" s="11" t="str">
        <f t="shared" si="39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0">IF(ISNUMBER($AV9),CV9+DO9*$EC9,"")</f>
        <v/>
      </c>
      <c r="EF9" s="5" t="str">
        <f t="shared" si="40"/>
        <v/>
      </c>
      <c r="EG9" s="10" t="str">
        <f t="shared" si="40"/>
        <v/>
      </c>
      <c r="EH9" s="9" t="str">
        <f t="shared" ref="EH9:EJ10" si="41">IF(ISNUMBER($AV9),CV9+DO9*$ED9,"")</f>
        <v/>
      </c>
      <c r="EI9" s="5" t="str">
        <f t="shared" si="41"/>
        <v/>
      </c>
      <c r="EJ9" s="6" t="str">
        <f t="shared" si="41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2">IF(ISNUMBER($AV9),IF($EK9=TRUE,EE9,IF($EL9=TRUE,EH9,"")),"")</f>
        <v/>
      </c>
      <c r="EN9" s="5" t="str">
        <f t="shared" si="42"/>
        <v/>
      </c>
      <c r="EO9" s="10" t="str">
        <f t="shared" si="4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3">IF(ISNUMBER($AV9),AE9,"")</f>
        <v/>
      </c>
      <c r="EU9" s="273" t="str">
        <f t="shared" ref="EU9:EU40" si="44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5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6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7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8">IF(ISNUMBER($AV9),EX9-FE9,"")</f>
        <v/>
      </c>
      <c r="FI9" s="10" t="str">
        <f t="shared" ref="FI9:FI40" si="49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0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1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2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3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4">IF(ISNUMBER($AV9),ABS(GB9)/(ABS($GB9)+ABS($GC9)+ABS($GD9)),"")</f>
        <v/>
      </c>
      <c r="GH9" s="304" t="str">
        <f t="shared" ref="GH9:GH40" si="55">IF(ISNUMBER($AV9),ABS(GC9)/(ABS($GB9)+ABS($GC9)+ABS($GD9)),"")</f>
        <v/>
      </c>
      <c r="GI9" s="305" t="str">
        <f t="shared" ref="GI9:GI40" si="56">IF(ISNUMBER($AV9),ABS(GD9)/(ABS($GB9)+ABS($GC9)+ABS($GD9)),"")</f>
        <v/>
      </c>
      <c r="GJ9" s="167" t="str">
        <f>IF(ISNUMBER($AV9),AW9,"")</f>
        <v/>
      </c>
      <c r="GK9" s="174" t="str">
        <f t="shared" ref="GK9:GK53" si="57">IF(ISNUMBER($AV9),SQRT((2*PI()*$GJ9)^2+$AS$5^2)/12,"")</f>
        <v/>
      </c>
      <c r="GL9" s="174" t="str">
        <f t="shared" ref="GL9:GN10" si="58">IF(ISNUMBER($AV9),AY9,"")</f>
        <v/>
      </c>
      <c r="GM9" s="9" t="str">
        <f t="shared" si="58"/>
        <v/>
      </c>
      <c r="GN9" s="281" t="str">
        <f t="shared" si="58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9">IF(ISNUMBER($AV9),GU9/GH9*GG9,"")</f>
        <v/>
      </c>
      <c r="GT9" s="343" t="str">
        <f t="shared" ref="GT9:GT40" si="60">IF(ISNUMBER($AV9),GS9/$GK9,"")</f>
        <v/>
      </c>
      <c r="GU9" s="344" t="str">
        <f t="shared" ref="GU9:GU53" si="61">IF(ISNUMBER($AV9),$GV9*$GK9,"")</f>
        <v/>
      </c>
      <c r="GV9" s="343" t="str">
        <f>IF(ISNUMBER($AV9),GW9*$GL9,"")</f>
        <v/>
      </c>
      <c r="GW9" s="345" t="str">
        <f t="shared" ref="GW9:GW53" si="62">IF(ISNUMBER($AV9),$GW$2,"")</f>
        <v/>
      </c>
      <c r="GX9" s="346" t="str">
        <f t="shared" ref="GX9:GX53" si="63">IF(ISNUMBER($AV9),($GJ9/12)*$GV9,"")</f>
        <v/>
      </c>
      <c r="GY9" s="344" t="str">
        <f t="shared" ref="GY9:GY40" si="64">IF(ISNUMBER($AV9),GU9/GH9*GI9,"")</f>
        <v/>
      </c>
      <c r="GZ9" s="345" t="str">
        <f t="shared" ref="GZ9:GZ40" si="65">IF(ISNUMBER($AV9),GY9/$GK9,"")</f>
        <v/>
      </c>
      <c r="HA9" s="342" t="str">
        <f t="shared" ref="HA9:HA53" si="66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7">IF(ISNUMBER($AV9),$FY9*$GV9,"")</f>
        <v/>
      </c>
      <c r="HF9" s="5" t="str">
        <f t="shared" ref="HF9:HF53" si="68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9">IF(ISNUMBER($AV9),$M9,"")</f>
        <v/>
      </c>
      <c r="HJ9" s="336"/>
      <c r="HK9" s="315">
        <v>1</v>
      </c>
      <c r="HL9" s="347" t="str">
        <f t="shared" ref="HL9:HL40" si="70">IF(ISNUMBER($HS9),INDEX(HI$9:HI$150,MATCH($HS9,$GJ$9:$GJ$150,0)),"")</f>
        <v/>
      </c>
      <c r="HM9" s="917" t="str">
        <f t="shared" ref="HM9:HM40" si="71">IF(ISNUMBER($HL9),INDEX(GO$9:GO$150,MATCH($HL9,$AV$9:$AV$150,0)),"")</f>
        <v/>
      </c>
      <c r="HN9" s="918" t="str">
        <f t="shared" ref="HN9:HN40" si="72">IF(ISNUMBER($HL9),INDEX(AO$9:AO$150,MATCH($HL9,$AV$9:$AV$150,0)),"")</f>
        <v/>
      </c>
      <c r="HO9" s="919"/>
      <c r="HP9" s="920"/>
      <c r="HQ9" s="921" t="str">
        <f t="shared" ref="HQ9:HQ40" si="73">IF(ISNUMBER($HL9),INDEX(GQ$9:GQ$150,MATCH($HL9,$AV$9:$AV$150,0)),"")</f>
        <v/>
      </c>
      <c r="HR9" s="922" t="str">
        <f t="shared" ref="HR9:HR40" si="74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75">IF(ISNUMBER($HL9),INDEX(GL$9:GL$150,MATCH($HL9,$AV$9:$AV$150,0)),"")</f>
        <v/>
      </c>
      <c r="HU9" s="888" t="str">
        <f t="shared" ref="HU9:HU40" si="76">IF(ISNUMBER($HL9),INDEX(GM$9:GM$150,MATCH($HL9,$AV$9:$AV$150,0)),"")</f>
        <v/>
      </c>
      <c r="HV9" s="885" t="str">
        <f t="shared" ref="HV9:HV40" si="77">IF(ISNUMBER($HL9),INDEX(GN$9:GN$150,MATCH($HL9,$AV$9:$AV$150,0)),"")</f>
        <v/>
      </c>
      <c r="HW9" s="874" t="str">
        <f t="shared" ref="HW9:HW40" si="78">IF(ISNUMBER($HL9),INDEX(GW$9:GW$150,MATCH($HL9,$AV$9:$AV$150,0)),"")</f>
        <v/>
      </c>
      <c r="HX9" s="875" t="str">
        <f t="shared" ref="HX9:HX40" si="79">IF(ISNUMBER($HL9),INDEX(GX$9:GX$150,MATCH($HL9,$AV$9:$AV$150,0)),"")</f>
        <v/>
      </c>
      <c r="HY9" s="874" t="str">
        <f t="shared" ref="HY9:HY40" si="80">IF(ISNUMBER($HL9),INDEX(GS$9:GS$150,MATCH($HL9,$AV$9:$AV$150,0)),"")</f>
        <v/>
      </c>
      <c r="HZ9" s="876" t="str">
        <f t="shared" ref="HZ9:HZ40" si="81">IF(ISNUMBER($HL9),INDEX(GU$9:GU$150,MATCH($HL9,$AV$9:$AV$150,0)),"")</f>
        <v/>
      </c>
      <c r="IA9" s="877" t="str">
        <f t="shared" ref="IA9:IA40" si="82">IF(ISNUMBER($HL9),INDEX(GY$9:GY$150,MATCH($HL9,$AV$9:$AV$150,0)),"")</f>
        <v/>
      </c>
      <c r="IB9" s="878" t="str">
        <f t="shared" ref="IB9:IB40" si="83">IF(ISNUMBER($HL9),INDEX(GR$9:GR$150,MATCH($HL9,$AV$9:$AV$150,0)),"")</f>
        <v/>
      </c>
      <c r="IC9" s="854" t="str">
        <f t="shared" ref="IC9:IC40" si="84">IF(ISNUMBER($HL9),INDEX(GT$9:GT$150,MATCH($HL9,$AV$9:$AV$150,0)),"")</f>
        <v/>
      </c>
      <c r="ID9" s="350" t="str">
        <f t="shared" ref="ID9:ID40" si="85">IF(ISNUMBER($HL9),INDEX(GV$9:GV$150,MATCH($HL9,$AV$9:$AV$150,0)),"")</f>
        <v/>
      </c>
      <c r="IE9" s="856" t="str">
        <f t="shared" ref="IE9:IE40" si="86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7">IF(ISNUMBER($IK9),INDEX($K$9:$K$150,MATCH($IK9,$M$9:$M$150,0)),$K9)</f>
        <v>1313</v>
      </c>
      <c r="IM9" s="781" t="str">
        <f t="shared" ref="IM9" si="88">IF(ISNUMBER($IK9),INDEX($K$9:$K$150,MATCH($II9,$M$9:$M$150,0)),"")</f>
        <v/>
      </c>
      <c r="IN9" s="672" t="str">
        <f t="shared" ref="IN9:IN40" si="89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0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1">IF(ISNUMBER($IK9),INDEX($Y$9:$Y$150,MATCH($IK9,$M$9:$M$150,0)),"")</f>
        <v/>
      </c>
      <c r="IT9" s="20" t="str">
        <f t="shared" ref="IT9:IT40" si="92">IF(ISNUMBER($IK9),INDEX($H$9:$H$150,MATCH($IK9,$M$9:$M$150,0)),"")</f>
        <v/>
      </c>
      <c r="IU9" s="20" t="str">
        <f t="shared" ref="IU9:IU40" si="93">IF(ISNUMBER($IK9),$IT9*COS(RADIANS(INDEX($AO$9:$AO$150,MATCH($IK9,$M$9:$M$150,0)))),"")</f>
        <v/>
      </c>
      <c r="IV9" s="672" t="str">
        <f t="shared" ref="IV9:IV40" si="94">IF(ISNUMBER($IK9),(-1*INDEX($AN$9:$AN$150,MATCH($IK9,$M$9:$M$150,0))),"")</f>
        <v/>
      </c>
      <c r="IW9" s="24" t="str">
        <f t="shared" ref="IW9:IW40" si="95">IF(ISNUMBER($IK9),-$X9,"")</f>
        <v/>
      </c>
      <c r="IX9" s="20" t="str">
        <f t="shared" ref="IX9:IX40" si="96">IF(ISNUMBER($IK9),$Y9,"")</f>
        <v/>
      </c>
      <c r="IY9" s="20" t="str">
        <f t="shared" ref="IY9:IY40" si="97">IF(ISNUMBER($IK9),$H9,"")</f>
        <v/>
      </c>
      <c r="IZ9" s="20" t="str">
        <f t="shared" ref="IZ9:IZ40" si="98">IF(ISNUMBER($IK9),$IY9*COS(RADIANS($AO9)),"")</f>
        <v/>
      </c>
      <c r="JA9" s="704" t="str">
        <f t="shared" ref="JA9:JA40" si="99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26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-2.92E-2</v>
      </c>
      <c r="C10" s="572">
        <f t="shared" si="3"/>
        <v>1.0299999999999996</v>
      </c>
      <c r="D10" s="576">
        <f t="shared" si="4"/>
        <v>-0.4249</v>
      </c>
      <c r="E10" s="580">
        <f t="shared" si="5"/>
        <v>-0.96592582628906831</v>
      </c>
      <c r="F10" s="572">
        <f t="shared" si="6"/>
        <v>0</v>
      </c>
      <c r="G10" s="579">
        <f t="shared" si="7"/>
        <v>0.25881904510252074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-2.92E-2</v>
      </c>
      <c r="O10" s="572">
        <f t="shared" si="14"/>
        <v>1.0299999999999996</v>
      </c>
      <c r="P10" s="576">
        <f t="shared" si="15"/>
        <v>-0.4249</v>
      </c>
      <c r="Q10" s="528">
        <f>IF(M10="","",IF(DEGREES(ATAN2(N10,O10))&lt;0,DEGREES(ATAN2(N10,O10))+360,IF(DEGREES(ATAN2(N10,O10))&gt;360,DEGREES(ATAN2(N10,O10))-360,DEGREES(ATAN2(N10,O10)))))</f>
        <v>91.623872596158037</v>
      </c>
      <c r="R10" s="572">
        <f t="shared" ref="R10:R105" si="100">IF(M10="","",SQRT(N10^2+O10^2))</f>
        <v>1.0304138197831001</v>
      </c>
      <c r="S10" s="577">
        <f t="shared" ref="S10:S105" si="101">IF(M10="","",P10)</f>
        <v>-0.4249</v>
      </c>
      <c r="T10" s="578">
        <f t="shared" ref="T10:T105" si="102">IF(M10="","",X10*COS(RADIANS(W10)))</f>
        <v>1.0296389580190133</v>
      </c>
      <c r="U10" s="572">
        <f t="shared" ref="U10:U105" si="103">IF(M10="","",X10*SIN(RADIANS(W10)))</f>
        <v>3.995317421081461E-2</v>
      </c>
      <c r="V10" s="579">
        <f>IF(M10="","",Y10)</f>
        <v>-0.4249</v>
      </c>
      <c r="W10" s="528">
        <f t="shared" si="16"/>
        <v>2.2221385188224616</v>
      </c>
      <c r="X10" s="572">
        <f t="shared" ref="X10:X105" si="104">IF(M10="","",R10)</f>
        <v>1.0304138197831001</v>
      </c>
      <c r="Y10" s="573">
        <f t="shared" si="17"/>
        <v>-0.4249</v>
      </c>
      <c r="Z10" s="575">
        <f>IF(M10="","",-E10)</f>
        <v>0.96592582628906831</v>
      </c>
      <c r="AA10" s="572">
        <f t="shared" si="19"/>
        <v>0</v>
      </c>
      <c r="AB10" s="572">
        <f t="shared" si="20"/>
        <v>-0.25881904510252074</v>
      </c>
      <c r="AC10" s="579">
        <f t="shared" ref="AC10:AC105" si="105">IF(M10="","",SQRT(Z10^2+AA10^2+AB10^2))</f>
        <v>1</v>
      </c>
      <c r="AD10" s="580">
        <f>IF(M10="","",Z10*(1/SQRT(Z10^2+AA10^2+AB10^2)))</f>
        <v>0.96592582628906831</v>
      </c>
      <c r="AE10" s="572">
        <f t="shared" ref="AE10:AE105" si="106">IF(M10="","",AA10*(1/SQRT(Z10^2+AA10^2+AB10^2)))</f>
        <v>0</v>
      </c>
      <c r="AF10" s="576">
        <f t="shared" ref="AF10:AF105" si="107">IF(M10="","",AB10*(1/SQRT(Z10^2+AA10^2+AB10^2)))</f>
        <v>-0.25881904510252074</v>
      </c>
      <c r="AG10" s="545">
        <f t="shared" ref="AG10:AG105" si="108">IF(M10="","",DEGREES(ATAN2(-AF10,AE10)))</f>
        <v>0</v>
      </c>
      <c r="AH10" s="546">
        <f t="shared" ref="AH10:AH105" si="109">IF(M10="","",DEGREES(ACOS(AD10)))</f>
        <v>14.999999999999982</v>
      </c>
      <c r="AI10" s="528">
        <f t="shared" ref="AI10:AI105" si="110">IF(M10="","",DEGREES(-ACOS(-AF10)))</f>
        <v>-75</v>
      </c>
      <c r="AJ10" s="529">
        <f t="shared" ref="AJ10:AJ105" si="111">IF(M10="","",DEGREES(ATAN2(-AE10,AD10)))</f>
        <v>90</v>
      </c>
      <c r="AK10" s="578">
        <f>IF(M10="","",(COS(RADIANS((90-$Q$8)-W10))*AD10)+(-SIN(RADIANS((90-$Q$8)-W10))*AE10))</f>
        <v>0.96553790523419514</v>
      </c>
      <c r="AL10" s="572">
        <f t="shared" ref="AL10:AL105" si="112">IF(M10="","",(SIN(RADIANS((90-$Q$8)-W10))*AD10)+(COS(RADIANS((90-$Q$8)-W10))*AE10))</f>
        <v>-2.7372530905668341E-2</v>
      </c>
      <c r="AM10" s="577">
        <f t="shared" ref="AM10:AM105" si="113">IF(M10="","",AF10)</f>
        <v>-0.25881904510252074</v>
      </c>
      <c r="AN10" s="524">
        <f t="shared" ref="AN10:AN105" si="114">IF(M10="","",DEGREES(ATAN2(-AM10,AL10)))</f>
        <v>-6.0371219851934219</v>
      </c>
      <c r="AO10" s="525">
        <f t="shared" ref="AO10:AO54" si="115">IF(ROUND(IF(M10="",0,DEGREES(ACOS(AK10))),4)=90,0,IF(M10="","",DEGREES(ACOS(AK10))))</f>
        <v>15.085636781207878</v>
      </c>
      <c r="AP10" s="528">
        <f t="shared" ref="AP10:AP105" si="116">IF(M10="","",DEGREES(ATAN2(AK10,AL10)))</f>
        <v>-1.6238725961580371</v>
      </c>
      <c r="AQ10" s="529">
        <f t="shared" si="21"/>
        <v>2.2113392953045006</v>
      </c>
      <c r="AS10" s="946">
        <f>IF($M10="","",IF(AND($W10&lt;($AS$9+180),$W10&gt;($AS$9-180)),$W10,IF($W10&gt;($AS$9+180),$W10-360,IF($W10&lt;($AS$9-180),$W10+360,"Error"))))</f>
        <v>2.2221385188224616</v>
      </c>
      <c r="AT10" s="942">
        <f t="shared" si="22"/>
        <v>-0.42216963582011452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7">IF(ISNUMBER($AV10),0,"")</f>
        <v/>
      </c>
      <c r="BT10" s="5" t="str">
        <f t="shared" si="117"/>
        <v/>
      </c>
      <c r="BU10" s="10" t="str">
        <f t="shared" ref="BU10:BU73" si="118">IF(ISNUMBER($AV10),$BE10,"")</f>
        <v/>
      </c>
      <c r="BV10" s="9" t="str">
        <f t="shared" ref="BV10:BV73" si="119">IF(ISNUMBER($AV10),0,"")</f>
        <v/>
      </c>
      <c r="BW10" s="5" t="str">
        <f t="shared" ref="BW10:BW73" si="120">IF(ISNUMBER($AV10),1,"")</f>
        <v/>
      </c>
      <c r="BX10" s="8" t="str">
        <f t="shared" ref="BX10:BX73" si="121">IF(ISNUMBER($AV10),$BE10,"")</f>
        <v/>
      </c>
      <c r="BY10" s="173" t="str">
        <f t="shared" ref="BY10:BY73" si="122">IF(ISNUMBER($AV10),1,"")</f>
        <v/>
      </c>
      <c r="BZ10" s="5" t="str">
        <f t="shared" ref="BZ10:BZ73" si="123">IF(ISNUMBER($AV10),0,"")</f>
        <v/>
      </c>
      <c r="CA10" s="6" t="str">
        <f t="shared" ref="CA10:CA73" si="12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5">IF(ISNUMBER($AV10),0,"")</f>
        <v/>
      </c>
      <c r="CJ10" s="5" t="str">
        <f t="shared" ref="CJ10:CJ73" si="126">IF(ISNUMBER($AV10),(CD10*BR10-BQ10*CE10)/(BQ10*CC10-CD10*BP10),"")</f>
        <v/>
      </c>
      <c r="CK10" s="8" t="str">
        <f t="shared" ref="CK10:CK73" si="127">IF(ISNUMBER($AV10),(CC10*BR10-BP10*CE10)/(-CC10*BQ10+BP10*CD10),"")</f>
        <v/>
      </c>
      <c r="CL10" s="173" t="str">
        <f t="shared" ref="CL10:CL73" si="128">IF(ISNUMBER($AV10),CI10+CF10,"")</f>
        <v/>
      </c>
      <c r="CM10" s="5" t="str">
        <f t="shared" ref="CM10:CM73" si="129">IF(ISNUMBER($AV10),CJ10+CG10,"")</f>
        <v/>
      </c>
      <c r="CN10" s="6" t="str">
        <f t="shared" ref="CN10:CN73" si="130">IF(ISNUMBER($AV10),CK10+CH10,"")</f>
        <v/>
      </c>
      <c r="CO10" s="167" t="str">
        <f t="shared" si="3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5"/>
        <v/>
      </c>
      <c r="CW10" s="5" t="str">
        <f t="shared" si="35"/>
        <v/>
      </c>
      <c r="CX10" s="8" t="str">
        <f t="shared" si="35"/>
        <v/>
      </c>
      <c r="CY10" s="9" t="str">
        <f t="shared" si="36"/>
        <v/>
      </c>
      <c r="CZ10" s="5" t="str">
        <f t="shared" si="36"/>
        <v/>
      </c>
      <c r="DA10" s="6" t="str">
        <f t="shared" si="3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9"/>
        <v/>
      </c>
      <c r="DP10" s="173" t="str">
        <f t="shared" si="39"/>
        <v/>
      </c>
      <c r="DQ10" s="11" t="str">
        <f t="shared" si="39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1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2"/>
        <v/>
      </c>
      <c r="EN10" s="5" t="str">
        <f t="shared" si="42"/>
        <v/>
      </c>
      <c r="EO10" s="10" t="str">
        <f t="shared" si="4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1">IF(ISNUMBER($AV10),AD10,"")</f>
        <v/>
      </c>
      <c r="ET10" s="5" t="str">
        <f t="shared" si="43"/>
        <v/>
      </c>
      <c r="EU10" s="10" t="str">
        <f t="shared" si="44"/>
        <v/>
      </c>
      <c r="EV10" s="174" t="str">
        <f>IF(ISNUMBER($AV10),IF(($EV$1-EP10)&lt;0,(360+($EV$1-EP10)),($EV$1-EP10)),"")</f>
        <v/>
      </c>
      <c r="EW10" s="9" t="str">
        <f t="shared" ref="EW10:EW40" si="132">IF(ISNUMBER($AV10),(COS(RADIANS($EV10))*ES10)+(-SIN(RADIANS($EV10))*ET10),"")</f>
        <v/>
      </c>
      <c r="EX10" s="5" t="str">
        <f t="shared" si="45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3">IF(ISNUMBER($AV10),SIN(RADIANS($EP10))*COS(RADIANS($EZ10)),"")</f>
        <v/>
      </c>
      <c r="FB10" s="267" t="str">
        <f t="shared" ref="FB10:FB53" si="134">IF(ISNUMBER($AV10),-1*COS(RADIANS($EP10))*COS(RADIANS($EZ10)),"")</f>
        <v/>
      </c>
      <c r="FC10" s="269" t="str">
        <f t="shared" si="46"/>
        <v/>
      </c>
      <c r="FD10" s="4" t="str">
        <f t="shared" ref="FD10:FD40" si="135">IF(ISNUMBER($AV10),(COS(RADIANS($EV10))*FA10)+(-SIN(RADIANS($EV10))*FB10),"")</f>
        <v/>
      </c>
      <c r="FE10" s="5" t="str">
        <f t="shared" si="47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8"/>
        <v/>
      </c>
      <c r="FI10" s="10" t="str">
        <f t="shared" si="49"/>
        <v/>
      </c>
      <c r="FJ10" s="279" t="str">
        <f>IF(ISNUMBER($AV10),DEGREES(ACOS((2-SQRT((FG10)^2+(FH10)^2+(FI10)^2)^2)/2)),"")</f>
        <v/>
      </c>
      <c r="FK10" s="4" t="str">
        <f t="shared" si="50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1"/>
        <v/>
      </c>
      <c r="FP10" s="277" t="str">
        <f t="shared" si="52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3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4"/>
        <v/>
      </c>
      <c r="GH10" s="286" t="str">
        <f t="shared" si="55"/>
        <v/>
      </c>
      <c r="GI10" s="281" t="str">
        <f t="shared" si="56"/>
        <v/>
      </c>
      <c r="GJ10" s="167" t="str">
        <f>IF(ISNUMBER($AV10),AW10,"")</f>
        <v/>
      </c>
      <c r="GK10" s="174" t="str">
        <f t="shared" si="57"/>
        <v/>
      </c>
      <c r="GL10" s="174" t="str">
        <f t="shared" si="58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9"/>
        <v/>
      </c>
      <c r="GT10" s="343" t="str">
        <f t="shared" si="60"/>
        <v/>
      </c>
      <c r="GU10" s="344" t="str">
        <f t="shared" si="61"/>
        <v/>
      </c>
      <c r="GV10" s="343" t="str">
        <f>IF(ISNUMBER($AV10),GW10*$GL10,"")</f>
        <v/>
      </c>
      <c r="GW10" s="345" t="str">
        <f t="shared" si="62"/>
        <v/>
      </c>
      <c r="GX10" s="346" t="str">
        <f t="shared" si="63"/>
        <v/>
      </c>
      <c r="GY10" s="344" t="str">
        <f t="shared" si="64"/>
        <v/>
      </c>
      <c r="GZ10" s="345" t="str">
        <f t="shared" si="65"/>
        <v/>
      </c>
      <c r="HA10" s="342" t="str">
        <f t="shared" si="66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7"/>
        <v/>
      </c>
      <c r="HF10" s="5" t="str">
        <f t="shared" si="68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9"/>
        <v/>
      </c>
      <c r="HJ10" s="336"/>
      <c r="HK10" s="310" t="str">
        <f t="shared" ref="HK10:HK41" si="136">IF(ISNUMBER(HS10),HK9+1,"")</f>
        <v/>
      </c>
      <c r="HL10" s="348" t="str">
        <f t="shared" si="70"/>
        <v/>
      </c>
      <c r="HM10" s="923" t="str">
        <f t="shared" si="71"/>
        <v/>
      </c>
      <c r="HN10" s="924" t="str">
        <f t="shared" si="72"/>
        <v/>
      </c>
      <c r="HO10" s="925"/>
      <c r="HP10" s="926"/>
      <c r="HQ10" s="924" t="str">
        <f t="shared" si="73"/>
        <v/>
      </c>
      <c r="HR10" s="927" t="str">
        <f t="shared" si="74"/>
        <v/>
      </c>
      <c r="HS10" s="879" t="str">
        <f>IFERROR(SMALL($GJ$9:$GJ$150,($HK9+1)),"")</f>
        <v/>
      </c>
      <c r="HT10" s="889" t="str">
        <f t="shared" si="75"/>
        <v/>
      </c>
      <c r="HU10" s="890" t="str">
        <f t="shared" si="76"/>
        <v/>
      </c>
      <c r="HV10" s="886" t="str">
        <f t="shared" si="77"/>
        <v/>
      </c>
      <c r="HW10" s="880" t="str">
        <f t="shared" si="78"/>
        <v/>
      </c>
      <c r="HX10" s="881" t="str">
        <f t="shared" si="79"/>
        <v/>
      </c>
      <c r="HY10" s="880" t="str">
        <f t="shared" si="80"/>
        <v/>
      </c>
      <c r="HZ10" s="882" t="str">
        <f t="shared" si="81"/>
        <v/>
      </c>
      <c r="IA10" s="883" t="str">
        <f t="shared" si="82"/>
        <v/>
      </c>
      <c r="IB10" s="884" t="str">
        <f t="shared" si="83"/>
        <v/>
      </c>
      <c r="IC10" s="855" t="str">
        <f t="shared" si="84"/>
        <v/>
      </c>
      <c r="ID10" s="351" t="str">
        <f t="shared" si="85"/>
        <v/>
      </c>
      <c r="IE10" s="857" t="str">
        <f t="shared" si="86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7"/>
        <v>1613</v>
      </c>
      <c r="IM10" s="482" t="str">
        <f>IF(ISNUMBER($IK10),INDEX($K$9:$K$150,MATCH($II10,$M$9:$M$150,0)),"")</f>
        <v/>
      </c>
      <c r="IN10" s="670" t="str">
        <f t="shared" si="89"/>
        <v/>
      </c>
      <c r="IO10" s="702"/>
      <c r="IP10" s="5" t="str">
        <f t="shared" si="90"/>
        <v/>
      </c>
      <c r="IQ10" s="714"/>
      <c r="IR10" s="9" t="str">
        <f t="shared" ref="IR10:IR40" si="137">IF(ISNUMBER($IK10),(INDEX($X$9:$X$150,MATCH($IK10,$M$9:$M$150,0))*-1),"")</f>
        <v/>
      </c>
      <c r="IS10" s="5" t="str">
        <f t="shared" si="91"/>
        <v/>
      </c>
      <c r="IT10" s="5" t="str">
        <f t="shared" si="92"/>
        <v/>
      </c>
      <c r="IU10" s="5" t="str">
        <f t="shared" si="93"/>
        <v/>
      </c>
      <c r="IV10" s="670" t="str">
        <f t="shared" si="94"/>
        <v/>
      </c>
      <c r="IW10" s="9" t="str">
        <f t="shared" si="95"/>
        <v/>
      </c>
      <c r="IX10" s="5" t="str">
        <f t="shared" si="96"/>
        <v/>
      </c>
      <c r="IY10" s="5" t="str">
        <f t="shared" si="97"/>
        <v/>
      </c>
      <c r="IZ10" s="5" t="str">
        <f t="shared" si="98"/>
        <v/>
      </c>
      <c r="JA10" s="705" t="str">
        <f t="shared" si="99"/>
        <v/>
      </c>
      <c r="JC10" s="731">
        <v>1313</v>
      </c>
      <c r="JD10" s="728" cm="1">
        <f t="array" ref="JD10">IF($JC10="","",COUNT(IF(IF($IK$9:$IK$150="",$IL$9:$IL$150,"")=$JC10,$II$9:$II$150,"")))</f>
        <v>7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-2.92E-2</v>
      </c>
      <c r="C11" s="572">
        <f t="shared" si="3"/>
        <v>1.7829999999999997</v>
      </c>
      <c r="D11" s="576">
        <f t="shared" si="4"/>
        <v>-0.22310000000000013</v>
      </c>
      <c r="E11" s="580">
        <f t="shared" si="5"/>
        <v>-0.96592582628906831</v>
      </c>
      <c r="F11" s="572">
        <f t="shared" si="6"/>
        <v>0</v>
      </c>
      <c r="G11" s="579">
        <f t="shared" si="7"/>
        <v>0.25881904510252074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-2.92E-2</v>
      </c>
      <c r="O11" s="572">
        <f t="shared" si="14"/>
        <v>1.7829999999999997</v>
      </c>
      <c r="P11" s="576">
        <f t="shared" si="15"/>
        <v>-0.22310000000000013</v>
      </c>
      <c r="Q11" s="528">
        <f t="shared" ref="Q11:Q73" si="138">IF(M11="","",IF(DEGREES(ATAN2(N11,O11))&lt;0,DEGREES(ATAN2(N11,O11))+360,IF(DEGREES(ATAN2(N11,O11))&gt;360,DEGREES(ATAN2(N11,O11))-360,DEGREES(ATAN2(N11,O11)))))</f>
        <v>90.938242969657196</v>
      </c>
      <c r="R11" s="572">
        <f t="shared" si="100"/>
        <v>1.7832390866061676</v>
      </c>
      <c r="S11" s="577">
        <f t="shared" si="101"/>
        <v>-0.22310000000000013</v>
      </c>
      <c r="T11" s="578">
        <f t="shared" si="102"/>
        <v>1.7825979088564179</v>
      </c>
      <c r="U11" s="572">
        <f t="shared" si="103"/>
        <v>4.7815639081000262E-2</v>
      </c>
      <c r="V11" s="579">
        <f t="shared" ref="V11:V105" si="139">IF(M11="","",Y11)</f>
        <v>-0.22310000000000013</v>
      </c>
      <c r="W11" s="528">
        <f t="shared" si="16"/>
        <v>1.5365088923216206</v>
      </c>
      <c r="X11" s="572">
        <f>IF(M11="","",R11)</f>
        <v>1.7832390866061676</v>
      </c>
      <c r="Y11" s="573">
        <f t="shared" si="17"/>
        <v>-0.22310000000000013</v>
      </c>
      <c r="Z11" s="575">
        <f t="shared" si="18"/>
        <v>0.96592582628906831</v>
      </c>
      <c r="AA11" s="572">
        <f t="shared" si="19"/>
        <v>0</v>
      </c>
      <c r="AB11" s="572">
        <f t="shared" si="20"/>
        <v>-0.25881904510252074</v>
      </c>
      <c r="AC11" s="579">
        <f t="shared" si="105"/>
        <v>1</v>
      </c>
      <c r="AD11" s="580">
        <f t="shared" ref="AD11:AD105" si="140">IF(M11="","",Z11*(1/SQRT(Z11^2+AA11^2+AB11^2)))</f>
        <v>0.96592582628906831</v>
      </c>
      <c r="AE11" s="572">
        <f t="shared" si="106"/>
        <v>0</v>
      </c>
      <c r="AF11" s="576">
        <f t="shared" si="107"/>
        <v>-0.25881904510252074</v>
      </c>
      <c r="AG11" s="545">
        <f>IF(M11="","",DEGREES(ATAN2(-AF11,AE11)))</f>
        <v>0</v>
      </c>
      <c r="AH11" s="546">
        <f t="shared" si="109"/>
        <v>14.999999999999982</v>
      </c>
      <c r="AI11" s="528">
        <f t="shared" si="110"/>
        <v>-75</v>
      </c>
      <c r="AJ11" s="529">
        <f t="shared" si="111"/>
        <v>90</v>
      </c>
      <c r="AK11" s="578">
        <f>IF(M11="","",(COS(RADIANS((90-$Q$8)-W11))*AD11)+(-SIN(RADIANS((90-$Q$8)-W11))*AE11))</f>
        <v>0.96579632042002805</v>
      </c>
      <c r="AL11" s="572">
        <f t="shared" si="112"/>
        <v>-1.5816742880686852E-2</v>
      </c>
      <c r="AM11" s="577">
        <f t="shared" si="113"/>
        <v>-0.25881904510252074</v>
      </c>
      <c r="AN11" s="524">
        <f>IF(M11="","",DEGREES(ATAN2(-AM11,AL11)))</f>
        <v>-3.4970649129115547</v>
      </c>
      <c r="AO11" s="525">
        <f>IF(ROUND(IF(M11="",0,DEGREES(ACOS(AK11))),4)=90,0,IF(M11="","",DEGREES(ACOS(AK11))))</f>
        <v>15.028642500757424</v>
      </c>
      <c r="AP11" s="528">
        <f t="shared" si="116"/>
        <v>-0.93824296965719634</v>
      </c>
      <c r="AQ11" s="529">
        <f>IF(M11="","",DEGREES(ATAN(($AS$5*SIN(RADIANS(90)))/(($X11*2*PI())-($AS$5*COS(RADIANS(90)))))))</f>
        <v>1.2782068535428366</v>
      </c>
      <c r="AS11" s="946">
        <f t="shared" ref="AS11:AS42" si="141">IF(G11="","",IF(AND(W11&lt;(AS10+180),W11&gt;(AS10-180)),W11,IF(W11&gt;(AS10+180),W11-360,IF(W11&lt;(AS10-180),W11+360,"Error"))))</f>
        <v>1.5365088923216206</v>
      </c>
      <c r="AT11" s="942">
        <f t="shared" si="22"/>
        <v>-0.2198935041350446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2">IF(ISNUMBER(AV11),$AY11*SQRT((2*PI()*$AW11)^2+$AS$5^2),"")</f>
        <v/>
      </c>
      <c r="BA11" s="296" t="str">
        <f t="shared" si="24"/>
        <v/>
      </c>
      <c r="BB11" s="291" t="str">
        <f t="shared" ref="BB11:BB73" si="143">IF(ISNUMBER($AV11),$AX11-($AT11+$AS$5),"")</f>
        <v/>
      </c>
      <c r="BC11" s="9"/>
      <c r="BD11" s="5" t="str">
        <f t="shared" ref="BD11:BD73" si="144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5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6">IF(ISNUMBER($AV11),BJ11*BN11-BM11*BK11-BG11*(BN11-BK11)+BH11*(BM11-BJ11),"")</f>
        <v/>
      </c>
      <c r="BP11" s="5" t="str">
        <f t="shared" ref="BP11:BP74" si="147">IF(ISNUMBER($AV11),BF11*(BN11-BK11)-(BI11*BN11-BL11*BK11)+BH11*(BI11-BL11),"")</f>
        <v/>
      </c>
      <c r="BQ11" s="5" t="str">
        <f t="shared" ref="BQ11:BQ74" si="148">IF(ISNUMBER($AV11),BF11*(BJ11-BM11)-BG11*(BI11-BL11)+(BI11*BM11-BL11*BJ11),"")</f>
        <v/>
      </c>
      <c r="BR11" s="6" t="str">
        <f t="shared" ref="BR11:BR74" si="149">IF(ISNUMBER($AV11),-(BF11*(BJ11*BN11-BM11*BK11)-BG11*(BI11*BN11-BL11*BK11)+BH11*(BI11*BM11-BL11*BJ11)),"")</f>
        <v/>
      </c>
      <c r="BS11" s="4" t="str">
        <f t="shared" si="117"/>
        <v/>
      </c>
      <c r="BT11" s="5" t="str">
        <f t="shared" si="117"/>
        <v/>
      </c>
      <c r="BU11" s="10" t="str">
        <f t="shared" si="118"/>
        <v/>
      </c>
      <c r="BV11" s="9" t="str">
        <f t="shared" si="119"/>
        <v/>
      </c>
      <c r="BW11" s="5" t="str">
        <f t="shared" si="120"/>
        <v/>
      </c>
      <c r="BX11" s="8" t="str">
        <f t="shared" si="121"/>
        <v/>
      </c>
      <c r="BY11" s="173" t="str">
        <f t="shared" si="122"/>
        <v/>
      </c>
      <c r="BZ11" s="5" t="str">
        <f t="shared" si="123"/>
        <v/>
      </c>
      <c r="CA11" s="6" t="str">
        <f t="shared" si="124"/>
        <v/>
      </c>
      <c r="CB11" s="4" t="str">
        <f t="shared" ref="CB11:CB74" si="150">IF(ISNUMBER($AV11),BW11*CA11-BZ11*BX11-BT11*(CA11-BX11)+BU11*(BZ11-BW11),"")</f>
        <v/>
      </c>
      <c r="CC11" s="5" t="str">
        <f t="shared" ref="CC11:CC74" si="151">IF(ISNUMBER($AV11),BS11*(CA11-BX11)-(BV11*CA11-BY11*BX11)+BU11*(BV11-BY11),"")</f>
        <v/>
      </c>
      <c r="CD11" s="5" t="str">
        <f t="shared" ref="CD11:CD74" si="152">IF(ISNUMBER($AV11),BS11*(BW11-BZ11)-BT11*(BV11-BY11)+(BV11*BZ11-BY11*BW11),"")</f>
        <v/>
      </c>
      <c r="CE11" s="6" t="str">
        <f t="shared" ref="CE11:CE74" si="153">IF(ISNUMBER($AV11),-(BS11*(BW11*CA11-BZ11*BX11)-BT11*(BV11*CA11-BY11*BX11)+BU11*(BV11*BZ11-BY11*BW11)),"")</f>
        <v/>
      </c>
      <c r="CF11" s="4" t="str">
        <f t="shared" ref="CF11:CF74" si="154">IF(ISNUMBER($AV11),(BP11*CD11)-(BQ11*CC11),"")</f>
        <v/>
      </c>
      <c r="CG11" s="5" t="str">
        <f t="shared" ref="CG11:CG74" si="155">IF(ISNUMBER($AV11),(BQ11*CB11)-(BO11*CD11),"")</f>
        <v/>
      </c>
      <c r="CH11" s="5" t="str">
        <f t="shared" ref="CH11:CH74" si="156">IF(ISNUMBER($AV11),(BO11*CC11)-(BP11*CB11),"")</f>
        <v/>
      </c>
      <c r="CI11" s="4" t="str">
        <f t="shared" si="125"/>
        <v/>
      </c>
      <c r="CJ11" s="5" t="str">
        <f t="shared" si="126"/>
        <v/>
      </c>
      <c r="CK11" s="8" t="str">
        <f t="shared" si="127"/>
        <v/>
      </c>
      <c r="CL11" s="173" t="str">
        <f t="shared" si="128"/>
        <v/>
      </c>
      <c r="CM11" s="5" t="str">
        <f t="shared" si="129"/>
        <v/>
      </c>
      <c r="CN11" s="6" t="str">
        <f t="shared" si="130"/>
        <v/>
      </c>
      <c r="CO11" s="167" t="str">
        <f t="shared" si="3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7">IF(ISNUMBER($AV11),BF11^2+BG11^2+BH11^2+CI11^2+CJ11^2+CK11^2-2*(BF11*CI11+BG11*CJ11+BH11*CK11)-CO11^2,"")</f>
        <v/>
      </c>
      <c r="CS11" s="8" t="str">
        <f t="shared" ref="CS11:CS74" si="158">IF(ISNUMBER($AV11),CQ11^2-(4*CP11*CR11),"")</f>
        <v/>
      </c>
      <c r="CT11" s="9" t="str">
        <f t="shared" ref="CT11:CT74" si="159">IF(ISNUMBER($AV11),(-CQ11+SQRT(CS11))/(CP11*2),"")</f>
        <v/>
      </c>
      <c r="CU11" s="6" t="str">
        <f t="shared" ref="CU11:CU74" si="160">IF(ISNUMBER($AV11),(-CQ11-SQRT(CS11))/(CP11*2),"")</f>
        <v/>
      </c>
      <c r="CV11" s="4" t="str">
        <f>IF(ISNUMBER($AV11),CI11+($CT11*(CL11-CI11)),"")</f>
        <v/>
      </c>
      <c r="CW11" s="5" t="str">
        <f t="shared" ref="CW11:CW74" si="161">IF(ISNUMBER($AV11),CJ11+($CT11*(CM11-CJ11)),"")</f>
        <v/>
      </c>
      <c r="CX11" s="8" t="str">
        <f t="shared" ref="CX11:CX74" si="162">IF(ISNUMBER($AV11),CK11+($CT11*(CN11-CK11)),"")</f>
        <v/>
      </c>
      <c r="CY11" s="9" t="str">
        <f t="shared" ref="CY11:CY74" si="163">IF(ISNUMBER($AV11),CI11+($CU11*(CL11-CI11)),"")</f>
        <v/>
      </c>
      <c r="CZ11" s="5" t="str">
        <f t="shared" ref="CZ11:CZ74" si="164">IF(ISNUMBER($AV11),CJ11+($CU11*(CM11-CJ11)),"")</f>
        <v/>
      </c>
      <c r="DA11" s="6" t="str">
        <f t="shared" ref="DA11:DA74" si="165">IF(ISNUMBER($AV11),CK11+($CU11*(CN11-CK11)),"")</f>
        <v/>
      </c>
      <c r="DB11" s="4" t="str">
        <f t="shared" ref="DB11:DC42" si="166">IF(ISNUMBER($AV11),0,"")</f>
        <v/>
      </c>
      <c r="DC11" s="5" t="str">
        <f t="shared" si="166"/>
        <v/>
      </c>
      <c r="DD11" s="10" t="str">
        <f t="shared" ref="DD11:DD74" si="167">IF(ISNUMBER($AV11),-10,"")</f>
        <v/>
      </c>
      <c r="DE11" s="9" t="str">
        <f t="shared" ref="DE11:DF42" si="168">IF(ISNUMBER($AV11),0,"")</f>
        <v/>
      </c>
      <c r="DF11" s="5" t="str">
        <f t="shared" si="168"/>
        <v/>
      </c>
      <c r="DG11" s="10" t="str">
        <f t="shared" ref="DG11:DG74" si="169">IF(ISNUMBER($AV11),10,"")</f>
        <v/>
      </c>
      <c r="DH11" s="70" t="str">
        <f t="shared" ref="DH11:DH74" si="170">IF(ISNUMBER($AV11),BD11,"")</f>
        <v/>
      </c>
      <c r="DI11" s="4" t="str">
        <f t="shared" ref="DI11:DI74" si="171">IF(ISNUMBER($AV11),DE11-DB11,"")</f>
        <v/>
      </c>
      <c r="DJ11" s="5" t="str">
        <f t="shared" ref="DJ11:DJ74" si="172">IF(ISNUMBER($AV11),DF11-DC11,"")</f>
        <v/>
      </c>
      <c r="DK11" s="10" t="str">
        <f t="shared" ref="DK11:DK74" si="173">IF(ISNUMBER($AV11),DG11-DD11,"")</f>
        <v/>
      </c>
      <c r="DL11" s="9" t="str">
        <f t="shared" ref="DL11:DL74" si="174">IF(ISNUMBER($AV11),CV11-DB11,"")</f>
        <v/>
      </c>
      <c r="DM11" s="173" t="str">
        <f t="shared" ref="DM11:DM74" si="175">IF(ISNUMBER($AV11),CW11-DC11,"")</f>
        <v/>
      </c>
      <c r="DN11" s="178" t="str">
        <f t="shared" ref="DN11:DN74" si="176">IF(ISNUMBER($AV11),CX11-DD11,"")</f>
        <v/>
      </c>
      <c r="DO11" s="9" t="str">
        <f t="shared" ref="DO11:DO74" si="177">IF(ISNUMBER($AV11),CY11-CV11,"")</f>
        <v/>
      </c>
      <c r="DP11" s="173" t="str">
        <f t="shared" ref="DP11:DP74" si="178">IF(ISNUMBER($AV11),CZ11-CW11,"")</f>
        <v/>
      </c>
      <c r="DQ11" s="11" t="str">
        <f t="shared" ref="DQ11:DQ74" si="179">IF(ISNUMBER($AV11),DA11-CX11,"")</f>
        <v/>
      </c>
      <c r="DR11" s="173" t="str">
        <f t="shared" ref="DR11:DR74" si="180">IF(ISNUMBER($AV11),SUMPRODUCT(DI11:DK11,DL11:DN11),"")</f>
        <v/>
      </c>
      <c r="DS11" s="5" t="str">
        <f t="shared" ref="DS11:DS74" si="181">IF(ISNUMBER($AV11),SUMPRODUCT(DO11:DQ11,DI11:DK11),"")</f>
        <v/>
      </c>
      <c r="DT11" s="5" t="str">
        <f t="shared" ref="DT11:DT74" si="182">IF(ISNUMBER($AV11),SUMPRODUCT(DI11:DK11,DI11:DK11),"")</f>
        <v/>
      </c>
      <c r="DU11" s="5" t="str">
        <f t="shared" ref="DU11:DU74" si="183">IF(ISNUMBER($AV11),SUMPRODUCT(DO11:DQ11,DO11:DQ11),"")</f>
        <v/>
      </c>
      <c r="DV11" s="5" t="str">
        <f t="shared" ref="DV11:DV74" si="184">IF(ISNUMBER($AV11),SUMPRODUCT(DL11:DN11,DO11:DQ11),"")</f>
        <v/>
      </c>
      <c r="DW11" s="5" t="str">
        <f t="shared" ref="DW11:DW74" si="185">IF(ISNUMBER($AV11),SUMPRODUCT(DL11:DN11,DL11:DN11),"")</f>
        <v/>
      </c>
      <c r="DX11" s="167" t="str">
        <f t="shared" ref="DX11:DX74" si="186">IF(ISNUMBER($AV11),DW11-DH11*DH11,"")</f>
        <v/>
      </c>
      <c r="DY11" s="9" t="str">
        <f t="shared" ref="DY11:DY74" si="187">IF(ISNUMBER($AV11),DT11*DU11-DS11*DS11,"")</f>
        <v/>
      </c>
      <c r="DZ11" s="5" t="str">
        <f t="shared" ref="DZ11:DZ74" si="188">IF(ISNUMBER($AV11),DT11*DV11-DS11*DR11,"")</f>
        <v/>
      </c>
      <c r="EA11" s="10" t="str">
        <f t="shared" ref="EA11:EA74" si="189">IF(ISNUMBER($AV11),DT11*DX11-DR11*DR11,"")</f>
        <v/>
      </c>
      <c r="EB11" s="6" t="str">
        <f t="shared" ref="EB11:EB74" si="190">IF(ISNUMBER($AV11),DZ11*DZ11-DY11*EA11,"")</f>
        <v/>
      </c>
      <c r="EC11" s="173" t="str">
        <f t="shared" ref="EC11:EC74" si="191">IF(ISNUMBER($AV11),(-DZ11+SQRT(DZ11^2-DY11*EA11))/DY11,"")</f>
        <v/>
      </c>
      <c r="ED11" s="5" t="str">
        <f t="shared" ref="ED11:ED74" si="192">IF(ISNUMBER($AV11),(-DZ11-SQRT(DZ11^2-DY11*EA11))/DY11,"")</f>
        <v/>
      </c>
      <c r="EE11" s="4" t="str">
        <f t="shared" ref="EE11:EE74" si="193">IF(ISNUMBER($AV11),CV11+DO11*$EC11,"")</f>
        <v/>
      </c>
      <c r="EF11" s="5" t="str">
        <f t="shared" ref="EF11:EF74" si="194">IF(ISNUMBER($AV11),CW11+DP11*$EC11,"")</f>
        <v/>
      </c>
      <c r="EG11" s="10" t="str">
        <f t="shared" ref="EG11:EG74" si="195">IF(ISNUMBER($AV11),CX11+DQ11*$EC11,"")</f>
        <v/>
      </c>
      <c r="EH11" s="9" t="str">
        <f t="shared" ref="EH11:EH74" si="196">IF(ISNUMBER($AV11),CV11+DO11*$ED11,"")</f>
        <v/>
      </c>
      <c r="EI11" s="5" t="str">
        <f t="shared" ref="EI11:EI74" si="197">IF(ISNUMBER($AV11),CW11+DP11*$ED11,"")</f>
        <v/>
      </c>
      <c r="EJ11" s="6" t="str">
        <f t="shared" ref="EJ11:EJ74" si="198">IF(ISNUMBER($AV11),CX11+DQ11*$ED11,"")</f>
        <v/>
      </c>
      <c r="EK11" s="236" t="str">
        <f t="shared" ref="EK11:EK74" si="199">IF(ISNUMBER($AV11),IF(OR($EC11&lt;0,$EC11&gt;1),FALSE,TRUE),"")</f>
        <v/>
      </c>
      <c r="EL11" s="238" t="str">
        <f t="shared" ref="EL11:EL74" si="200">IF(ISNUMBER($AV11),IF(OR($ED11&lt;0,$ED11&gt;1),FALSE,TRUE),"")</f>
        <v/>
      </c>
      <c r="EM11" s="4" t="str">
        <f t="shared" ref="EM11:EM74" si="201">IF(ISNUMBER($AV11),IF($EK11=TRUE,EE11,IF($EL11=TRUE,EH11,"")),"")</f>
        <v/>
      </c>
      <c r="EN11" s="5" t="str">
        <f t="shared" ref="EN11:EN74" si="202">IF(ISNUMBER($AV11),IF($EK11=TRUE,EF11,IF($EL11=TRUE,EI11,"")),"")</f>
        <v/>
      </c>
      <c r="EO11" s="10" t="str">
        <f t="shared" ref="EO11:EO74" si="203">IF(ISNUMBER($AV11),IF($EK11=TRUE,EG11,IF($EL11=TRUE,EJ11,"")),"")</f>
        <v/>
      </c>
      <c r="EP11" s="9" t="str">
        <f t="shared" ref="EP11:EP74" si="204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5">IF(ISNUMBER($AV11),SQRT(EM11^2+EN11^2),"")</f>
        <v/>
      </c>
      <c r="ER11" s="7" t="str">
        <f t="shared" ref="ER11:ER74" si="206">IF(ISNUMBER($AV11),EO11,"")</f>
        <v/>
      </c>
      <c r="ES11" s="21" t="str">
        <f t="shared" si="131"/>
        <v/>
      </c>
      <c r="ET11" s="5" t="str">
        <f t="shared" si="43"/>
        <v/>
      </c>
      <c r="EU11" s="10" t="str">
        <f t="shared" si="44"/>
        <v/>
      </c>
      <c r="EV11" s="174" t="str">
        <f>IF(ISNUMBER($AV11),IF(($EV$1-EP11)&lt;0,(360+($EV$1-EP11)),($EV$1-EP11)),"")</f>
        <v/>
      </c>
      <c r="EW11" s="9" t="str">
        <f t="shared" si="132"/>
        <v/>
      </c>
      <c r="EX11" s="5" t="str">
        <f t="shared" si="45"/>
        <v/>
      </c>
      <c r="EY11" s="6" t="str">
        <f t="shared" ref="EY11:EY74" si="207">IF(ISNUMBER($AV11),EU11,"")</f>
        <v/>
      </c>
      <c r="EZ11" s="51" t="str">
        <f t="shared" ref="EZ11:EZ74" si="208">IF(ISNUMBER($AV11),DEGREES(ATAN($AS$5/($EQ11*2*PI()))),"")</f>
        <v/>
      </c>
      <c r="FA11" s="266" t="str">
        <f t="shared" si="133"/>
        <v/>
      </c>
      <c r="FB11" s="267" t="str">
        <f t="shared" si="134"/>
        <v/>
      </c>
      <c r="FC11" s="269" t="str">
        <f t="shared" si="46"/>
        <v/>
      </c>
      <c r="FD11" s="4" t="str">
        <f t="shared" si="135"/>
        <v/>
      </c>
      <c r="FE11" s="5" t="str">
        <f t="shared" si="47"/>
        <v/>
      </c>
      <c r="FF11" s="7" t="str">
        <f t="shared" ref="FF11:FF74" si="209">IF(ISNUMBER($AV11),FC11,"")</f>
        <v/>
      </c>
      <c r="FG11" s="173" t="str">
        <f t="shared" ref="FG11:FG40" si="210">IF(ISNUMBER($AV11),EW11-FD11,"")</f>
        <v/>
      </c>
      <c r="FH11" s="5" t="str">
        <f t="shared" si="48"/>
        <v/>
      </c>
      <c r="FI11" s="10" t="str">
        <f t="shared" si="49"/>
        <v/>
      </c>
      <c r="FJ11" s="279" t="str">
        <f t="shared" ref="FJ11:FJ74" si="211">IF(ISNUMBER($AV11),DEGREES(ACOS((2-SQRT((FG11)^2+(FH11)^2+(FI11)^2)^2)/2)),"")</f>
        <v/>
      </c>
      <c r="FK11" s="4" t="str">
        <f t="shared" si="50"/>
        <v/>
      </c>
      <c r="FL11" s="5" t="str">
        <f t="shared" ref="FL11:FL73" si="212">IF(ISNUMBER($AV11),SQRT(FA11^2+FB11^2),"")</f>
        <v/>
      </c>
      <c r="FM11" s="8" t="str">
        <f t="shared" ref="FM11:FM73" si="213">IF(ISNUMBER($AV11),SQRT(FG11^2+FH11^2),"")</f>
        <v/>
      </c>
      <c r="FN11" s="9" t="str">
        <f t="shared" ref="FN11:FN73" si="214">IF(ISNUMBER($AV11),DEGREES(ACOS((FK11^2+FL11^2-FM11^2)/(2*FK11*FL11))),"")</f>
        <v/>
      </c>
      <c r="FO11" s="10" t="str">
        <f t="shared" si="51"/>
        <v/>
      </c>
      <c r="FP11" s="277" t="str">
        <f t="shared" si="52"/>
        <v/>
      </c>
      <c r="FQ11" s="173" t="str">
        <f>IF(ISNUMBER($AV11),SIN(RADIANS(FN11)),"")</f>
        <v/>
      </c>
      <c r="FR11" s="10" t="str">
        <f t="shared" ref="FR11:FR74" si="215">IF(ISNUMBER($AV11),COS(RADIANS(FN11)),"")</f>
        <v/>
      </c>
      <c r="FS11" s="9" t="str">
        <f t="shared" ref="FS11:FS74" si="216">IF(ISNUMBER($AV11),FQ11/(FQ11+FR11),"")</f>
        <v/>
      </c>
      <c r="FT11" s="6" t="str">
        <f t="shared" ref="FT11:FT74" si="217">IF(ISNUMBER($AV11),FR11/(FQ11+FR11),"")</f>
        <v/>
      </c>
      <c r="FU11" s="4" t="str">
        <f t="shared" ref="FU11:FU74" si="218">IF(ISNUMBER($AV11),SQRT(EW11^2+EY11^2),"")</f>
        <v/>
      </c>
      <c r="FV11" s="5" t="str">
        <f t="shared" ref="FV11:FV74" si="219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3"/>
        <v/>
      </c>
      <c r="FZ11" s="277" t="str">
        <f>IF(ISNUMBER($AV11),FX11*FY11,"")</f>
        <v/>
      </c>
      <c r="GA11" s="177" t="str">
        <f t="shared" ref="GA11:GA74" si="220">IF(ISNUMBER($AV11),DEGREES(FZ11*SIN(RADIANS(FU11))),"")</f>
        <v/>
      </c>
      <c r="GB11" s="4" t="str">
        <f t="shared" ref="GB11:GB74" si="221">IF(ISNUMBER($AV11),COS(RADIANS(FP11+90))*COS(RADIANS(FZ11)),"")</f>
        <v/>
      </c>
      <c r="GC11" s="5" t="str">
        <f t="shared" ref="GC11:GC74" si="222">IF(ISNUMBER($AV11),SIN(RADIANS(FP11+90))*COS(RADIANS(FZ11)),"")</f>
        <v/>
      </c>
      <c r="GD11" s="10" t="str">
        <f t="shared" ref="GD11:GD74" si="223">IF(ISNUMBER($AV11),-SIN(RADIANS(FZ11)),"")</f>
        <v/>
      </c>
      <c r="GE11" s="311" t="str">
        <f t="shared" ref="GE11:GE74" si="224">IF(ISNUMBER($AV11),SUM(ABS(GB11),ABS(GC11),ABS(GD11)),"")</f>
        <v/>
      </c>
      <c r="GF11" s="341" t="str">
        <f>IF(ISNUMBER($AV11),1/GE11,"")</f>
        <v/>
      </c>
      <c r="GG11" s="285" t="str">
        <f t="shared" si="54"/>
        <v/>
      </c>
      <c r="GH11" s="286" t="str">
        <f t="shared" si="55"/>
        <v/>
      </c>
      <c r="GI11" s="281" t="str">
        <f t="shared" si="56"/>
        <v/>
      </c>
      <c r="GJ11" s="167" t="str">
        <f t="shared" ref="GJ11:GJ74" si="225">IF(ISNUMBER($AV11),AW11,"")</f>
        <v/>
      </c>
      <c r="GK11" s="174" t="str">
        <f t="shared" si="57"/>
        <v/>
      </c>
      <c r="GL11" s="174" t="str">
        <f t="shared" ref="GL11:GL74" si="226">IF(ISNUMBER($AV11),AY11,"")</f>
        <v/>
      </c>
      <c r="GM11" s="9" t="str">
        <f>IF(ISNUMBER($AV11),AZ11,"")</f>
        <v/>
      </c>
      <c r="GN11" s="281" t="str">
        <f t="shared" ref="GN11:GN74" si="227">IF(ISNUMBER($AV11),BA11,"")</f>
        <v/>
      </c>
      <c r="GO11" s="4" t="str">
        <f t="shared" ref="GO11:GO74" si="228">IF(ISNUMBER($AV11),FP11,"")</f>
        <v/>
      </c>
      <c r="GP11" s="8" t="str">
        <f>IF(ISNUMBER($AV11),FZ11,"")</f>
        <v/>
      </c>
      <c r="GQ11" s="177" t="str">
        <f t="shared" ref="GQ11:GQ74" si="229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0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3"/>
        <v/>
      </c>
      <c r="GY11" s="344" t="str">
        <f t="shared" si="64"/>
        <v/>
      </c>
      <c r="GZ11" s="345" t="str">
        <f t="shared" si="65"/>
        <v/>
      </c>
      <c r="HA11" s="342" t="str">
        <f t="shared" si="66"/>
        <v/>
      </c>
      <c r="HB11" s="5" t="str">
        <f t="shared" ref="HB11:HB74" si="230">IF(ISNUMBER($AV11),$EV11,"")</f>
        <v/>
      </c>
      <c r="HC11" s="343" t="str">
        <f t="shared" ref="HC11:HC74" si="231">IF(ISNUMBER($AV11),HA11*COS(RADIANS(HB11)),"")</f>
        <v/>
      </c>
      <c r="HD11" s="345" t="str">
        <f t="shared" ref="HD11:HD74" si="232">IF(ISNUMBER($AV11),HA11*SIN(RADIANS(HB11)),"")</f>
        <v/>
      </c>
      <c r="HE11" s="344" t="str">
        <f t="shared" si="67"/>
        <v/>
      </c>
      <c r="HF11" s="5" t="str">
        <f t="shared" si="68"/>
        <v/>
      </c>
      <c r="HG11" s="343" t="str">
        <f t="shared" ref="HG11:HG74" si="233">IF(ISNUMBER($AV11),HE11*COS(RADIANS(HF11)),"")</f>
        <v/>
      </c>
      <c r="HH11" s="349" t="str">
        <f t="shared" ref="HH11:HH74" si="234">IF(ISNUMBER($AV11),HE11*SIN(RADIANS(HF11)),"")</f>
        <v/>
      </c>
      <c r="HI11" s="317" t="str">
        <f t="shared" si="69"/>
        <v/>
      </c>
      <c r="HJ11" s="336"/>
      <c r="HK11" s="310" t="str">
        <f t="shared" si="136"/>
        <v/>
      </c>
      <c r="HL11" s="348" t="str">
        <f t="shared" si="70"/>
        <v/>
      </c>
      <c r="HM11" s="923" t="str">
        <f t="shared" si="71"/>
        <v/>
      </c>
      <c r="HN11" s="924" t="str">
        <f t="shared" si="72"/>
        <v/>
      </c>
      <c r="HO11" s="925"/>
      <c r="HP11" s="926"/>
      <c r="HQ11" s="924" t="str">
        <f t="shared" si="73"/>
        <v/>
      </c>
      <c r="HR11" s="927" t="str">
        <f t="shared" si="74"/>
        <v/>
      </c>
      <c r="HS11" s="879" t="str">
        <f>IFERROR(SMALL($GJ$9:$GJ$150,($HK10+1)),"")</f>
        <v/>
      </c>
      <c r="HT11" s="889" t="str">
        <f t="shared" si="75"/>
        <v/>
      </c>
      <c r="HU11" s="890" t="str">
        <f t="shared" si="76"/>
        <v/>
      </c>
      <c r="HV11" s="886" t="str">
        <f t="shared" si="77"/>
        <v/>
      </c>
      <c r="HW11" s="880" t="str">
        <f t="shared" si="78"/>
        <v/>
      </c>
      <c r="HX11" s="881" t="str">
        <f t="shared" si="79"/>
        <v/>
      </c>
      <c r="HY11" s="880" t="str">
        <f t="shared" si="80"/>
        <v/>
      </c>
      <c r="HZ11" s="882" t="str">
        <f t="shared" si="81"/>
        <v/>
      </c>
      <c r="IA11" s="883" t="str">
        <f t="shared" si="82"/>
        <v/>
      </c>
      <c r="IB11" s="884" t="str">
        <f t="shared" si="83"/>
        <v/>
      </c>
      <c r="IC11" s="855" t="str">
        <f t="shared" si="84"/>
        <v/>
      </c>
      <c r="ID11" s="351" t="str">
        <f t="shared" si="85"/>
        <v/>
      </c>
      <c r="IE11" s="857" t="str">
        <f t="shared" si="86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5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7"/>
        <v>1613</v>
      </c>
      <c r="IM11" s="482" t="str">
        <f t="shared" ref="IM11:IM74" si="236">IF(ISNUMBER($IK11),INDEX($K$9:$K$150,MATCH($II11,$M$9:$M$150,0)),"")</f>
        <v/>
      </c>
      <c r="IN11" s="670" t="str">
        <f t="shared" si="89"/>
        <v/>
      </c>
      <c r="IO11" s="702"/>
      <c r="IP11" s="5" t="str">
        <f t="shared" si="90"/>
        <v/>
      </c>
      <c r="IQ11" s="714"/>
      <c r="IR11" s="9" t="str">
        <f t="shared" si="137"/>
        <v/>
      </c>
      <c r="IS11" s="5" t="str">
        <f t="shared" si="91"/>
        <v/>
      </c>
      <c r="IT11" s="5" t="str">
        <f t="shared" si="92"/>
        <v/>
      </c>
      <c r="IU11" s="5" t="str">
        <f t="shared" si="93"/>
        <v/>
      </c>
      <c r="IV11" s="670" t="str">
        <f t="shared" si="94"/>
        <v/>
      </c>
      <c r="IW11" s="9" t="str">
        <f t="shared" si="95"/>
        <v/>
      </c>
      <c r="IX11" s="5" t="str">
        <f t="shared" si="96"/>
        <v/>
      </c>
      <c r="IY11" s="5" t="str">
        <f t="shared" si="97"/>
        <v/>
      </c>
      <c r="IZ11" s="5" t="str">
        <f t="shared" si="98"/>
        <v/>
      </c>
      <c r="JA11" s="705" t="str">
        <f t="shared" si="99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-1.4000000000000002E-2</v>
      </c>
      <c r="C12" s="572">
        <f t="shared" si="3"/>
        <v>2.5526</v>
      </c>
      <c r="D12" s="576">
        <f t="shared" si="4"/>
        <v>-0.16470000000000001</v>
      </c>
      <c r="E12" s="580">
        <f t="shared" si="5"/>
        <v>-0.96339317828794302</v>
      </c>
      <c r="F12" s="572">
        <f t="shared" si="6"/>
        <v>0.10587285650845474</v>
      </c>
      <c r="G12" s="579">
        <f t="shared" si="7"/>
        <v>0.24630168956585693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-1.4000000000000002E-2</v>
      </c>
      <c r="O12" s="572">
        <f t="shared" si="14"/>
        <v>2.5526</v>
      </c>
      <c r="P12" s="576">
        <f t="shared" si="15"/>
        <v>-0.16470000000000001</v>
      </c>
      <c r="Q12" s="528">
        <f>IF(M12="","",IF(DEGREES(ATAN2(N12,O12))&lt;0,DEGREES(ATAN2(N12,O12))+360,IF(DEGREES(ATAN2(N12,O12))&gt;360,DEGREES(ATAN2(N12,O12))-360,DEGREES(ATAN2(N12,O12)))))</f>
        <v>90.314241506813971</v>
      </c>
      <c r="R12" s="572">
        <f t="shared" si="100"/>
        <v>2.5526383919388191</v>
      </c>
      <c r="S12" s="577">
        <f t="shared" si="101"/>
        <v>-0.16470000000000001</v>
      </c>
      <c r="T12" s="578">
        <f>IF(M12="","",X12*COS(RADIANS(W12)))</f>
        <v>2.5523146658690257</v>
      </c>
      <c r="U12" s="572">
        <f t="shared" si="103"/>
        <v>4.065226180525789E-2</v>
      </c>
      <c r="V12" s="579">
        <f t="shared" si="139"/>
        <v>-0.16470000000000001</v>
      </c>
      <c r="W12" s="528">
        <f>IF(M12="","",IF(Q12-$Q$8&lt;0,360+Q12-$Q$8,Q12-$Q$8))</f>
        <v>0.91250742947839569</v>
      </c>
      <c r="X12" s="572">
        <f t="shared" si="104"/>
        <v>2.5526383919388191</v>
      </c>
      <c r="Y12" s="573">
        <f t="shared" si="17"/>
        <v>-0.16470000000000001</v>
      </c>
      <c r="Z12" s="575">
        <f t="shared" si="18"/>
        <v>0.96339317828794302</v>
      </c>
      <c r="AA12" s="572">
        <f t="shared" si="19"/>
        <v>-0.10587285650845474</v>
      </c>
      <c r="AB12" s="572">
        <f t="shared" si="20"/>
        <v>-0.24630168956585693</v>
      </c>
      <c r="AC12" s="579">
        <f t="shared" si="105"/>
        <v>1</v>
      </c>
      <c r="AD12" s="580">
        <f t="shared" si="140"/>
        <v>0.96339317828794302</v>
      </c>
      <c r="AE12" s="572">
        <f t="shared" si="106"/>
        <v>-0.10587285650845474</v>
      </c>
      <c r="AF12" s="576">
        <f t="shared" si="107"/>
        <v>-0.24630168956585693</v>
      </c>
      <c r="AG12" s="545">
        <f t="shared" si="108"/>
        <v>-23.260465947550191</v>
      </c>
      <c r="AH12" s="546">
        <f t="shared" si="109"/>
        <v>15.550790460520661</v>
      </c>
      <c r="AI12" s="528">
        <f t="shared" si="110"/>
        <v>-75.741227414934698</v>
      </c>
      <c r="AJ12" s="529">
        <f t="shared" si="111"/>
        <v>83.728600864121319</v>
      </c>
      <c r="AK12" s="578">
        <f t="shared" ref="AK12:AK105" si="237">IF(M12="","",(COS(RADIANS((90-$Q$8)-W12))*AD12)+(-SIN(RADIANS((90-$Q$8)-W12))*AE12))</f>
        <v>0.96279802680550997</v>
      </c>
      <c r="AL12" s="572">
        <f>IF(M12="","",(SIN(RADIANS((90-$Q$8)-W12))*AD12)+(COS(RADIANS((90-$Q$8)-W12))*AE12))</f>
        <v>-0.1111550147155793</v>
      </c>
      <c r="AM12" s="577">
        <f t="shared" si="113"/>
        <v>-0.24630168956585693</v>
      </c>
      <c r="AN12" s="524">
        <f>IF(M12="","",DEGREES(ATAN2(-AM12,AL12)))</f>
        <v>-24.289475319260987</v>
      </c>
      <c r="AO12" s="525">
        <f t="shared" si="115"/>
        <v>15.677480903393381</v>
      </c>
      <c r="AP12" s="528">
        <f t="shared" si="116"/>
        <v>-6.5856406426926553</v>
      </c>
      <c r="AQ12" s="529">
        <f t="shared" si="21"/>
        <v>0.8930140812988373</v>
      </c>
      <c r="AS12" s="946">
        <f t="shared" si="141"/>
        <v>0.91250742947839569</v>
      </c>
      <c r="AT12" s="942">
        <f>IF(M12="","",Y12+(((AS12-$AS$9)*$AS$6)*-1))</f>
        <v>-0.16106016978584781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2"/>
        <v/>
      </c>
      <c r="BA12" s="296" t="str">
        <f t="shared" si="24"/>
        <v/>
      </c>
      <c r="BB12" s="291" t="str">
        <f t="shared" si="143"/>
        <v/>
      </c>
      <c r="BC12" s="9"/>
      <c r="BD12" s="5" t="str">
        <f t="shared" si="144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5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6"/>
        <v/>
      </c>
      <c r="BP12" s="5" t="str">
        <f t="shared" si="147"/>
        <v/>
      </c>
      <c r="BQ12" s="5" t="str">
        <f t="shared" si="148"/>
        <v/>
      </c>
      <c r="BR12" s="6" t="str">
        <f t="shared" si="149"/>
        <v/>
      </c>
      <c r="BS12" s="4" t="str">
        <f t="shared" si="117"/>
        <v/>
      </c>
      <c r="BT12" s="5" t="str">
        <f t="shared" si="117"/>
        <v/>
      </c>
      <c r="BU12" s="10" t="str">
        <f t="shared" si="118"/>
        <v/>
      </c>
      <c r="BV12" s="9" t="str">
        <f t="shared" si="119"/>
        <v/>
      </c>
      <c r="BW12" s="5" t="str">
        <f t="shared" si="120"/>
        <v/>
      </c>
      <c r="BX12" s="8" t="str">
        <f t="shared" si="121"/>
        <v/>
      </c>
      <c r="BY12" s="173" t="str">
        <f t="shared" si="122"/>
        <v/>
      </c>
      <c r="BZ12" s="5" t="str">
        <f t="shared" si="123"/>
        <v/>
      </c>
      <c r="CA12" s="6" t="str">
        <f t="shared" si="124"/>
        <v/>
      </c>
      <c r="CB12" s="4" t="str">
        <f t="shared" si="150"/>
        <v/>
      </c>
      <c r="CC12" s="5" t="str">
        <f t="shared" si="151"/>
        <v/>
      </c>
      <c r="CD12" s="5" t="str">
        <f t="shared" si="152"/>
        <v/>
      </c>
      <c r="CE12" s="6" t="str">
        <f t="shared" si="153"/>
        <v/>
      </c>
      <c r="CF12" s="4" t="str">
        <f t="shared" si="154"/>
        <v/>
      </c>
      <c r="CG12" s="5" t="str">
        <f t="shared" si="155"/>
        <v/>
      </c>
      <c r="CH12" s="5" t="str">
        <f t="shared" si="156"/>
        <v/>
      </c>
      <c r="CI12" s="4" t="str">
        <f t="shared" si="125"/>
        <v/>
      </c>
      <c r="CJ12" s="5" t="str">
        <f t="shared" si="126"/>
        <v/>
      </c>
      <c r="CK12" s="8" t="str">
        <f t="shared" si="127"/>
        <v/>
      </c>
      <c r="CL12" s="173" t="str">
        <f t="shared" si="128"/>
        <v/>
      </c>
      <c r="CM12" s="5" t="str">
        <f t="shared" si="129"/>
        <v/>
      </c>
      <c r="CN12" s="6" t="str">
        <f t="shared" si="130"/>
        <v/>
      </c>
      <c r="CO12" s="167" t="str">
        <f t="shared" si="34"/>
        <v/>
      </c>
      <c r="CP12" s="4" t="str">
        <f t="shared" ref="CP12:CP74" si="238">IF(ISNUMBER($AV12),(CL12-CI12)^2+(CM12-CJ12)^2+(CN12-CK12)^2,"")</f>
        <v/>
      </c>
      <c r="CQ12" s="5" t="str">
        <f t="shared" ref="CQ12:CQ74" si="239">IF(ISNUMBER($AV12),2*((CL12-CI12)*(CI12-BF12)+(CM12-CJ12)*(CJ12-BG12)+(CN12-CK12)*(CK12-BH12)),"")</f>
        <v/>
      </c>
      <c r="CR12" s="5" t="str">
        <f t="shared" si="157"/>
        <v/>
      </c>
      <c r="CS12" s="8" t="str">
        <f t="shared" si="158"/>
        <v/>
      </c>
      <c r="CT12" s="9" t="str">
        <f t="shared" si="159"/>
        <v/>
      </c>
      <c r="CU12" s="6" t="str">
        <f t="shared" si="160"/>
        <v/>
      </c>
      <c r="CV12" s="4" t="str">
        <f t="shared" ref="CV12:CV74" si="240">IF(ISNUMBER($AV12),CI12+($CT12*(CL12-CI12)),"")</f>
        <v/>
      </c>
      <c r="CW12" s="5" t="str">
        <f t="shared" si="161"/>
        <v/>
      </c>
      <c r="CX12" s="8" t="str">
        <f t="shared" si="162"/>
        <v/>
      </c>
      <c r="CY12" s="9" t="str">
        <f t="shared" si="163"/>
        <v/>
      </c>
      <c r="CZ12" s="5" t="str">
        <f t="shared" si="164"/>
        <v/>
      </c>
      <c r="DA12" s="6" t="str">
        <f t="shared" si="165"/>
        <v/>
      </c>
      <c r="DB12" s="4" t="str">
        <f t="shared" si="166"/>
        <v/>
      </c>
      <c r="DC12" s="5" t="str">
        <f t="shared" si="166"/>
        <v/>
      </c>
      <c r="DD12" s="10" t="str">
        <f t="shared" si="167"/>
        <v/>
      </c>
      <c r="DE12" s="9" t="str">
        <f t="shared" si="168"/>
        <v/>
      </c>
      <c r="DF12" s="5" t="str">
        <f t="shared" si="168"/>
        <v/>
      </c>
      <c r="DG12" s="10" t="str">
        <f t="shared" si="169"/>
        <v/>
      </c>
      <c r="DH12" s="70" t="str">
        <f t="shared" si="170"/>
        <v/>
      </c>
      <c r="DI12" s="4" t="str">
        <f t="shared" si="171"/>
        <v/>
      </c>
      <c r="DJ12" s="5" t="str">
        <f t="shared" si="172"/>
        <v/>
      </c>
      <c r="DK12" s="10" t="str">
        <f t="shared" si="173"/>
        <v/>
      </c>
      <c r="DL12" s="9" t="str">
        <f t="shared" si="174"/>
        <v/>
      </c>
      <c r="DM12" s="173" t="str">
        <f t="shared" si="175"/>
        <v/>
      </c>
      <c r="DN12" s="178" t="str">
        <f t="shared" si="176"/>
        <v/>
      </c>
      <c r="DO12" s="9" t="str">
        <f t="shared" si="177"/>
        <v/>
      </c>
      <c r="DP12" s="173" t="str">
        <f t="shared" si="178"/>
        <v/>
      </c>
      <c r="DQ12" s="11" t="str">
        <f t="shared" si="179"/>
        <v/>
      </c>
      <c r="DR12" s="173" t="str">
        <f t="shared" si="180"/>
        <v/>
      </c>
      <c r="DS12" s="5" t="str">
        <f t="shared" si="181"/>
        <v/>
      </c>
      <c r="DT12" s="5" t="str">
        <f t="shared" si="182"/>
        <v/>
      </c>
      <c r="DU12" s="5" t="str">
        <f t="shared" si="183"/>
        <v/>
      </c>
      <c r="DV12" s="5" t="str">
        <f t="shared" si="184"/>
        <v/>
      </c>
      <c r="DW12" s="5" t="str">
        <f t="shared" si="185"/>
        <v/>
      </c>
      <c r="DX12" s="167" t="str">
        <f t="shared" si="186"/>
        <v/>
      </c>
      <c r="DY12" s="9" t="str">
        <f t="shared" si="187"/>
        <v/>
      </c>
      <c r="DZ12" s="5" t="str">
        <f t="shared" si="188"/>
        <v/>
      </c>
      <c r="EA12" s="10" t="str">
        <f t="shared" si="189"/>
        <v/>
      </c>
      <c r="EB12" s="6" t="str">
        <f t="shared" si="190"/>
        <v/>
      </c>
      <c r="EC12" s="173" t="str">
        <f t="shared" si="191"/>
        <v/>
      </c>
      <c r="ED12" s="5" t="str">
        <f t="shared" si="192"/>
        <v/>
      </c>
      <c r="EE12" s="4" t="str">
        <f t="shared" si="193"/>
        <v/>
      </c>
      <c r="EF12" s="5" t="str">
        <f t="shared" si="194"/>
        <v/>
      </c>
      <c r="EG12" s="10" t="str">
        <f t="shared" si="195"/>
        <v/>
      </c>
      <c r="EH12" s="9" t="str">
        <f t="shared" si="196"/>
        <v/>
      </c>
      <c r="EI12" s="5" t="str">
        <f t="shared" si="197"/>
        <v/>
      </c>
      <c r="EJ12" s="6" t="str">
        <f t="shared" si="198"/>
        <v/>
      </c>
      <c r="EK12" s="236" t="str">
        <f t="shared" si="199"/>
        <v/>
      </c>
      <c r="EL12" s="238" t="str">
        <f t="shared" si="200"/>
        <v/>
      </c>
      <c r="EM12" s="4" t="str">
        <f t="shared" si="201"/>
        <v/>
      </c>
      <c r="EN12" s="5" t="str">
        <f t="shared" si="202"/>
        <v/>
      </c>
      <c r="EO12" s="10" t="str">
        <f t="shared" si="203"/>
        <v/>
      </c>
      <c r="EP12" s="9" t="str">
        <f t="shared" si="204"/>
        <v/>
      </c>
      <c r="EQ12" s="5" t="str">
        <f t="shared" si="205"/>
        <v/>
      </c>
      <c r="ER12" s="7" t="str">
        <f t="shared" si="206"/>
        <v/>
      </c>
      <c r="ES12" s="21" t="str">
        <f t="shared" si="131"/>
        <v/>
      </c>
      <c r="ET12" s="5" t="str">
        <f t="shared" si="43"/>
        <v/>
      </c>
      <c r="EU12" s="10" t="str">
        <f t="shared" si="44"/>
        <v/>
      </c>
      <c r="EV12" s="174" t="str">
        <f>IF(ISNUMBER($AV12),IF(($EV$1-EP12)&lt;0,(360+($EV$1-EP12)),($EV$1-EP12)),"")</f>
        <v/>
      </c>
      <c r="EW12" s="9" t="str">
        <f t="shared" si="132"/>
        <v/>
      </c>
      <c r="EX12" s="5" t="str">
        <f t="shared" si="45"/>
        <v/>
      </c>
      <c r="EY12" s="6" t="str">
        <f t="shared" si="207"/>
        <v/>
      </c>
      <c r="EZ12" s="51" t="str">
        <f t="shared" si="208"/>
        <v/>
      </c>
      <c r="FA12" s="266" t="str">
        <f t="shared" si="133"/>
        <v/>
      </c>
      <c r="FB12" s="267" t="str">
        <f t="shared" si="134"/>
        <v/>
      </c>
      <c r="FC12" s="269" t="str">
        <f t="shared" si="46"/>
        <v/>
      </c>
      <c r="FD12" s="4" t="str">
        <f t="shared" si="135"/>
        <v/>
      </c>
      <c r="FE12" s="5" t="str">
        <f t="shared" si="47"/>
        <v/>
      </c>
      <c r="FF12" s="7" t="str">
        <f t="shared" si="209"/>
        <v/>
      </c>
      <c r="FG12" s="173" t="str">
        <f t="shared" si="210"/>
        <v/>
      </c>
      <c r="FH12" s="5" t="str">
        <f t="shared" si="48"/>
        <v/>
      </c>
      <c r="FI12" s="10" t="str">
        <f t="shared" si="49"/>
        <v/>
      </c>
      <c r="FJ12" s="279" t="str">
        <f t="shared" si="211"/>
        <v/>
      </c>
      <c r="FK12" s="4" t="str">
        <f t="shared" si="50"/>
        <v/>
      </c>
      <c r="FL12" s="5" t="str">
        <f t="shared" si="212"/>
        <v/>
      </c>
      <c r="FM12" s="8" t="str">
        <f t="shared" si="213"/>
        <v/>
      </c>
      <c r="FN12" s="9" t="str">
        <f t="shared" si="214"/>
        <v/>
      </c>
      <c r="FO12" s="10" t="str">
        <f t="shared" si="51"/>
        <v/>
      </c>
      <c r="FP12" s="277" t="str">
        <f t="shared" si="52"/>
        <v/>
      </c>
      <c r="FQ12" s="173" t="str">
        <f t="shared" ref="FQ12:FQ74" si="241">IF(ISNUMBER($AV12),SIN(RADIANS(FN12)),"")</f>
        <v/>
      </c>
      <c r="FR12" s="10" t="str">
        <f t="shared" si="215"/>
        <v/>
      </c>
      <c r="FS12" s="9" t="str">
        <f t="shared" si="216"/>
        <v/>
      </c>
      <c r="FT12" s="6" t="str">
        <f t="shared" si="217"/>
        <v/>
      </c>
      <c r="FU12" s="4" t="str">
        <f t="shared" si="218"/>
        <v/>
      </c>
      <c r="FV12" s="5" t="str">
        <f t="shared" si="219"/>
        <v/>
      </c>
      <c r="FW12" s="8" t="str">
        <f t="shared" ref="FW12:FW74" si="242">IF(ISNUMBER($AV12),SQRT(FG12^2+FI12^2),"")</f>
        <v/>
      </c>
      <c r="FX12" s="9" t="str">
        <f t="shared" ref="FX12:FX74" si="243">IF(ISNUMBER($AV12),DEGREES(ACOS((FU12^2+FV12^2-FW12^2)/(2*FU12*FV12))),"")</f>
        <v/>
      </c>
      <c r="FY12" s="10" t="str">
        <f t="shared" si="53"/>
        <v/>
      </c>
      <c r="FZ12" s="277" t="str">
        <f t="shared" ref="FZ12:FZ74" si="244">IF(ISNUMBER($AV12),FX12*FY12,"")</f>
        <v/>
      </c>
      <c r="GA12" s="177" t="str">
        <f t="shared" si="220"/>
        <v/>
      </c>
      <c r="GB12" s="4" t="str">
        <f t="shared" si="221"/>
        <v/>
      </c>
      <c r="GC12" s="5" t="str">
        <f t="shared" si="222"/>
        <v/>
      </c>
      <c r="GD12" s="10" t="str">
        <f t="shared" si="223"/>
        <v/>
      </c>
      <c r="GE12" s="311" t="str">
        <f t="shared" si="224"/>
        <v/>
      </c>
      <c r="GF12" s="341" t="str">
        <f t="shared" ref="GF12:GF74" si="245">IF(ISNUMBER($AV12),1/GE12,"")</f>
        <v/>
      </c>
      <c r="GG12" s="285" t="str">
        <f t="shared" si="54"/>
        <v/>
      </c>
      <c r="GH12" s="286" t="str">
        <f t="shared" si="55"/>
        <v/>
      </c>
      <c r="GI12" s="281" t="str">
        <f t="shared" si="56"/>
        <v/>
      </c>
      <c r="GJ12" s="167" t="str">
        <f t="shared" si="225"/>
        <v/>
      </c>
      <c r="GK12" s="174" t="str">
        <f t="shared" si="57"/>
        <v/>
      </c>
      <c r="GL12" s="174" t="str">
        <f t="shared" si="226"/>
        <v/>
      </c>
      <c r="GM12" s="177" t="str">
        <f t="shared" ref="GM12:GM74" si="246">IF(ISNUMBER($AV12),AZ12,"")</f>
        <v/>
      </c>
      <c r="GN12" s="280" t="str">
        <f t="shared" si="227"/>
        <v/>
      </c>
      <c r="GO12" s="4" t="str">
        <f t="shared" si="228"/>
        <v/>
      </c>
      <c r="GP12" s="8" t="str">
        <f t="shared" ref="GP12:GP74" si="247">IF(ISNUMBER($AV12),FZ12,"")</f>
        <v/>
      </c>
      <c r="GQ12" s="177" t="str">
        <f t="shared" si="229"/>
        <v/>
      </c>
      <c r="GR12" s="371" t="str">
        <f t="shared" ref="GR12:GR74" si="248">IF(ISNUMBER($AV12),GS12+GU12+GY12,"")</f>
        <v/>
      </c>
      <c r="GS12" s="342" t="str">
        <f t="shared" si="59"/>
        <v/>
      </c>
      <c r="GT12" s="343" t="str">
        <f t="shared" si="60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2"/>
        <v/>
      </c>
      <c r="GX12" s="346" t="str">
        <f>IF(ISNUMBER($AV12),($GJ12/12)*$GV12,"")</f>
        <v/>
      </c>
      <c r="GY12" s="344" t="str">
        <f t="shared" si="64"/>
        <v/>
      </c>
      <c r="GZ12" s="345" t="str">
        <f t="shared" si="65"/>
        <v/>
      </c>
      <c r="HA12" s="342" t="str">
        <f t="shared" si="66"/>
        <v/>
      </c>
      <c r="HB12" s="5" t="str">
        <f t="shared" si="230"/>
        <v/>
      </c>
      <c r="HC12" s="343" t="str">
        <f t="shared" si="231"/>
        <v/>
      </c>
      <c r="HD12" s="345" t="str">
        <f t="shared" si="232"/>
        <v/>
      </c>
      <c r="HE12" s="344" t="str">
        <f t="shared" si="67"/>
        <v/>
      </c>
      <c r="HF12" s="5" t="str">
        <f t="shared" si="68"/>
        <v/>
      </c>
      <c r="HG12" s="343" t="str">
        <f t="shared" si="233"/>
        <v/>
      </c>
      <c r="HH12" s="349" t="str">
        <f t="shared" si="234"/>
        <v/>
      </c>
      <c r="HI12" s="317" t="str">
        <f t="shared" si="69"/>
        <v/>
      </c>
      <c r="HJ12" s="336"/>
      <c r="HK12" s="310" t="str">
        <f t="shared" si="136"/>
        <v/>
      </c>
      <c r="HL12" s="348" t="str">
        <f t="shared" si="70"/>
        <v/>
      </c>
      <c r="HM12" s="923" t="str">
        <f t="shared" si="71"/>
        <v/>
      </c>
      <c r="HN12" s="924" t="str">
        <f t="shared" si="72"/>
        <v/>
      </c>
      <c r="HO12" s="925"/>
      <c r="HP12" s="926"/>
      <c r="HQ12" s="924" t="str">
        <f t="shared" si="73"/>
        <v/>
      </c>
      <c r="HR12" s="927" t="str">
        <f t="shared" si="74"/>
        <v/>
      </c>
      <c r="HS12" s="879" t="str">
        <f>IFERROR(SMALL($GJ$9:$GJ$150,($HK11+1)),"")</f>
        <v/>
      </c>
      <c r="HT12" s="889" t="str">
        <f t="shared" si="75"/>
        <v/>
      </c>
      <c r="HU12" s="890" t="str">
        <f t="shared" si="76"/>
        <v/>
      </c>
      <c r="HV12" s="886" t="str">
        <f t="shared" si="77"/>
        <v/>
      </c>
      <c r="HW12" s="880" t="str">
        <f t="shared" si="78"/>
        <v/>
      </c>
      <c r="HX12" s="881" t="str">
        <f t="shared" si="79"/>
        <v/>
      </c>
      <c r="HY12" s="880" t="str">
        <f t="shared" si="80"/>
        <v/>
      </c>
      <c r="HZ12" s="882" t="str">
        <f t="shared" si="81"/>
        <v/>
      </c>
      <c r="IA12" s="883" t="str">
        <f t="shared" si="82"/>
        <v/>
      </c>
      <c r="IB12" s="884" t="str">
        <f t="shared" si="83"/>
        <v/>
      </c>
      <c r="IC12" s="855" t="str">
        <f t="shared" si="84"/>
        <v/>
      </c>
      <c r="ID12" s="351" t="str">
        <f t="shared" si="85"/>
        <v/>
      </c>
      <c r="IE12" s="857" t="str">
        <f t="shared" si="86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5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7"/>
        <v>1613</v>
      </c>
      <c r="IM12" s="482" t="str">
        <f t="shared" si="236"/>
        <v/>
      </c>
      <c r="IN12" s="670" t="str">
        <f t="shared" si="89"/>
        <v/>
      </c>
      <c r="IO12" s="702"/>
      <c r="IP12" s="5" t="str">
        <f t="shared" si="90"/>
        <v/>
      </c>
      <c r="IQ12" s="714"/>
      <c r="IR12" s="9" t="str">
        <f t="shared" si="137"/>
        <v/>
      </c>
      <c r="IS12" s="5" t="str">
        <f t="shared" si="91"/>
        <v/>
      </c>
      <c r="IT12" s="5" t="str">
        <f t="shared" si="92"/>
        <v/>
      </c>
      <c r="IU12" s="5" t="str">
        <f t="shared" si="93"/>
        <v/>
      </c>
      <c r="IV12" s="670" t="str">
        <f t="shared" si="94"/>
        <v/>
      </c>
      <c r="IW12" s="9" t="str">
        <f t="shared" si="95"/>
        <v/>
      </c>
      <c r="IX12" s="5" t="str">
        <f t="shared" si="96"/>
        <v/>
      </c>
      <c r="IY12" s="5" t="str">
        <f t="shared" si="97"/>
        <v/>
      </c>
      <c r="IZ12" s="5" t="str">
        <f t="shared" si="98"/>
        <v/>
      </c>
      <c r="JA12" s="705" t="str">
        <f t="shared" si="99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3.3800000000000031E-2</v>
      </c>
      <c r="C13" s="572">
        <f t="shared" si="3"/>
        <v>3.2368999999999994</v>
      </c>
      <c r="D13" s="576">
        <f t="shared" si="4"/>
        <v>-0.53249999999999986</v>
      </c>
      <c r="E13" s="580">
        <f t="shared" si="5"/>
        <v>-0.95880790980406616</v>
      </c>
      <c r="F13" s="572">
        <f t="shared" si="6"/>
        <v>0.23283115881656075</v>
      </c>
      <c r="G13" s="579">
        <f t="shared" si="7"/>
        <v>0.16271768060446049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3.3800000000000031E-2</v>
      </c>
      <c r="O13" s="572">
        <f t="shared" si="14"/>
        <v>3.2368999999999994</v>
      </c>
      <c r="P13" s="576">
        <f t="shared" si="15"/>
        <v>-0.53249999999999986</v>
      </c>
      <c r="Q13" s="528">
        <f t="shared" si="138"/>
        <v>89.401734077335576</v>
      </c>
      <c r="R13" s="572">
        <f t="shared" si="100"/>
        <v>3.2370764665049228</v>
      </c>
      <c r="S13" s="577">
        <f t="shared" si="101"/>
        <v>-0.53249999999999986</v>
      </c>
      <c r="T13" s="578">
        <f>IF(M13="","",X13*COS(RADIANS(W13)))</f>
        <v>3.2370764665049228</v>
      </c>
      <c r="U13" s="572">
        <f t="shared" si="103"/>
        <v>0</v>
      </c>
      <c r="V13" s="579">
        <f t="shared" si="139"/>
        <v>-0.53249999999999986</v>
      </c>
      <c r="W13" s="528">
        <f t="shared" si="16"/>
        <v>0</v>
      </c>
      <c r="X13" s="572">
        <f t="shared" si="104"/>
        <v>3.2370764665049228</v>
      </c>
      <c r="Y13" s="573">
        <f t="shared" si="17"/>
        <v>-0.53249999999999986</v>
      </c>
      <c r="Z13" s="575">
        <f t="shared" si="18"/>
        <v>0.95880790980406616</v>
      </c>
      <c r="AA13" s="572">
        <f t="shared" si="19"/>
        <v>-0.23283115881656075</v>
      </c>
      <c r="AB13" s="572">
        <f t="shared" si="20"/>
        <v>-0.16271768060446049</v>
      </c>
      <c r="AC13" s="579">
        <f t="shared" si="105"/>
        <v>1</v>
      </c>
      <c r="AD13" s="580">
        <f>IF(M13="","",Z13*(1/SQRT(Z13^2+AA13^2+AB13^2)))</f>
        <v>0.95880790980406616</v>
      </c>
      <c r="AE13" s="572">
        <f t="shared" si="106"/>
        <v>-0.23283115881656075</v>
      </c>
      <c r="AF13" s="576">
        <f t="shared" si="107"/>
        <v>-0.16271768060446049</v>
      </c>
      <c r="AG13" s="545">
        <f>IF(M13="","",DEGREES(ATAN2(-AF13,AE13)))</f>
        <v>-55.051625893531373</v>
      </c>
      <c r="AH13" s="546">
        <f t="shared" si="109"/>
        <v>16.50238535934924</v>
      </c>
      <c r="AI13" s="528">
        <f t="shared" si="110"/>
        <v>-80.635324526297154</v>
      </c>
      <c r="AJ13" s="529">
        <f t="shared" si="111"/>
        <v>76.350833074423136</v>
      </c>
      <c r="AK13" s="578">
        <f t="shared" si="237"/>
        <v>0.96118675249343211</v>
      </c>
      <c r="AL13" s="572">
        <f t="shared" si="112"/>
        <v>-0.22280705386013819</v>
      </c>
      <c r="AM13" s="577">
        <f t="shared" si="113"/>
        <v>-0.16271768060446049</v>
      </c>
      <c r="AN13" s="524">
        <f t="shared" si="114"/>
        <v>-53.859060958229847</v>
      </c>
      <c r="AO13" s="525">
        <f t="shared" si="115"/>
        <v>16.015570855073868</v>
      </c>
      <c r="AP13" s="528">
        <f t="shared" si="116"/>
        <v>-13.050901002912449</v>
      </c>
      <c r="AQ13" s="529">
        <f t="shared" si="21"/>
        <v>0.70421933400728098</v>
      </c>
      <c r="AS13" s="946">
        <f t="shared" si="141"/>
        <v>0</v>
      </c>
      <c r="AT13" s="942">
        <f t="shared" si="22"/>
        <v>-0.52822648407093209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2"/>
        <v/>
      </c>
      <c r="BA13" s="296" t="str">
        <f t="shared" si="24"/>
        <v/>
      </c>
      <c r="BB13" s="291" t="str">
        <f t="shared" si="143"/>
        <v/>
      </c>
      <c r="BC13" s="9"/>
      <c r="BD13" s="5" t="str">
        <f t="shared" si="144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5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6"/>
        <v/>
      </c>
      <c r="BP13" s="5" t="str">
        <f t="shared" si="147"/>
        <v/>
      </c>
      <c r="BQ13" s="5" t="str">
        <f t="shared" si="148"/>
        <v/>
      </c>
      <c r="BR13" s="6" t="str">
        <f t="shared" si="149"/>
        <v/>
      </c>
      <c r="BS13" s="4" t="str">
        <f t="shared" si="117"/>
        <v/>
      </c>
      <c r="BT13" s="5" t="str">
        <f t="shared" si="117"/>
        <v/>
      </c>
      <c r="BU13" s="10" t="str">
        <f t="shared" si="118"/>
        <v/>
      </c>
      <c r="BV13" s="9" t="str">
        <f t="shared" si="119"/>
        <v/>
      </c>
      <c r="BW13" s="5" t="str">
        <f t="shared" si="120"/>
        <v/>
      </c>
      <c r="BX13" s="8" t="str">
        <f t="shared" si="121"/>
        <v/>
      </c>
      <c r="BY13" s="173" t="str">
        <f t="shared" si="122"/>
        <v/>
      </c>
      <c r="BZ13" s="5" t="str">
        <f t="shared" si="123"/>
        <v/>
      </c>
      <c r="CA13" s="6" t="str">
        <f t="shared" si="124"/>
        <v/>
      </c>
      <c r="CB13" s="4" t="str">
        <f t="shared" si="150"/>
        <v/>
      </c>
      <c r="CC13" s="5" t="str">
        <f t="shared" si="151"/>
        <v/>
      </c>
      <c r="CD13" s="5" t="str">
        <f t="shared" si="152"/>
        <v/>
      </c>
      <c r="CE13" s="6" t="str">
        <f t="shared" si="153"/>
        <v/>
      </c>
      <c r="CF13" s="4" t="str">
        <f t="shared" si="154"/>
        <v/>
      </c>
      <c r="CG13" s="5" t="str">
        <f t="shared" si="155"/>
        <v/>
      </c>
      <c r="CH13" s="5" t="str">
        <f t="shared" si="156"/>
        <v/>
      </c>
      <c r="CI13" s="4" t="str">
        <f t="shared" si="125"/>
        <v/>
      </c>
      <c r="CJ13" s="5" t="str">
        <f t="shared" si="126"/>
        <v/>
      </c>
      <c r="CK13" s="8" t="str">
        <f t="shared" si="127"/>
        <v/>
      </c>
      <c r="CL13" s="173" t="str">
        <f t="shared" si="128"/>
        <v/>
      </c>
      <c r="CM13" s="5" t="str">
        <f t="shared" si="129"/>
        <v/>
      </c>
      <c r="CN13" s="6" t="str">
        <f t="shared" si="130"/>
        <v/>
      </c>
      <c r="CO13" s="167" t="str">
        <f t="shared" si="34"/>
        <v/>
      </c>
      <c r="CP13" s="4" t="str">
        <f t="shared" si="238"/>
        <v/>
      </c>
      <c r="CQ13" s="5" t="str">
        <f t="shared" si="239"/>
        <v/>
      </c>
      <c r="CR13" s="5" t="str">
        <f t="shared" si="157"/>
        <v/>
      </c>
      <c r="CS13" s="8" t="str">
        <f t="shared" si="158"/>
        <v/>
      </c>
      <c r="CT13" s="9" t="str">
        <f t="shared" si="159"/>
        <v/>
      </c>
      <c r="CU13" s="6" t="str">
        <f t="shared" si="160"/>
        <v/>
      </c>
      <c r="CV13" s="4" t="str">
        <f t="shared" si="240"/>
        <v/>
      </c>
      <c r="CW13" s="5" t="str">
        <f t="shared" si="161"/>
        <v/>
      </c>
      <c r="CX13" s="8" t="str">
        <f t="shared" si="162"/>
        <v/>
      </c>
      <c r="CY13" s="9" t="str">
        <f t="shared" si="163"/>
        <v/>
      </c>
      <c r="CZ13" s="5" t="str">
        <f t="shared" si="164"/>
        <v/>
      </c>
      <c r="DA13" s="6" t="str">
        <f t="shared" si="165"/>
        <v/>
      </c>
      <c r="DB13" s="4" t="str">
        <f t="shared" si="166"/>
        <v/>
      </c>
      <c r="DC13" s="5" t="str">
        <f t="shared" si="166"/>
        <v/>
      </c>
      <c r="DD13" s="10" t="str">
        <f t="shared" si="167"/>
        <v/>
      </c>
      <c r="DE13" s="9" t="str">
        <f t="shared" si="168"/>
        <v/>
      </c>
      <c r="DF13" s="5" t="str">
        <f t="shared" si="168"/>
        <v/>
      </c>
      <c r="DG13" s="10" t="str">
        <f t="shared" si="169"/>
        <v/>
      </c>
      <c r="DH13" s="70" t="str">
        <f t="shared" si="170"/>
        <v/>
      </c>
      <c r="DI13" s="4" t="str">
        <f t="shared" si="171"/>
        <v/>
      </c>
      <c r="DJ13" s="5" t="str">
        <f t="shared" si="172"/>
        <v/>
      </c>
      <c r="DK13" s="10" t="str">
        <f t="shared" si="173"/>
        <v/>
      </c>
      <c r="DL13" s="9" t="str">
        <f t="shared" si="174"/>
        <v/>
      </c>
      <c r="DM13" s="173" t="str">
        <f t="shared" si="175"/>
        <v/>
      </c>
      <c r="DN13" s="178" t="str">
        <f t="shared" si="176"/>
        <v/>
      </c>
      <c r="DO13" s="9" t="str">
        <f t="shared" si="177"/>
        <v/>
      </c>
      <c r="DP13" s="173" t="str">
        <f t="shared" si="178"/>
        <v/>
      </c>
      <c r="DQ13" s="11" t="str">
        <f t="shared" si="179"/>
        <v/>
      </c>
      <c r="DR13" s="173" t="str">
        <f t="shared" si="180"/>
        <v/>
      </c>
      <c r="DS13" s="5" t="str">
        <f t="shared" si="181"/>
        <v/>
      </c>
      <c r="DT13" s="5" t="str">
        <f t="shared" si="182"/>
        <v/>
      </c>
      <c r="DU13" s="5" t="str">
        <f t="shared" si="183"/>
        <v/>
      </c>
      <c r="DV13" s="5" t="str">
        <f t="shared" si="184"/>
        <v/>
      </c>
      <c r="DW13" s="5" t="str">
        <f t="shared" si="185"/>
        <v/>
      </c>
      <c r="DX13" s="167" t="str">
        <f t="shared" si="186"/>
        <v/>
      </c>
      <c r="DY13" s="9" t="str">
        <f t="shared" si="187"/>
        <v/>
      </c>
      <c r="DZ13" s="5" t="str">
        <f t="shared" si="188"/>
        <v/>
      </c>
      <c r="EA13" s="10" t="str">
        <f t="shared" si="189"/>
        <v/>
      </c>
      <c r="EB13" s="6" t="str">
        <f t="shared" si="190"/>
        <v/>
      </c>
      <c r="EC13" s="173" t="str">
        <f t="shared" si="191"/>
        <v/>
      </c>
      <c r="ED13" s="5" t="str">
        <f t="shared" si="192"/>
        <v/>
      </c>
      <c r="EE13" s="4" t="str">
        <f t="shared" si="193"/>
        <v/>
      </c>
      <c r="EF13" s="5" t="str">
        <f t="shared" si="194"/>
        <v/>
      </c>
      <c r="EG13" s="10" t="str">
        <f t="shared" si="195"/>
        <v/>
      </c>
      <c r="EH13" s="9" t="str">
        <f t="shared" si="196"/>
        <v/>
      </c>
      <c r="EI13" s="5" t="str">
        <f t="shared" si="197"/>
        <v/>
      </c>
      <c r="EJ13" s="6" t="str">
        <f t="shared" si="198"/>
        <v/>
      </c>
      <c r="EK13" s="236" t="str">
        <f t="shared" si="199"/>
        <v/>
      </c>
      <c r="EL13" s="238" t="str">
        <f t="shared" si="200"/>
        <v/>
      </c>
      <c r="EM13" s="4" t="str">
        <f t="shared" si="201"/>
        <v/>
      </c>
      <c r="EN13" s="5" t="str">
        <f t="shared" si="202"/>
        <v/>
      </c>
      <c r="EO13" s="10" t="str">
        <f t="shared" si="203"/>
        <v/>
      </c>
      <c r="EP13" s="9" t="str">
        <f t="shared" si="204"/>
        <v/>
      </c>
      <c r="EQ13" s="5" t="str">
        <f t="shared" si="205"/>
        <v/>
      </c>
      <c r="ER13" s="7" t="str">
        <f t="shared" si="206"/>
        <v/>
      </c>
      <c r="ES13" s="21" t="str">
        <f t="shared" si="131"/>
        <v/>
      </c>
      <c r="ET13" s="5" t="str">
        <f t="shared" si="43"/>
        <v/>
      </c>
      <c r="EU13" s="10" t="str">
        <f t="shared" si="44"/>
        <v/>
      </c>
      <c r="EV13" s="174" t="str">
        <f>IF(ISNUMBER($AV13),IF(($EV$1-EP13)&lt;0,(360+($EV$1-EP13)),($EV$1-EP13)),"")</f>
        <v/>
      </c>
      <c r="EW13" s="9" t="str">
        <f t="shared" si="132"/>
        <v/>
      </c>
      <c r="EX13" s="5" t="str">
        <f t="shared" si="45"/>
        <v/>
      </c>
      <c r="EY13" s="6" t="str">
        <f t="shared" si="207"/>
        <v/>
      </c>
      <c r="EZ13" s="51" t="str">
        <f t="shared" si="208"/>
        <v/>
      </c>
      <c r="FA13" s="266" t="str">
        <f t="shared" si="133"/>
        <v/>
      </c>
      <c r="FB13" s="267" t="str">
        <f t="shared" si="134"/>
        <v/>
      </c>
      <c r="FC13" s="269" t="str">
        <f t="shared" si="46"/>
        <v/>
      </c>
      <c r="FD13" s="4" t="str">
        <f t="shared" si="135"/>
        <v/>
      </c>
      <c r="FE13" s="5" t="str">
        <f t="shared" si="47"/>
        <v/>
      </c>
      <c r="FF13" s="7" t="str">
        <f t="shared" si="209"/>
        <v/>
      </c>
      <c r="FG13" s="173" t="str">
        <f t="shared" si="210"/>
        <v/>
      </c>
      <c r="FH13" s="5" t="str">
        <f t="shared" si="48"/>
        <v/>
      </c>
      <c r="FI13" s="10" t="str">
        <f t="shared" si="49"/>
        <v/>
      </c>
      <c r="FJ13" s="279" t="str">
        <f t="shared" si="211"/>
        <v/>
      </c>
      <c r="FK13" s="4" t="str">
        <f t="shared" si="50"/>
        <v/>
      </c>
      <c r="FL13" s="5" t="str">
        <f t="shared" si="212"/>
        <v/>
      </c>
      <c r="FM13" s="8" t="str">
        <f t="shared" si="213"/>
        <v/>
      </c>
      <c r="FN13" s="9" t="str">
        <f t="shared" si="214"/>
        <v/>
      </c>
      <c r="FO13" s="10" t="str">
        <f t="shared" si="51"/>
        <v/>
      </c>
      <c r="FP13" s="277" t="str">
        <f t="shared" si="52"/>
        <v/>
      </c>
      <c r="FQ13" s="173" t="str">
        <f t="shared" si="241"/>
        <v/>
      </c>
      <c r="FR13" s="10" t="str">
        <f t="shared" si="215"/>
        <v/>
      </c>
      <c r="FS13" s="9" t="str">
        <f t="shared" si="216"/>
        <v/>
      </c>
      <c r="FT13" s="6" t="str">
        <f t="shared" si="217"/>
        <v/>
      </c>
      <c r="FU13" s="4" t="str">
        <f t="shared" si="218"/>
        <v/>
      </c>
      <c r="FV13" s="5" t="str">
        <f t="shared" si="219"/>
        <v/>
      </c>
      <c r="FW13" s="8" t="str">
        <f t="shared" si="242"/>
        <v/>
      </c>
      <c r="FX13" s="9" t="str">
        <f t="shared" si="243"/>
        <v/>
      </c>
      <c r="FY13" s="10" t="str">
        <f t="shared" si="53"/>
        <v/>
      </c>
      <c r="FZ13" s="277" t="str">
        <f t="shared" si="244"/>
        <v/>
      </c>
      <c r="GA13" s="177" t="str">
        <f t="shared" si="220"/>
        <v/>
      </c>
      <c r="GB13" s="4" t="str">
        <f t="shared" si="221"/>
        <v/>
      </c>
      <c r="GC13" s="5" t="str">
        <f t="shared" si="222"/>
        <v/>
      </c>
      <c r="GD13" s="10" t="str">
        <f t="shared" si="223"/>
        <v/>
      </c>
      <c r="GE13" s="311" t="str">
        <f t="shared" si="224"/>
        <v/>
      </c>
      <c r="GF13" s="341" t="str">
        <f t="shared" si="245"/>
        <v/>
      </c>
      <c r="GG13" s="285" t="str">
        <f t="shared" si="54"/>
        <v/>
      </c>
      <c r="GH13" s="286" t="str">
        <f t="shared" si="55"/>
        <v/>
      </c>
      <c r="GI13" s="281" t="str">
        <f t="shared" si="56"/>
        <v/>
      </c>
      <c r="GJ13" s="167" t="str">
        <f t="shared" si="225"/>
        <v/>
      </c>
      <c r="GK13" s="174" t="str">
        <f t="shared" si="57"/>
        <v/>
      </c>
      <c r="GL13" s="174" t="str">
        <f t="shared" si="226"/>
        <v/>
      </c>
      <c r="GM13" s="177" t="str">
        <f t="shared" si="246"/>
        <v/>
      </c>
      <c r="GN13" s="280" t="str">
        <f t="shared" si="227"/>
        <v/>
      </c>
      <c r="GO13" s="4" t="str">
        <f t="shared" si="228"/>
        <v/>
      </c>
      <c r="GP13" s="8" t="str">
        <f t="shared" si="247"/>
        <v/>
      </c>
      <c r="GQ13" s="177" t="str">
        <f t="shared" si="229"/>
        <v/>
      </c>
      <c r="GR13" s="371" t="str">
        <f t="shared" si="248"/>
        <v/>
      </c>
      <c r="GS13" s="342" t="str">
        <f t="shared" si="59"/>
        <v/>
      </c>
      <c r="GT13" s="343" t="str">
        <f t="shared" si="60"/>
        <v/>
      </c>
      <c r="GU13" s="344" t="str">
        <f t="shared" si="61"/>
        <v/>
      </c>
      <c r="GV13" s="343" t="str">
        <f>IF(ISNUMBER($AV13),GW13*$GL13,"")</f>
        <v/>
      </c>
      <c r="GW13" s="345" t="str">
        <f t="shared" si="62"/>
        <v/>
      </c>
      <c r="GX13" s="346" t="str">
        <f>IF(ISNUMBER($AV13),($GJ13/12)*$GV13,"")</f>
        <v/>
      </c>
      <c r="GY13" s="344" t="str">
        <f t="shared" si="64"/>
        <v/>
      </c>
      <c r="GZ13" s="345" t="str">
        <f t="shared" si="65"/>
        <v/>
      </c>
      <c r="HA13" s="342" t="str">
        <f t="shared" si="66"/>
        <v/>
      </c>
      <c r="HB13" s="5" t="str">
        <f t="shared" si="230"/>
        <v/>
      </c>
      <c r="HC13" s="343" t="str">
        <f t="shared" si="231"/>
        <v/>
      </c>
      <c r="HD13" s="345" t="str">
        <f t="shared" si="232"/>
        <v/>
      </c>
      <c r="HE13" s="344" t="str">
        <f t="shared" si="67"/>
        <v/>
      </c>
      <c r="HF13" s="5" t="str">
        <f t="shared" si="68"/>
        <v/>
      </c>
      <c r="HG13" s="343" t="str">
        <f t="shared" si="233"/>
        <v/>
      </c>
      <c r="HH13" s="349" t="str">
        <f t="shared" si="234"/>
        <v/>
      </c>
      <c r="HI13" s="317" t="str">
        <f t="shared" si="69"/>
        <v/>
      </c>
      <c r="HJ13" s="336"/>
      <c r="HK13" s="310" t="str">
        <f t="shared" si="136"/>
        <v/>
      </c>
      <c r="HL13" s="348" t="str">
        <f t="shared" si="70"/>
        <v/>
      </c>
      <c r="HM13" s="923" t="str">
        <f t="shared" si="71"/>
        <v/>
      </c>
      <c r="HN13" s="924" t="str">
        <f t="shared" si="72"/>
        <v/>
      </c>
      <c r="HO13" s="925"/>
      <c r="HP13" s="926"/>
      <c r="HQ13" s="924" t="str">
        <f t="shared" si="73"/>
        <v/>
      </c>
      <c r="HR13" s="927" t="str">
        <f t="shared" si="74"/>
        <v/>
      </c>
      <c r="HS13" s="879" t="str">
        <f t="shared" ref="HS13:HS41" si="249">IFERROR(SMALL($GJ$9:$GJ$150,($HK12+1)),"")</f>
        <v/>
      </c>
      <c r="HT13" s="889" t="str">
        <f t="shared" si="75"/>
        <v/>
      </c>
      <c r="HU13" s="890" t="str">
        <f t="shared" si="76"/>
        <v/>
      </c>
      <c r="HV13" s="886" t="str">
        <f t="shared" si="77"/>
        <v/>
      </c>
      <c r="HW13" s="880" t="str">
        <f t="shared" si="78"/>
        <v/>
      </c>
      <c r="HX13" s="881" t="str">
        <f t="shared" si="79"/>
        <v/>
      </c>
      <c r="HY13" s="880" t="str">
        <f t="shared" si="80"/>
        <v/>
      </c>
      <c r="HZ13" s="882" t="str">
        <f t="shared" si="81"/>
        <v/>
      </c>
      <c r="IA13" s="883" t="str">
        <f t="shared" si="82"/>
        <v/>
      </c>
      <c r="IB13" s="884" t="str">
        <f t="shared" si="83"/>
        <v/>
      </c>
      <c r="IC13" s="855" t="str">
        <f t="shared" si="84"/>
        <v/>
      </c>
      <c r="ID13" s="351" t="str">
        <f t="shared" si="85"/>
        <v/>
      </c>
      <c r="IE13" s="857" t="str">
        <f t="shared" si="86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5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7"/>
        <v>1613</v>
      </c>
      <c r="IM13" s="482" t="str">
        <f t="shared" si="236"/>
        <v/>
      </c>
      <c r="IN13" s="670" t="str">
        <f t="shared" si="89"/>
        <v/>
      </c>
      <c r="IO13" s="702"/>
      <c r="IP13" s="5" t="str">
        <f t="shared" si="90"/>
        <v/>
      </c>
      <c r="IQ13" s="714"/>
      <c r="IR13" s="9" t="str">
        <f t="shared" si="137"/>
        <v/>
      </c>
      <c r="IS13" s="5" t="str">
        <f t="shared" si="91"/>
        <v/>
      </c>
      <c r="IT13" s="5" t="str">
        <f t="shared" si="92"/>
        <v/>
      </c>
      <c r="IU13" s="5" t="str">
        <f t="shared" si="93"/>
        <v/>
      </c>
      <c r="IV13" s="670" t="str">
        <f t="shared" si="94"/>
        <v/>
      </c>
      <c r="IW13" s="9" t="str">
        <f t="shared" si="95"/>
        <v/>
      </c>
      <c r="IX13" s="5" t="str">
        <f t="shared" si="96"/>
        <v/>
      </c>
      <c r="IY13" s="5" t="str">
        <f t="shared" si="97"/>
        <v/>
      </c>
      <c r="IZ13" s="5" t="str">
        <f t="shared" si="98"/>
        <v/>
      </c>
      <c r="JA13" s="705" t="str">
        <f t="shared" si="99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7.1999999999999911E-2</v>
      </c>
      <c r="C14" s="572">
        <f t="shared" si="3"/>
        <v>3.6032999999999999</v>
      </c>
      <c r="D14" s="576">
        <f t="shared" si="4"/>
        <v>-1.2041000000000002</v>
      </c>
      <c r="E14" s="580">
        <f t="shared" si="5"/>
        <v>-0.92944350671006348</v>
      </c>
      <c r="F14" s="572">
        <f t="shared" si="6"/>
        <v>0.35773558925588733</v>
      </c>
      <c r="G14" s="579">
        <f t="shared" si="7"/>
        <v>9.0332806965372658E-2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7.1999999999999911E-2</v>
      </c>
      <c r="O14" s="572">
        <f t="shared" si="14"/>
        <v>3.6032999999999999</v>
      </c>
      <c r="P14" s="576">
        <f t="shared" si="15"/>
        <v>-1.2041000000000002</v>
      </c>
      <c r="Q14" s="528">
        <f t="shared" si="138"/>
        <v>88.855286203211364</v>
      </c>
      <c r="R14" s="572">
        <f t="shared" si="100"/>
        <v>3.6040192688164141</v>
      </c>
      <c r="S14" s="577">
        <f>IF(M14="","",P14)</f>
        <v>-1.2041000000000002</v>
      </c>
      <c r="T14" s="578">
        <f t="shared" si="102"/>
        <v>3.6038553585963791</v>
      </c>
      <c r="U14" s="572">
        <f t="shared" si="103"/>
        <v>-3.4372144480149761E-2</v>
      </c>
      <c r="V14" s="579">
        <f t="shared" si="139"/>
        <v>-1.2041000000000002</v>
      </c>
      <c r="W14" s="528">
        <f t="shared" si="16"/>
        <v>359.45355212587577</v>
      </c>
      <c r="X14" s="572">
        <f t="shared" si="104"/>
        <v>3.6040192688164141</v>
      </c>
      <c r="Y14" s="573">
        <f t="shared" si="17"/>
        <v>-1.2041000000000002</v>
      </c>
      <c r="Z14" s="575">
        <f t="shared" si="18"/>
        <v>0.92944350671006348</v>
      </c>
      <c r="AA14" s="572">
        <f t="shared" si="19"/>
        <v>-0.35773558925588733</v>
      </c>
      <c r="AB14" s="572">
        <f t="shared" si="20"/>
        <v>-9.0332806965372658E-2</v>
      </c>
      <c r="AC14" s="579">
        <f t="shared" si="105"/>
        <v>1</v>
      </c>
      <c r="AD14" s="580">
        <f>IF(M14="","",Z14*(1/SQRT(Z14^2+AA14^2+AB14^2)))</f>
        <v>0.92944350671006348</v>
      </c>
      <c r="AE14" s="572">
        <f t="shared" si="106"/>
        <v>-0.35773558925588733</v>
      </c>
      <c r="AF14" s="576">
        <f t="shared" si="107"/>
        <v>-9.0332806965372658E-2</v>
      </c>
      <c r="AG14" s="545">
        <f t="shared" si="108"/>
        <v>-75.828334263964408</v>
      </c>
      <c r="AH14" s="546">
        <f t="shared" si="109"/>
        <v>21.651766611961214</v>
      </c>
      <c r="AI14" s="528">
        <f t="shared" si="110"/>
        <v>-84.817246485695918</v>
      </c>
      <c r="AJ14" s="529">
        <f t="shared" si="111"/>
        <v>68.948671981268504</v>
      </c>
      <c r="AK14" s="578">
        <f>IF(M14="","",(COS(RADIANS((90-$Q$8)-W14))*AD14)+(-SIN(RADIANS((90-$Q$8)-W14))*AE14))</f>
        <v>0.93640474659923545</v>
      </c>
      <c r="AL14" s="572">
        <f t="shared" si="112"/>
        <v>-0.33909605502302481</v>
      </c>
      <c r="AM14" s="577">
        <f t="shared" si="113"/>
        <v>-9.0332806965372658E-2</v>
      </c>
      <c r="AN14" s="524">
        <f t="shared" si="114"/>
        <v>-75.083224100282067</v>
      </c>
      <c r="AO14" s="525">
        <f t="shared" si="115"/>
        <v>20.543710441538337</v>
      </c>
      <c r="AP14" s="528">
        <f>IF(M14="","",DEGREES(ATAN2(AK14,AL14)))</f>
        <v>-19.906614221942831</v>
      </c>
      <c r="AQ14" s="529">
        <f t="shared" si="21"/>
        <v>0.63252548005216858</v>
      </c>
      <c r="AS14" s="946">
        <f t="shared" si="141"/>
        <v>-0.54644787412422602</v>
      </c>
      <c r="AT14" s="942">
        <f>IF(M14="","",Y14+(((AS14-$AS$9)*$AS$6)*-1))</f>
        <v>-1.1994470063805684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2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4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5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6"/>
        <v/>
      </c>
      <c r="BP14" s="5" t="str">
        <f t="shared" si="147"/>
        <v/>
      </c>
      <c r="BQ14" s="5" t="str">
        <f t="shared" si="148"/>
        <v/>
      </c>
      <c r="BR14" s="6" t="str">
        <f t="shared" si="149"/>
        <v/>
      </c>
      <c r="BS14" s="4" t="str">
        <f t="shared" si="117"/>
        <v/>
      </c>
      <c r="BT14" s="5" t="str">
        <f t="shared" si="117"/>
        <v/>
      </c>
      <c r="BU14" s="10" t="str">
        <f t="shared" si="118"/>
        <v/>
      </c>
      <c r="BV14" s="9" t="str">
        <f t="shared" si="119"/>
        <v/>
      </c>
      <c r="BW14" s="5" t="str">
        <f t="shared" si="120"/>
        <v/>
      </c>
      <c r="BX14" s="8" t="str">
        <f t="shared" si="121"/>
        <v/>
      </c>
      <c r="BY14" s="173" t="str">
        <f t="shared" si="122"/>
        <v/>
      </c>
      <c r="BZ14" s="5" t="str">
        <f t="shared" si="123"/>
        <v/>
      </c>
      <c r="CA14" s="6" t="str">
        <f t="shared" si="124"/>
        <v/>
      </c>
      <c r="CB14" s="4" t="str">
        <f t="shared" si="150"/>
        <v/>
      </c>
      <c r="CC14" s="5" t="str">
        <f t="shared" si="151"/>
        <v/>
      </c>
      <c r="CD14" s="5" t="str">
        <f t="shared" si="152"/>
        <v/>
      </c>
      <c r="CE14" s="6" t="str">
        <f t="shared" si="153"/>
        <v/>
      </c>
      <c r="CF14" s="4" t="str">
        <f t="shared" si="154"/>
        <v/>
      </c>
      <c r="CG14" s="5" t="str">
        <f t="shared" si="155"/>
        <v/>
      </c>
      <c r="CH14" s="5" t="str">
        <f t="shared" si="156"/>
        <v/>
      </c>
      <c r="CI14" s="4" t="str">
        <f t="shared" si="125"/>
        <v/>
      </c>
      <c r="CJ14" s="5" t="str">
        <f t="shared" si="126"/>
        <v/>
      </c>
      <c r="CK14" s="8" t="str">
        <f t="shared" si="127"/>
        <v/>
      </c>
      <c r="CL14" s="173" t="str">
        <f t="shared" si="128"/>
        <v/>
      </c>
      <c r="CM14" s="5" t="str">
        <f t="shared" si="129"/>
        <v/>
      </c>
      <c r="CN14" s="6" t="str">
        <f t="shared" si="130"/>
        <v/>
      </c>
      <c r="CO14" s="167" t="str">
        <f t="shared" si="34"/>
        <v/>
      </c>
      <c r="CP14" s="4" t="str">
        <f t="shared" si="238"/>
        <v/>
      </c>
      <c r="CQ14" s="5" t="str">
        <f t="shared" si="239"/>
        <v/>
      </c>
      <c r="CR14" s="5" t="str">
        <f t="shared" si="157"/>
        <v/>
      </c>
      <c r="CS14" s="8" t="str">
        <f t="shared" si="158"/>
        <v/>
      </c>
      <c r="CT14" s="9" t="str">
        <f t="shared" si="159"/>
        <v/>
      </c>
      <c r="CU14" s="6" t="str">
        <f t="shared" si="160"/>
        <v/>
      </c>
      <c r="CV14" s="4" t="str">
        <f>IF(ISNUMBER($AV14),CI14+($CT14*(CL14-CI14)),"")</f>
        <v/>
      </c>
      <c r="CW14" s="5" t="str">
        <f t="shared" si="161"/>
        <v/>
      </c>
      <c r="CX14" s="8" t="str">
        <f t="shared" si="162"/>
        <v/>
      </c>
      <c r="CY14" s="9" t="str">
        <f t="shared" si="163"/>
        <v/>
      </c>
      <c r="CZ14" s="5" t="str">
        <f t="shared" si="164"/>
        <v/>
      </c>
      <c r="DA14" s="6" t="str">
        <f t="shared" si="165"/>
        <v/>
      </c>
      <c r="DB14" s="4" t="str">
        <f t="shared" si="166"/>
        <v/>
      </c>
      <c r="DC14" s="5" t="str">
        <f t="shared" si="166"/>
        <v/>
      </c>
      <c r="DD14" s="10" t="str">
        <f t="shared" si="167"/>
        <v/>
      </c>
      <c r="DE14" s="9" t="str">
        <f t="shared" si="168"/>
        <v/>
      </c>
      <c r="DF14" s="5" t="str">
        <f t="shared" si="168"/>
        <v/>
      </c>
      <c r="DG14" s="10" t="str">
        <f t="shared" si="169"/>
        <v/>
      </c>
      <c r="DH14" s="70" t="str">
        <f t="shared" si="170"/>
        <v/>
      </c>
      <c r="DI14" s="4" t="str">
        <f t="shared" si="171"/>
        <v/>
      </c>
      <c r="DJ14" s="5" t="str">
        <f t="shared" si="172"/>
        <v/>
      </c>
      <c r="DK14" s="10" t="str">
        <f t="shared" si="173"/>
        <v/>
      </c>
      <c r="DL14" s="9" t="str">
        <f t="shared" si="174"/>
        <v/>
      </c>
      <c r="DM14" s="173" t="str">
        <f t="shared" si="175"/>
        <v/>
      </c>
      <c r="DN14" s="178" t="str">
        <f t="shared" si="176"/>
        <v/>
      </c>
      <c r="DO14" s="9" t="str">
        <f t="shared" si="177"/>
        <v/>
      </c>
      <c r="DP14" s="173" t="str">
        <f t="shared" si="178"/>
        <v/>
      </c>
      <c r="DQ14" s="11" t="str">
        <f t="shared" si="179"/>
        <v/>
      </c>
      <c r="DR14" s="173" t="str">
        <f t="shared" si="180"/>
        <v/>
      </c>
      <c r="DS14" s="5" t="str">
        <f t="shared" si="181"/>
        <v/>
      </c>
      <c r="DT14" s="5" t="str">
        <f t="shared" si="182"/>
        <v/>
      </c>
      <c r="DU14" s="5" t="str">
        <f t="shared" si="183"/>
        <v/>
      </c>
      <c r="DV14" s="5" t="str">
        <f t="shared" si="184"/>
        <v/>
      </c>
      <c r="DW14" s="5" t="str">
        <f t="shared" si="185"/>
        <v/>
      </c>
      <c r="DX14" s="167" t="str">
        <f t="shared" si="186"/>
        <v/>
      </c>
      <c r="DY14" s="9" t="str">
        <f t="shared" si="187"/>
        <v/>
      </c>
      <c r="DZ14" s="5" t="str">
        <f t="shared" si="188"/>
        <v/>
      </c>
      <c r="EA14" s="10" t="str">
        <f t="shared" si="189"/>
        <v/>
      </c>
      <c r="EB14" s="6" t="str">
        <f t="shared" si="190"/>
        <v/>
      </c>
      <c r="EC14" s="173" t="str">
        <f t="shared" si="191"/>
        <v/>
      </c>
      <c r="ED14" s="5" t="str">
        <f t="shared" si="192"/>
        <v/>
      </c>
      <c r="EE14" s="4" t="str">
        <f t="shared" si="193"/>
        <v/>
      </c>
      <c r="EF14" s="5" t="str">
        <f t="shared" si="194"/>
        <v/>
      </c>
      <c r="EG14" s="10" t="str">
        <f t="shared" si="195"/>
        <v/>
      </c>
      <c r="EH14" s="9" t="str">
        <f t="shared" si="196"/>
        <v/>
      </c>
      <c r="EI14" s="5" t="str">
        <f t="shared" si="197"/>
        <v/>
      </c>
      <c r="EJ14" s="6" t="str">
        <f t="shared" si="198"/>
        <v/>
      </c>
      <c r="EK14" s="236" t="str">
        <f t="shared" si="199"/>
        <v/>
      </c>
      <c r="EL14" s="238" t="str">
        <f t="shared" si="200"/>
        <v/>
      </c>
      <c r="EM14" s="4" t="str">
        <f t="shared" si="201"/>
        <v/>
      </c>
      <c r="EN14" s="5" t="str">
        <f t="shared" si="202"/>
        <v/>
      </c>
      <c r="EO14" s="10" t="str">
        <f t="shared" si="203"/>
        <v/>
      </c>
      <c r="EP14" s="9" t="str">
        <f t="shared" si="204"/>
        <v/>
      </c>
      <c r="EQ14" s="5" t="str">
        <f t="shared" si="205"/>
        <v/>
      </c>
      <c r="ER14" s="7" t="str">
        <f t="shared" si="206"/>
        <v/>
      </c>
      <c r="ES14" s="21" t="str">
        <f t="shared" si="131"/>
        <v/>
      </c>
      <c r="ET14" s="5" t="str">
        <f t="shared" si="43"/>
        <v/>
      </c>
      <c r="EU14" s="10" t="str">
        <f t="shared" si="44"/>
        <v/>
      </c>
      <c r="EV14" s="174" t="str">
        <f t="shared" ref="EV14:EV40" si="250">IF(ISNUMBER($AV14),IF(($EV$1-EP14)&lt;0,(360+($EV$1-EP14)),($EV$1-EP14)),"")</f>
        <v/>
      </c>
      <c r="EW14" s="9" t="str">
        <f t="shared" si="132"/>
        <v/>
      </c>
      <c r="EX14" s="5" t="str">
        <f t="shared" si="45"/>
        <v/>
      </c>
      <c r="EY14" s="6" t="str">
        <f t="shared" si="207"/>
        <v/>
      </c>
      <c r="EZ14" s="51" t="str">
        <f>IF(ISNUMBER($AV14),DEGREES(ATAN($AS$5/($EQ14*2*PI()))),"")</f>
        <v/>
      </c>
      <c r="FA14" s="266" t="str">
        <f t="shared" si="133"/>
        <v/>
      </c>
      <c r="FB14" s="267" t="str">
        <f t="shared" si="134"/>
        <v/>
      </c>
      <c r="FC14" s="269" t="str">
        <f t="shared" si="46"/>
        <v/>
      </c>
      <c r="FD14" s="4" t="str">
        <f t="shared" si="135"/>
        <v/>
      </c>
      <c r="FE14" s="5" t="str">
        <f t="shared" si="47"/>
        <v/>
      </c>
      <c r="FF14" s="7" t="str">
        <f t="shared" si="209"/>
        <v/>
      </c>
      <c r="FG14" s="173" t="str">
        <f t="shared" si="210"/>
        <v/>
      </c>
      <c r="FH14" s="5" t="str">
        <f t="shared" si="48"/>
        <v/>
      </c>
      <c r="FI14" s="10" t="str">
        <f t="shared" si="49"/>
        <v/>
      </c>
      <c r="FJ14" s="279" t="str">
        <f t="shared" si="211"/>
        <v/>
      </c>
      <c r="FK14" s="4" t="str">
        <f t="shared" si="50"/>
        <v/>
      </c>
      <c r="FL14" s="5" t="str">
        <f t="shared" si="212"/>
        <v/>
      </c>
      <c r="FM14" s="8" t="str">
        <f t="shared" si="213"/>
        <v/>
      </c>
      <c r="FN14" s="9" t="str">
        <f t="shared" si="214"/>
        <v/>
      </c>
      <c r="FO14" s="10" t="str">
        <f t="shared" si="51"/>
        <v/>
      </c>
      <c r="FP14" s="277" t="str">
        <f t="shared" si="52"/>
        <v/>
      </c>
      <c r="FQ14" s="173" t="str">
        <f t="shared" si="241"/>
        <v/>
      </c>
      <c r="FR14" s="10" t="str">
        <f t="shared" si="215"/>
        <v/>
      </c>
      <c r="FS14" s="9" t="str">
        <f t="shared" si="216"/>
        <v/>
      </c>
      <c r="FT14" s="6" t="str">
        <f t="shared" si="217"/>
        <v/>
      </c>
      <c r="FU14" s="4" t="str">
        <f t="shared" si="218"/>
        <v/>
      </c>
      <c r="FV14" s="5" t="str">
        <f t="shared" si="219"/>
        <v/>
      </c>
      <c r="FW14" s="8" t="str">
        <f t="shared" si="242"/>
        <v/>
      </c>
      <c r="FX14" s="9" t="str">
        <f t="shared" si="243"/>
        <v/>
      </c>
      <c r="FY14" s="10" t="str">
        <f t="shared" si="53"/>
        <v/>
      </c>
      <c r="FZ14" s="277" t="str">
        <f t="shared" si="244"/>
        <v/>
      </c>
      <c r="GA14" s="177" t="str">
        <f t="shared" si="220"/>
        <v/>
      </c>
      <c r="GB14" s="4" t="str">
        <f>IF(ISNUMBER($AV14),COS(RADIANS(FP14+90))*COS(RADIANS(FZ14)),"")</f>
        <v/>
      </c>
      <c r="GC14" s="5" t="str">
        <f t="shared" si="222"/>
        <v/>
      </c>
      <c r="GD14" s="10" t="str">
        <f t="shared" si="223"/>
        <v/>
      </c>
      <c r="GE14" s="311" t="str">
        <f t="shared" si="224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6"/>
        <v/>
      </c>
      <c r="GJ14" s="167" t="str">
        <f t="shared" si="225"/>
        <v/>
      </c>
      <c r="GK14" s="174" t="str">
        <f t="shared" si="57"/>
        <v/>
      </c>
      <c r="GL14" s="174" t="str">
        <f t="shared" si="226"/>
        <v/>
      </c>
      <c r="GM14" s="177" t="str">
        <f t="shared" si="246"/>
        <v/>
      </c>
      <c r="GN14" s="280" t="str">
        <f t="shared" si="227"/>
        <v/>
      </c>
      <c r="GO14" s="4" t="str">
        <f t="shared" si="228"/>
        <v/>
      </c>
      <c r="GP14" s="8" t="str">
        <f t="shared" si="247"/>
        <v/>
      </c>
      <c r="GQ14" s="177" t="str">
        <f t="shared" si="229"/>
        <v/>
      </c>
      <c r="GR14" s="371" t="str">
        <f t="shared" si="248"/>
        <v/>
      </c>
      <c r="GS14" s="342" t="str">
        <f>IF(ISNUMBER($AV14),GU14/GH14*GG14,"")</f>
        <v/>
      </c>
      <c r="GT14" s="343" t="str">
        <f t="shared" si="60"/>
        <v/>
      </c>
      <c r="GU14" s="344" t="str">
        <f t="shared" si="61"/>
        <v/>
      </c>
      <c r="GV14" s="343" t="str">
        <f t="shared" ref="GV14:GV74" si="251">IF(ISNUMBER($AV14),GW14*$GL14,"")</f>
        <v/>
      </c>
      <c r="GW14" s="345" t="str">
        <f t="shared" si="62"/>
        <v/>
      </c>
      <c r="GX14" s="346" t="str">
        <f t="shared" si="63"/>
        <v/>
      </c>
      <c r="GY14" s="344" t="str">
        <f t="shared" si="64"/>
        <v/>
      </c>
      <c r="GZ14" s="345" t="str">
        <f t="shared" si="65"/>
        <v/>
      </c>
      <c r="HA14" s="342" t="str">
        <f t="shared" si="66"/>
        <v/>
      </c>
      <c r="HB14" s="5" t="str">
        <f t="shared" si="230"/>
        <v/>
      </c>
      <c r="HC14" s="343" t="str">
        <f t="shared" si="231"/>
        <v/>
      </c>
      <c r="HD14" s="345" t="str">
        <f t="shared" si="232"/>
        <v/>
      </c>
      <c r="HE14" s="344" t="str">
        <f t="shared" si="67"/>
        <v/>
      </c>
      <c r="HF14" s="5" t="str">
        <f t="shared" si="68"/>
        <v/>
      </c>
      <c r="HG14" s="343" t="str">
        <f t="shared" si="233"/>
        <v/>
      </c>
      <c r="HH14" s="349" t="str">
        <f t="shared" si="234"/>
        <v/>
      </c>
      <c r="HI14" s="317" t="str">
        <f t="shared" si="69"/>
        <v/>
      </c>
      <c r="HJ14" s="336"/>
      <c r="HK14" s="310" t="str">
        <f t="shared" si="136"/>
        <v/>
      </c>
      <c r="HL14" s="348" t="str">
        <f t="shared" si="70"/>
        <v/>
      </c>
      <c r="HM14" s="923" t="str">
        <f t="shared" si="71"/>
        <v/>
      </c>
      <c r="HN14" s="924" t="str">
        <f t="shared" si="72"/>
        <v/>
      </c>
      <c r="HO14" s="925"/>
      <c r="HP14" s="926"/>
      <c r="HQ14" s="924" t="str">
        <f t="shared" si="73"/>
        <v/>
      </c>
      <c r="HR14" s="927" t="str">
        <f t="shared" si="74"/>
        <v/>
      </c>
      <c r="HS14" s="879" t="str">
        <f t="shared" si="249"/>
        <v/>
      </c>
      <c r="HT14" s="889" t="str">
        <f t="shared" si="75"/>
        <v/>
      </c>
      <c r="HU14" s="890" t="str">
        <f t="shared" si="76"/>
        <v/>
      </c>
      <c r="HV14" s="886" t="str">
        <f t="shared" si="77"/>
        <v/>
      </c>
      <c r="HW14" s="880" t="str">
        <f t="shared" si="78"/>
        <v/>
      </c>
      <c r="HX14" s="881" t="str">
        <f t="shared" si="79"/>
        <v/>
      </c>
      <c r="HY14" s="880" t="str">
        <f t="shared" si="80"/>
        <v/>
      </c>
      <c r="HZ14" s="882" t="str">
        <f t="shared" si="81"/>
        <v/>
      </c>
      <c r="IA14" s="883" t="str">
        <f t="shared" si="82"/>
        <v/>
      </c>
      <c r="IB14" s="884" t="str">
        <f t="shared" si="83"/>
        <v/>
      </c>
      <c r="IC14" s="855" t="str">
        <f t="shared" si="84"/>
        <v/>
      </c>
      <c r="ID14" s="351" t="str">
        <f t="shared" si="85"/>
        <v/>
      </c>
      <c r="IE14" s="857" t="str">
        <f t="shared" si="86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5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7"/>
        <v>1613</v>
      </c>
      <c r="IM14" s="482" t="str">
        <f t="shared" si="236"/>
        <v/>
      </c>
      <c r="IN14" s="670" t="str">
        <f t="shared" si="89"/>
        <v/>
      </c>
      <c r="IO14" s="702"/>
      <c r="IP14" s="5" t="str">
        <f t="shared" si="90"/>
        <v/>
      </c>
      <c r="IQ14" s="714"/>
      <c r="IR14" s="9" t="str">
        <f t="shared" si="137"/>
        <v/>
      </c>
      <c r="IS14" s="5" t="str">
        <f t="shared" si="91"/>
        <v/>
      </c>
      <c r="IT14" s="5" t="str">
        <f t="shared" si="92"/>
        <v/>
      </c>
      <c r="IU14" s="5" t="str">
        <f t="shared" si="93"/>
        <v/>
      </c>
      <c r="IV14" s="670" t="str">
        <f t="shared" si="94"/>
        <v/>
      </c>
      <c r="IW14" s="9" t="str">
        <f t="shared" si="95"/>
        <v/>
      </c>
      <c r="IX14" s="5" t="str">
        <f t="shared" si="96"/>
        <v/>
      </c>
      <c r="IY14" s="5" t="str">
        <f t="shared" si="97"/>
        <v/>
      </c>
      <c r="IZ14" s="5" t="str">
        <f t="shared" si="98"/>
        <v/>
      </c>
      <c r="JA14" s="705" t="str">
        <f t="shared" si="99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9.7500000000000031E-2</v>
      </c>
      <c r="C15" s="572">
        <f t="shared" si="3"/>
        <v>3.7636000000000003</v>
      </c>
      <c r="D15" s="576">
        <f t="shared" si="4"/>
        <v>-1.8642000000000003</v>
      </c>
      <c r="E15" s="580">
        <f t="shared" si="5"/>
        <v>-0.85456872390204919</v>
      </c>
      <c r="F15" s="572">
        <f t="shared" si="6"/>
        <v>0.51567419545881021</v>
      </c>
      <c r="G15" s="579">
        <f t="shared" si="7"/>
        <v>6.1582629582798941E-2</v>
      </c>
      <c r="H15" s="580">
        <f t="shared" si="8"/>
        <v>0.26450000000000001</v>
      </c>
      <c r="I15" s="572">
        <f t="shared" si="9"/>
        <v>0.52</v>
      </c>
      <c r="J15" s="483">
        <f t="shared" si="10"/>
        <v>1.119</v>
      </c>
      <c r="K15" s="806">
        <f t="shared" si="11"/>
        <v>1313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9.7500000000000031E-2</v>
      </c>
      <c r="O15" s="572">
        <f t="shared" si="14"/>
        <v>3.7636000000000003</v>
      </c>
      <c r="P15" s="576">
        <f t="shared" si="15"/>
        <v>-1.8642000000000003</v>
      </c>
      <c r="Q15" s="528">
        <f t="shared" si="138"/>
        <v>88.516024737428594</v>
      </c>
      <c r="R15" s="572">
        <f t="shared" si="100"/>
        <v>3.764862707988168</v>
      </c>
      <c r="S15" s="577">
        <f t="shared" si="101"/>
        <v>-1.8642000000000003</v>
      </c>
      <c r="T15" s="578">
        <f t="shared" si="102"/>
        <v>3.7644128787470112</v>
      </c>
      <c r="U15" s="572">
        <f t="shared" si="103"/>
        <v>-5.8196978647031959E-2</v>
      </c>
      <c r="V15" s="579">
        <f t="shared" si="139"/>
        <v>-1.8642000000000003</v>
      </c>
      <c r="W15" s="528">
        <f t="shared" ref="W15:W78" si="252">IF(M15="","",IF(Q15-$Q$8&lt;0,360+Q15-$Q$8,Q15-$Q$8))</f>
        <v>359.11429066009305</v>
      </c>
      <c r="X15" s="572">
        <f>IF(M15="","",R15)</f>
        <v>3.764862707988168</v>
      </c>
      <c r="Y15" s="573">
        <f t="shared" si="17"/>
        <v>-1.8642000000000003</v>
      </c>
      <c r="Z15" s="575">
        <f t="shared" si="18"/>
        <v>0.85456872390204919</v>
      </c>
      <c r="AA15" s="572">
        <f t="shared" si="19"/>
        <v>-0.51567419545881021</v>
      </c>
      <c r="AB15" s="572">
        <f t="shared" si="20"/>
        <v>-6.1582629582798941E-2</v>
      </c>
      <c r="AC15" s="579">
        <f t="shared" si="105"/>
        <v>1</v>
      </c>
      <c r="AD15" s="580">
        <f t="shared" si="140"/>
        <v>0.85456872390204919</v>
      </c>
      <c r="AE15" s="572">
        <f t="shared" si="106"/>
        <v>-0.51567419545881021</v>
      </c>
      <c r="AF15" s="576">
        <f t="shared" si="107"/>
        <v>-6.1582629582798941E-2</v>
      </c>
      <c r="AG15" s="545">
        <f t="shared" si="108"/>
        <v>-83.18989912560545</v>
      </c>
      <c r="AH15" s="546">
        <f t="shared" si="109"/>
        <v>31.2878781266351</v>
      </c>
      <c r="AI15" s="528">
        <f t="shared" si="110"/>
        <v>-86.469341207320554</v>
      </c>
      <c r="AJ15" s="529">
        <f t="shared" si="111"/>
        <v>58.891870786570578</v>
      </c>
      <c r="AK15" s="578">
        <f t="shared" si="237"/>
        <v>0.86763670728394926</v>
      </c>
      <c r="AL15" s="572">
        <f t="shared" si="112"/>
        <v>-0.493370169251379</v>
      </c>
      <c r="AM15" s="577">
        <f t="shared" si="113"/>
        <v>-6.1582629582798941E-2</v>
      </c>
      <c r="AN15" s="524">
        <f>IF(M15="","",DEGREES(ATAN2(-AM15,AL15)))</f>
        <v>-82.885119576812528</v>
      </c>
      <c r="AO15" s="525">
        <f t="shared" si="115"/>
        <v>29.814839690466783</v>
      </c>
      <c r="AP15" s="528">
        <f t="shared" si="116"/>
        <v>-29.624153950858009</v>
      </c>
      <c r="AQ15" s="529">
        <f t="shared" si="21"/>
        <v>0.60550461961744262</v>
      </c>
      <c r="AS15" s="946">
        <f t="shared" si="141"/>
        <v>-0.88570933990695266</v>
      </c>
      <c r="AT15" s="942">
        <f t="shared" si="22"/>
        <v>-1.8593114081404416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3"/>
        <v/>
      </c>
      <c r="BC15" s="9"/>
      <c r="BD15" s="5" t="str">
        <f t="shared" si="144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5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6"/>
        <v/>
      </c>
      <c r="BP15" s="5" t="str">
        <f t="shared" si="147"/>
        <v/>
      </c>
      <c r="BQ15" s="5" t="str">
        <f t="shared" si="148"/>
        <v/>
      </c>
      <c r="BR15" s="6" t="str">
        <f t="shared" si="149"/>
        <v/>
      </c>
      <c r="BS15" s="4" t="str">
        <f t="shared" si="117"/>
        <v/>
      </c>
      <c r="BT15" s="5" t="str">
        <f t="shared" si="117"/>
        <v/>
      </c>
      <c r="BU15" s="10" t="str">
        <f t="shared" si="118"/>
        <v/>
      </c>
      <c r="BV15" s="9" t="str">
        <f t="shared" si="119"/>
        <v/>
      </c>
      <c r="BW15" s="5" t="str">
        <f t="shared" si="120"/>
        <v/>
      </c>
      <c r="BX15" s="8" t="str">
        <f t="shared" si="121"/>
        <v/>
      </c>
      <c r="BY15" s="173" t="str">
        <f t="shared" si="122"/>
        <v/>
      </c>
      <c r="BZ15" s="5" t="str">
        <f t="shared" si="123"/>
        <v/>
      </c>
      <c r="CA15" s="6" t="str">
        <f t="shared" si="124"/>
        <v/>
      </c>
      <c r="CB15" s="4" t="str">
        <f t="shared" si="150"/>
        <v/>
      </c>
      <c r="CC15" s="5" t="str">
        <f t="shared" si="151"/>
        <v/>
      </c>
      <c r="CD15" s="5" t="str">
        <f t="shared" si="152"/>
        <v/>
      </c>
      <c r="CE15" s="6" t="str">
        <f t="shared" si="153"/>
        <v/>
      </c>
      <c r="CF15" s="4" t="str">
        <f t="shared" si="154"/>
        <v/>
      </c>
      <c r="CG15" s="5" t="str">
        <f t="shared" si="155"/>
        <v/>
      </c>
      <c r="CH15" s="5" t="str">
        <f t="shared" si="156"/>
        <v/>
      </c>
      <c r="CI15" s="4" t="str">
        <f t="shared" si="125"/>
        <v/>
      </c>
      <c r="CJ15" s="5" t="str">
        <f t="shared" si="126"/>
        <v/>
      </c>
      <c r="CK15" s="8" t="str">
        <f t="shared" si="127"/>
        <v/>
      </c>
      <c r="CL15" s="173" t="str">
        <f t="shared" si="128"/>
        <v/>
      </c>
      <c r="CM15" s="5" t="str">
        <f t="shared" si="129"/>
        <v/>
      </c>
      <c r="CN15" s="6" t="str">
        <f t="shared" si="130"/>
        <v/>
      </c>
      <c r="CO15" s="167" t="str">
        <f t="shared" si="34"/>
        <v/>
      </c>
      <c r="CP15" s="4" t="str">
        <f t="shared" si="238"/>
        <v/>
      </c>
      <c r="CQ15" s="5" t="str">
        <f t="shared" si="239"/>
        <v/>
      </c>
      <c r="CR15" s="5" t="str">
        <f t="shared" si="157"/>
        <v/>
      </c>
      <c r="CS15" s="8" t="str">
        <f t="shared" si="158"/>
        <v/>
      </c>
      <c r="CT15" s="9" t="str">
        <f t="shared" si="159"/>
        <v/>
      </c>
      <c r="CU15" s="6" t="str">
        <f t="shared" si="160"/>
        <v/>
      </c>
      <c r="CV15" s="4" t="str">
        <f t="shared" si="240"/>
        <v/>
      </c>
      <c r="CW15" s="5" t="str">
        <f t="shared" si="161"/>
        <v/>
      </c>
      <c r="CX15" s="8" t="str">
        <f t="shared" si="162"/>
        <v/>
      </c>
      <c r="CY15" s="9" t="str">
        <f t="shared" si="163"/>
        <v/>
      </c>
      <c r="CZ15" s="5" t="str">
        <f t="shared" si="164"/>
        <v/>
      </c>
      <c r="DA15" s="6" t="str">
        <f t="shared" si="165"/>
        <v/>
      </c>
      <c r="DB15" s="4" t="str">
        <f t="shared" si="166"/>
        <v/>
      </c>
      <c r="DC15" s="5" t="str">
        <f t="shared" si="166"/>
        <v/>
      </c>
      <c r="DD15" s="10" t="str">
        <f t="shared" si="167"/>
        <v/>
      </c>
      <c r="DE15" s="9" t="str">
        <f t="shared" si="168"/>
        <v/>
      </c>
      <c r="DF15" s="5" t="str">
        <f t="shared" si="168"/>
        <v/>
      </c>
      <c r="DG15" s="10" t="str">
        <f t="shared" si="169"/>
        <v/>
      </c>
      <c r="DH15" s="70" t="str">
        <f t="shared" si="170"/>
        <v/>
      </c>
      <c r="DI15" s="4" t="str">
        <f t="shared" si="171"/>
        <v/>
      </c>
      <c r="DJ15" s="5" t="str">
        <f t="shared" si="172"/>
        <v/>
      </c>
      <c r="DK15" s="10" t="str">
        <f t="shared" si="173"/>
        <v/>
      </c>
      <c r="DL15" s="9" t="str">
        <f t="shared" si="174"/>
        <v/>
      </c>
      <c r="DM15" s="173" t="str">
        <f t="shared" si="175"/>
        <v/>
      </c>
      <c r="DN15" s="178" t="str">
        <f t="shared" si="176"/>
        <v/>
      </c>
      <c r="DO15" s="9" t="str">
        <f t="shared" si="177"/>
        <v/>
      </c>
      <c r="DP15" s="173" t="str">
        <f t="shared" si="178"/>
        <v/>
      </c>
      <c r="DQ15" s="11" t="str">
        <f t="shared" si="179"/>
        <v/>
      </c>
      <c r="DR15" s="173" t="str">
        <f t="shared" si="180"/>
        <v/>
      </c>
      <c r="DS15" s="5" t="str">
        <f t="shared" si="181"/>
        <v/>
      </c>
      <c r="DT15" s="5" t="str">
        <f t="shared" si="182"/>
        <v/>
      </c>
      <c r="DU15" s="5" t="str">
        <f t="shared" si="183"/>
        <v/>
      </c>
      <c r="DV15" s="5" t="str">
        <f t="shared" si="184"/>
        <v/>
      </c>
      <c r="DW15" s="5" t="str">
        <f t="shared" si="185"/>
        <v/>
      </c>
      <c r="DX15" s="167" t="str">
        <f t="shared" si="186"/>
        <v/>
      </c>
      <c r="DY15" s="9" t="str">
        <f t="shared" si="187"/>
        <v/>
      </c>
      <c r="DZ15" s="5" t="str">
        <f t="shared" si="188"/>
        <v/>
      </c>
      <c r="EA15" s="10" t="str">
        <f t="shared" si="189"/>
        <v/>
      </c>
      <c r="EB15" s="6" t="str">
        <f t="shared" si="190"/>
        <v/>
      </c>
      <c r="EC15" s="173" t="str">
        <f t="shared" si="191"/>
        <v/>
      </c>
      <c r="ED15" s="5" t="str">
        <f t="shared" si="192"/>
        <v/>
      </c>
      <c r="EE15" s="4" t="str">
        <f t="shared" si="193"/>
        <v/>
      </c>
      <c r="EF15" s="5" t="str">
        <f t="shared" si="194"/>
        <v/>
      </c>
      <c r="EG15" s="10" t="str">
        <f t="shared" si="195"/>
        <v/>
      </c>
      <c r="EH15" s="9" t="str">
        <f t="shared" si="196"/>
        <v/>
      </c>
      <c r="EI15" s="5" t="str">
        <f t="shared" si="197"/>
        <v/>
      </c>
      <c r="EJ15" s="6" t="str">
        <f t="shared" si="198"/>
        <v/>
      </c>
      <c r="EK15" s="236" t="str">
        <f t="shared" si="199"/>
        <v/>
      </c>
      <c r="EL15" s="238" t="str">
        <f t="shared" si="200"/>
        <v/>
      </c>
      <c r="EM15" s="4" t="str">
        <f t="shared" si="201"/>
        <v/>
      </c>
      <c r="EN15" s="5" t="str">
        <f t="shared" si="202"/>
        <v/>
      </c>
      <c r="EO15" s="10" t="str">
        <f t="shared" si="203"/>
        <v/>
      </c>
      <c r="EP15" s="9" t="str">
        <f t="shared" si="204"/>
        <v/>
      </c>
      <c r="EQ15" s="5" t="str">
        <f t="shared" si="205"/>
        <v/>
      </c>
      <c r="ER15" s="7" t="str">
        <f t="shared" si="206"/>
        <v/>
      </c>
      <c r="ES15" s="21" t="str">
        <f t="shared" si="131"/>
        <v/>
      </c>
      <c r="ET15" s="5" t="str">
        <f t="shared" si="43"/>
        <v/>
      </c>
      <c r="EU15" s="10" t="str">
        <f t="shared" si="44"/>
        <v/>
      </c>
      <c r="EV15" s="174" t="str">
        <f t="shared" si="250"/>
        <v/>
      </c>
      <c r="EW15" s="9" t="str">
        <f t="shared" si="132"/>
        <v/>
      </c>
      <c r="EX15" s="5" t="str">
        <f t="shared" si="45"/>
        <v/>
      </c>
      <c r="EY15" s="6" t="str">
        <f t="shared" si="207"/>
        <v/>
      </c>
      <c r="EZ15" s="51" t="str">
        <f t="shared" si="208"/>
        <v/>
      </c>
      <c r="FA15" s="266" t="str">
        <f t="shared" si="133"/>
        <v/>
      </c>
      <c r="FB15" s="267" t="str">
        <f t="shared" si="134"/>
        <v/>
      </c>
      <c r="FC15" s="269" t="str">
        <f t="shared" si="46"/>
        <v/>
      </c>
      <c r="FD15" s="4" t="str">
        <f t="shared" si="135"/>
        <v/>
      </c>
      <c r="FE15" s="5" t="str">
        <f t="shared" si="47"/>
        <v/>
      </c>
      <c r="FF15" s="7" t="str">
        <f t="shared" si="209"/>
        <v/>
      </c>
      <c r="FG15" s="173" t="str">
        <f t="shared" si="210"/>
        <v/>
      </c>
      <c r="FH15" s="5" t="str">
        <f t="shared" si="48"/>
        <v/>
      </c>
      <c r="FI15" s="10" t="str">
        <f t="shared" si="49"/>
        <v/>
      </c>
      <c r="FJ15" s="279" t="str">
        <f t="shared" si="211"/>
        <v/>
      </c>
      <c r="FK15" s="4" t="str">
        <f t="shared" si="50"/>
        <v/>
      </c>
      <c r="FL15" s="5" t="str">
        <f t="shared" si="212"/>
        <v/>
      </c>
      <c r="FM15" s="8" t="str">
        <f t="shared" si="213"/>
        <v/>
      </c>
      <c r="FN15" s="9" t="str">
        <f t="shared" si="214"/>
        <v/>
      </c>
      <c r="FO15" s="10" t="str">
        <f t="shared" si="51"/>
        <v/>
      </c>
      <c r="FP15" s="277" t="str">
        <f t="shared" si="52"/>
        <v/>
      </c>
      <c r="FQ15" s="173" t="str">
        <f>IF(ISNUMBER($AV15),SIN(RADIANS(FN15)),"")</f>
        <v/>
      </c>
      <c r="FR15" s="10" t="str">
        <f t="shared" si="215"/>
        <v/>
      </c>
      <c r="FS15" s="9" t="str">
        <f>IF(ISNUMBER($AV15),FQ15/(FQ15+FR15),"")</f>
        <v/>
      </c>
      <c r="FT15" s="6" t="str">
        <f t="shared" si="217"/>
        <v/>
      </c>
      <c r="FU15" s="4" t="str">
        <f t="shared" si="218"/>
        <v/>
      </c>
      <c r="FV15" s="5" t="str">
        <f t="shared" si="219"/>
        <v/>
      </c>
      <c r="FW15" s="8" t="str">
        <f t="shared" si="242"/>
        <v/>
      </c>
      <c r="FX15" s="9" t="str">
        <f t="shared" si="243"/>
        <v/>
      </c>
      <c r="FY15" s="10" t="str">
        <f t="shared" si="53"/>
        <v/>
      </c>
      <c r="FZ15" s="277" t="str">
        <f t="shared" si="244"/>
        <v/>
      </c>
      <c r="GA15" s="177" t="str">
        <f t="shared" si="220"/>
        <v/>
      </c>
      <c r="GB15" s="4" t="str">
        <f t="shared" si="221"/>
        <v/>
      </c>
      <c r="GC15" s="5" t="str">
        <f t="shared" si="222"/>
        <v/>
      </c>
      <c r="GD15" s="10" t="str">
        <f t="shared" si="223"/>
        <v/>
      </c>
      <c r="GE15" s="311" t="str">
        <f t="shared" si="224"/>
        <v/>
      </c>
      <c r="GF15" s="341" t="str">
        <f t="shared" si="245"/>
        <v/>
      </c>
      <c r="GG15" s="285" t="str">
        <f t="shared" si="54"/>
        <v/>
      </c>
      <c r="GH15" s="286" t="str">
        <f t="shared" si="55"/>
        <v/>
      </c>
      <c r="GI15" s="281" t="str">
        <f t="shared" si="56"/>
        <v/>
      </c>
      <c r="GJ15" s="167" t="str">
        <f t="shared" si="225"/>
        <v/>
      </c>
      <c r="GK15" s="174" t="str">
        <f t="shared" si="57"/>
        <v/>
      </c>
      <c r="GL15" s="174" t="str">
        <f t="shared" si="226"/>
        <v/>
      </c>
      <c r="GM15" s="177" t="str">
        <f t="shared" si="246"/>
        <v/>
      </c>
      <c r="GN15" s="280" t="str">
        <f t="shared" si="227"/>
        <v/>
      </c>
      <c r="GO15" s="4" t="str">
        <f t="shared" si="228"/>
        <v/>
      </c>
      <c r="GP15" s="8" t="str">
        <f t="shared" si="247"/>
        <v/>
      </c>
      <c r="GQ15" s="177" t="str">
        <f t="shared" si="229"/>
        <v/>
      </c>
      <c r="GR15" s="371" t="str">
        <f t="shared" si="248"/>
        <v/>
      </c>
      <c r="GS15" s="342" t="str">
        <f t="shared" si="59"/>
        <v/>
      </c>
      <c r="GT15" s="343" t="str">
        <f t="shared" si="60"/>
        <v/>
      </c>
      <c r="GU15" s="344" t="str">
        <f t="shared" si="61"/>
        <v/>
      </c>
      <c r="GV15" s="343" t="str">
        <f t="shared" si="251"/>
        <v/>
      </c>
      <c r="GW15" s="345" t="str">
        <f t="shared" si="62"/>
        <v/>
      </c>
      <c r="GX15" s="346" t="str">
        <f t="shared" si="63"/>
        <v/>
      </c>
      <c r="GY15" s="344" t="str">
        <f t="shared" si="64"/>
        <v/>
      </c>
      <c r="GZ15" s="345" t="str">
        <f t="shared" si="65"/>
        <v/>
      </c>
      <c r="HA15" s="342" t="str">
        <f t="shared" si="66"/>
        <v/>
      </c>
      <c r="HB15" s="5" t="str">
        <f t="shared" si="230"/>
        <v/>
      </c>
      <c r="HC15" s="343" t="str">
        <f t="shared" si="231"/>
        <v/>
      </c>
      <c r="HD15" s="345" t="str">
        <f t="shared" si="232"/>
        <v/>
      </c>
      <c r="HE15" s="344" t="str">
        <f t="shared" si="67"/>
        <v/>
      </c>
      <c r="HF15" s="5" t="str">
        <f t="shared" si="68"/>
        <v/>
      </c>
      <c r="HG15" s="343" t="str">
        <f t="shared" si="233"/>
        <v/>
      </c>
      <c r="HH15" s="349" t="str">
        <f t="shared" si="234"/>
        <v/>
      </c>
      <c r="HI15" s="317" t="str">
        <f t="shared" si="69"/>
        <v/>
      </c>
      <c r="HJ15" s="336"/>
      <c r="HK15" s="310" t="str">
        <f t="shared" si="136"/>
        <v/>
      </c>
      <c r="HL15" s="348" t="str">
        <f t="shared" si="70"/>
        <v/>
      </c>
      <c r="HM15" s="923" t="str">
        <f t="shared" si="71"/>
        <v/>
      </c>
      <c r="HN15" s="924" t="str">
        <f t="shared" si="72"/>
        <v/>
      </c>
      <c r="HO15" s="925"/>
      <c r="HP15" s="926"/>
      <c r="HQ15" s="924" t="str">
        <f t="shared" si="73"/>
        <v/>
      </c>
      <c r="HR15" s="927" t="str">
        <f t="shared" si="74"/>
        <v/>
      </c>
      <c r="HS15" s="879" t="str">
        <f t="shared" si="249"/>
        <v/>
      </c>
      <c r="HT15" s="889" t="str">
        <f t="shared" si="75"/>
        <v/>
      </c>
      <c r="HU15" s="890" t="str">
        <f t="shared" si="76"/>
        <v/>
      </c>
      <c r="HV15" s="886" t="str">
        <f t="shared" si="77"/>
        <v/>
      </c>
      <c r="HW15" s="880" t="str">
        <f t="shared" si="78"/>
        <v/>
      </c>
      <c r="HX15" s="881" t="str">
        <f t="shared" si="79"/>
        <v/>
      </c>
      <c r="HY15" s="880" t="str">
        <f t="shared" si="80"/>
        <v/>
      </c>
      <c r="HZ15" s="882" t="str">
        <f t="shared" si="81"/>
        <v/>
      </c>
      <c r="IA15" s="883" t="str">
        <f t="shared" si="82"/>
        <v/>
      </c>
      <c r="IB15" s="884" t="str">
        <f t="shared" si="83"/>
        <v/>
      </c>
      <c r="IC15" s="855" t="str">
        <f t="shared" si="84"/>
        <v/>
      </c>
      <c r="ID15" s="351" t="str">
        <f t="shared" si="85"/>
        <v/>
      </c>
      <c r="IE15" s="857" t="str">
        <f t="shared" si="86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5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7"/>
        <v>1313</v>
      </c>
      <c r="IM15" s="482" t="str">
        <f t="shared" si="236"/>
        <v/>
      </c>
      <c r="IN15" s="670" t="str">
        <f t="shared" si="89"/>
        <v/>
      </c>
      <c r="IO15" s="702"/>
      <c r="IP15" s="5" t="str">
        <f t="shared" si="90"/>
        <v/>
      </c>
      <c r="IQ15" s="714"/>
      <c r="IR15" s="9" t="str">
        <f t="shared" si="137"/>
        <v/>
      </c>
      <c r="IS15" s="5" t="str">
        <f t="shared" si="91"/>
        <v/>
      </c>
      <c r="IT15" s="5" t="str">
        <f t="shared" si="92"/>
        <v/>
      </c>
      <c r="IU15" s="5" t="str">
        <f t="shared" si="93"/>
        <v/>
      </c>
      <c r="IV15" s="670" t="str">
        <f t="shared" si="94"/>
        <v/>
      </c>
      <c r="IW15" s="9" t="str">
        <f t="shared" si="95"/>
        <v/>
      </c>
      <c r="IX15" s="5" t="str">
        <f t="shared" si="96"/>
        <v/>
      </c>
      <c r="IY15" s="5" t="str">
        <f t="shared" si="97"/>
        <v/>
      </c>
      <c r="IZ15" s="5" t="str">
        <f t="shared" si="98"/>
        <v/>
      </c>
      <c r="JA15" s="705" t="str">
        <f t="shared" si="99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33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1.7480577506690282</v>
      </c>
      <c r="C16" s="572">
        <f t="shared" si="3"/>
        <v>1.0429879417905057</v>
      </c>
      <c r="D16" s="576">
        <f t="shared" si="4"/>
        <v>-0.1598</v>
      </c>
      <c r="E16" s="580">
        <f t="shared" si="5"/>
        <v>-0.48296291314453421</v>
      </c>
      <c r="F16" s="572">
        <f t="shared" si="6"/>
        <v>0.83651630373780794</v>
      </c>
      <c r="G16" s="579">
        <f t="shared" si="7"/>
        <v>0.25881904510252079</v>
      </c>
      <c r="H16" s="580">
        <f t="shared" si="8"/>
        <v>0.3125</v>
      </c>
      <c r="I16" s="572">
        <f t="shared" si="9"/>
        <v>0.52</v>
      </c>
      <c r="J16" s="483">
        <f t="shared" si="10"/>
        <v>2.1080000000000001</v>
      </c>
      <c r="K16" s="806">
        <f t="shared" si="11"/>
        <v>1613</v>
      </c>
      <c r="L16" s="309"/>
      <c r="M16" s="164">
        <f t="shared" si="12"/>
        <v>2.1080000000000001</v>
      </c>
      <c r="N16" s="575">
        <f t="shared" si="13"/>
        <v>1.7480577506690282</v>
      </c>
      <c r="O16" s="572">
        <f t="shared" si="14"/>
        <v>1.0429879417905057</v>
      </c>
      <c r="P16" s="576">
        <f t="shared" si="15"/>
        <v>-0.1598</v>
      </c>
      <c r="Q16" s="528">
        <f>IF(M16="","",IF(DEGREES(ATAN2(N16,O16))&lt;0,DEGREES(ATAN2(N16,O16))+360,IF(DEGREES(ATAN2(N16,O16))&gt;360,DEGREES(ATAN2(N16,O16))-360,DEGREES(ATAN2(N16,O16)))))</f>
        <v>30.822639369112295</v>
      </c>
      <c r="R16" s="572">
        <f t="shared" si="100"/>
        <v>2.0355661979887705</v>
      </c>
      <c r="S16" s="577">
        <f t="shared" si="101"/>
        <v>-0.1598</v>
      </c>
      <c r="T16" s="578">
        <f t="shared" si="102"/>
        <v>1.0611834648636578</v>
      </c>
      <c r="U16" s="572">
        <f t="shared" si="103"/>
        <v>-1.7370720768852457</v>
      </c>
      <c r="V16" s="579">
        <f t="shared" si="139"/>
        <v>-0.1598</v>
      </c>
      <c r="W16" s="528">
        <f>IF(M16="","",IF(Q16-$Q$8&lt;0,360+Q16-$Q$8,Q16-$Q$8))</f>
        <v>301.42090529177671</v>
      </c>
      <c r="X16" s="572">
        <f t="shared" si="104"/>
        <v>2.0355661979887705</v>
      </c>
      <c r="Y16" s="573">
        <f t="shared" ref="Y16:Y75" si="253">IF(M16="","",S16)</f>
        <v>-0.1598</v>
      </c>
      <c r="Z16" s="575">
        <f t="shared" si="18"/>
        <v>0.48296291314453421</v>
      </c>
      <c r="AA16" s="572">
        <f t="shared" si="19"/>
        <v>-0.83651630373780794</v>
      </c>
      <c r="AB16" s="572">
        <f t="shared" si="20"/>
        <v>-0.25881904510252079</v>
      </c>
      <c r="AC16" s="579">
        <f t="shared" si="105"/>
        <v>1</v>
      </c>
      <c r="AD16" s="580">
        <f t="shared" si="140"/>
        <v>0.48296291314453421</v>
      </c>
      <c r="AE16" s="572">
        <f t="shared" si="106"/>
        <v>-0.83651630373780794</v>
      </c>
      <c r="AF16" s="576">
        <f t="shared" si="107"/>
        <v>-0.25881904510252079</v>
      </c>
      <c r="AG16" s="545">
        <f t="shared" si="108"/>
        <v>-72.807876265979019</v>
      </c>
      <c r="AH16" s="546">
        <f t="shared" si="109"/>
        <v>61.120905982572403</v>
      </c>
      <c r="AI16" s="528">
        <f t="shared" si="110"/>
        <v>-74.999999999999986</v>
      </c>
      <c r="AJ16" s="529">
        <f t="shared" si="111"/>
        <v>30.000000000000004</v>
      </c>
      <c r="AK16" s="578">
        <f t="shared" si="237"/>
        <v>0.96582626740124944</v>
      </c>
      <c r="AL16" s="572">
        <f t="shared" si="112"/>
        <v>-1.386806006583946E-2</v>
      </c>
      <c r="AM16" s="577">
        <f t="shared" si="113"/>
        <v>-0.25881904510252079</v>
      </c>
      <c r="AN16" s="524">
        <f t="shared" si="114"/>
        <v>-3.0670934370780145</v>
      </c>
      <c r="AO16" s="525">
        <f t="shared" si="115"/>
        <v>15.022023941711254</v>
      </c>
      <c r="AP16" s="528">
        <f t="shared" si="116"/>
        <v>-0.82263936911225277</v>
      </c>
      <c r="AQ16" s="529">
        <f t="shared" si="21"/>
        <v>1.1198045820181985</v>
      </c>
      <c r="AS16" s="946">
        <f t="shared" si="141"/>
        <v>-58.579094708223295</v>
      </c>
      <c r="AT16" s="942">
        <f t="shared" si="22"/>
        <v>-0.1148465571902216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2"/>
        <v/>
      </c>
      <c r="BA16" s="296" t="str">
        <f t="shared" si="24"/>
        <v/>
      </c>
      <c r="BB16" s="291" t="str">
        <f t="shared" si="143"/>
        <v/>
      </c>
      <c r="BC16" s="9"/>
      <c r="BD16" s="5" t="str">
        <f t="shared" si="144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5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6"/>
        <v/>
      </c>
      <c r="BP16" s="5" t="str">
        <f t="shared" si="147"/>
        <v/>
      </c>
      <c r="BQ16" s="5" t="str">
        <f t="shared" si="148"/>
        <v/>
      </c>
      <c r="BR16" s="6" t="str">
        <f t="shared" si="149"/>
        <v/>
      </c>
      <c r="BS16" s="4" t="str">
        <f t="shared" si="117"/>
        <v/>
      </c>
      <c r="BT16" s="5" t="str">
        <f t="shared" si="117"/>
        <v/>
      </c>
      <c r="BU16" s="10" t="str">
        <f t="shared" si="118"/>
        <v/>
      </c>
      <c r="BV16" s="9" t="str">
        <f t="shared" si="119"/>
        <v/>
      </c>
      <c r="BW16" s="5" t="str">
        <f t="shared" si="120"/>
        <v/>
      </c>
      <c r="BX16" s="8" t="str">
        <f t="shared" si="121"/>
        <v/>
      </c>
      <c r="BY16" s="173" t="str">
        <f t="shared" si="122"/>
        <v/>
      </c>
      <c r="BZ16" s="5" t="str">
        <f t="shared" si="123"/>
        <v/>
      </c>
      <c r="CA16" s="6" t="str">
        <f t="shared" si="124"/>
        <v/>
      </c>
      <c r="CB16" s="4" t="str">
        <f t="shared" si="150"/>
        <v/>
      </c>
      <c r="CC16" s="5" t="str">
        <f t="shared" si="151"/>
        <v/>
      </c>
      <c r="CD16" s="5" t="str">
        <f t="shared" si="152"/>
        <v/>
      </c>
      <c r="CE16" s="6" t="str">
        <f t="shared" si="153"/>
        <v/>
      </c>
      <c r="CF16" s="4" t="str">
        <f t="shared" si="154"/>
        <v/>
      </c>
      <c r="CG16" s="5" t="str">
        <f t="shared" si="155"/>
        <v/>
      </c>
      <c r="CH16" s="5" t="str">
        <f t="shared" si="156"/>
        <v/>
      </c>
      <c r="CI16" s="4" t="str">
        <f t="shared" si="125"/>
        <v/>
      </c>
      <c r="CJ16" s="5" t="str">
        <f t="shared" si="126"/>
        <v/>
      </c>
      <c r="CK16" s="8" t="str">
        <f t="shared" si="127"/>
        <v/>
      </c>
      <c r="CL16" s="173" t="str">
        <f t="shared" si="128"/>
        <v/>
      </c>
      <c r="CM16" s="5" t="str">
        <f t="shared" si="129"/>
        <v/>
      </c>
      <c r="CN16" s="6" t="str">
        <f t="shared" si="130"/>
        <v/>
      </c>
      <c r="CO16" s="167" t="str">
        <f t="shared" si="34"/>
        <v/>
      </c>
      <c r="CP16" s="4" t="str">
        <f t="shared" si="238"/>
        <v/>
      </c>
      <c r="CQ16" s="5" t="str">
        <f t="shared" si="239"/>
        <v/>
      </c>
      <c r="CR16" s="5" t="str">
        <f>IF(ISNUMBER($AV16),BF16^2+BG16^2+BH16^2+CI16^2+CJ16^2+CK16^2-2*(BF16*CI16+BG16*CJ16+BH16*CK16)-CO16^2,"")</f>
        <v/>
      </c>
      <c r="CS16" s="8" t="str">
        <f t="shared" si="158"/>
        <v/>
      </c>
      <c r="CT16" s="9" t="str">
        <f t="shared" si="159"/>
        <v/>
      </c>
      <c r="CU16" s="6" t="str">
        <f t="shared" si="160"/>
        <v/>
      </c>
      <c r="CV16" s="4" t="str">
        <f t="shared" si="240"/>
        <v/>
      </c>
      <c r="CW16" s="5" t="str">
        <f t="shared" si="161"/>
        <v/>
      </c>
      <c r="CX16" s="8" t="str">
        <f t="shared" si="162"/>
        <v/>
      </c>
      <c r="CY16" s="9" t="str">
        <f t="shared" si="163"/>
        <v/>
      </c>
      <c r="CZ16" s="5" t="str">
        <f t="shared" si="164"/>
        <v/>
      </c>
      <c r="DA16" s="6" t="str">
        <f t="shared" si="165"/>
        <v/>
      </c>
      <c r="DB16" s="4" t="str">
        <f t="shared" si="166"/>
        <v/>
      </c>
      <c r="DC16" s="5" t="str">
        <f t="shared" si="166"/>
        <v/>
      </c>
      <c r="DD16" s="10" t="str">
        <f>IF(ISNUMBER($AV16),-10,"")</f>
        <v/>
      </c>
      <c r="DE16" s="9" t="str">
        <f t="shared" si="168"/>
        <v/>
      </c>
      <c r="DF16" s="5" t="str">
        <f t="shared" si="168"/>
        <v/>
      </c>
      <c r="DG16" s="10" t="str">
        <f t="shared" si="169"/>
        <v/>
      </c>
      <c r="DH16" s="70" t="str">
        <f t="shared" si="170"/>
        <v/>
      </c>
      <c r="DI16" s="4" t="str">
        <f t="shared" si="171"/>
        <v/>
      </c>
      <c r="DJ16" s="5" t="str">
        <f t="shared" si="172"/>
        <v/>
      </c>
      <c r="DK16" s="10" t="str">
        <f t="shared" si="173"/>
        <v/>
      </c>
      <c r="DL16" s="9" t="str">
        <f t="shared" si="174"/>
        <v/>
      </c>
      <c r="DM16" s="173" t="str">
        <f t="shared" si="175"/>
        <v/>
      </c>
      <c r="DN16" s="178" t="str">
        <f t="shared" si="176"/>
        <v/>
      </c>
      <c r="DO16" s="9" t="str">
        <f t="shared" si="177"/>
        <v/>
      </c>
      <c r="DP16" s="173" t="str">
        <f t="shared" si="178"/>
        <v/>
      </c>
      <c r="DQ16" s="11" t="str">
        <f t="shared" si="179"/>
        <v/>
      </c>
      <c r="DR16" s="173" t="str">
        <f t="shared" si="180"/>
        <v/>
      </c>
      <c r="DS16" s="5" t="str">
        <f t="shared" si="181"/>
        <v/>
      </c>
      <c r="DT16" s="5" t="str">
        <f t="shared" si="182"/>
        <v/>
      </c>
      <c r="DU16" s="5" t="str">
        <f t="shared" si="183"/>
        <v/>
      </c>
      <c r="DV16" s="5" t="str">
        <f t="shared" si="184"/>
        <v/>
      </c>
      <c r="DW16" s="5" t="str">
        <f t="shared" si="185"/>
        <v/>
      </c>
      <c r="DX16" s="167" t="str">
        <f t="shared" si="186"/>
        <v/>
      </c>
      <c r="DY16" s="9" t="str">
        <f t="shared" si="187"/>
        <v/>
      </c>
      <c r="DZ16" s="5" t="str">
        <f t="shared" si="188"/>
        <v/>
      </c>
      <c r="EA16" s="10" t="str">
        <f t="shared" si="189"/>
        <v/>
      </c>
      <c r="EB16" s="6" t="str">
        <f t="shared" si="190"/>
        <v/>
      </c>
      <c r="EC16" s="173" t="str">
        <f t="shared" si="191"/>
        <v/>
      </c>
      <c r="ED16" s="5" t="str">
        <f t="shared" si="192"/>
        <v/>
      </c>
      <c r="EE16" s="4" t="str">
        <f t="shared" si="193"/>
        <v/>
      </c>
      <c r="EF16" s="5" t="str">
        <f t="shared" si="194"/>
        <v/>
      </c>
      <c r="EG16" s="10" t="str">
        <f t="shared" si="195"/>
        <v/>
      </c>
      <c r="EH16" s="9" t="str">
        <f t="shared" si="196"/>
        <v/>
      </c>
      <c r="EI16" s="5" t="str">
        <f t="shared" si="197"/>
        <v/>
      </c>
      <c r="EJ16" s="6" t="str">
        <f t="shared" si="198"/>
        <v/>
      </c>
      <c r="EK16" s="236" t="str">
        <f t="shared" si="199"/>
        <v/>
      </c>
      <c r="EL16" s="238" t="str">
        <f t="shared" si="200"/>
        <v/>
      </c>
      <c r="EM16" s="4" t="str">
        <f t="shared" si="201"/>
        <v/>
      </c>
      <c r="EN16" s="5" t="str">
        <f t="shared" si="202"/>
        <v/>
      </c>
      <c r="EO16" s="10" t="str">
        <f t="shared" si="203"/>
        <v/>
      </c>
      <c r="EP16" s="9" t="str">
        <f t="shared" si="204"/>
        <v/>
      </c>
      <c r="EQ16" s="5" t="str">
        <f t="shared" si="205"/>
        <v/>
      </c>
      <c r="ER16" s="7" t="str">
        <f t="shared" si="206"/>
        <v/>
      </c>
      <c r="ES16" s="21" t="str">
        <f t="shared" si="131"/>
        <v/>
      </c>
      <c r="ET16" s="5" t="str">
        <f t="shared" si="43"/>
        <v/>
      </c>
      <c r="EU16" s="10" t="str">
        <f t="shared" si="44"/>
        <v/>
      </c>
      <c r="EV16" s="174" t="str">
        <f t="shared" si="250"/>
        <v/>
      </c>
      <c r="EW16" s="9" t="str">
        <f t="shared" si="132"/>
        <v/>
      </c>
      <c r="EX16" s="5" t="str">
        <f t="shared" si="45"/>
        <v/>
      </c>
      <c r="EY16" s="6" t="str">
        <f t="shared" si="207"/>
        <v/>
      </c>
      <c r="EZ16" s="51" t="str">
        <f t="shared" si="208"/>
        <v/>
      </c>
      <c r="FA16" s="266" t="str">
        <f>IF(ISNUMBER($AV16),SIN(RADIANS($EP16))*COS(RADIANS($EZ16)),"")</f>
        <v/>
      </c>
      <c r="FB16" s="267" t="str">
        <f t="shared" si="134"/>
        <v/>
      </c>
      <c r="FC16" s="269" t="str">
        <f t="shared" si="46"/>
        <v/>
      </c>
      <c r="FD16" s="4" t="str">
        <f t="shared" si="135"/>
        <v/>
      </c>
      <c r="FE16" s="5" t="str">
        <f t="shared" si="47"/>
        <v/>
      </c>
      <c r="FF16" s="7" t="str">
        <f t="shared" si="209"/>
        <v/>
      </c>
      <c r="FG16" s="173" t="str">
        <f t="shared" si="210"/>
        <v/>
      </c>
      <c r="FH16" s="5" t="str">
        <f t="shared" si="48"/>
        <v/>
      </c>
      <c r="FI16" s="10" t="str">
        <f t="shared" si="49"/>
        <v/>
      </c>
      <c r="FJ16" s="279" t="str">
        <f t="shared" si="211"/>
        <v/>
      </c>
      <c r="FK16" s="4" t="str">
        <f t="shared" si="50"/>
        <v/>
      </c>
      <c r="FL16" s="5" t="str">
        <f t="shared" si="212"/>
        <v/>
      </c>
      <c r="FM16" s="8" t="str">
        <f t="shared" si="213"/>
        <v/>
      </c>
      <c r="FN16" s="9" t="str">
        <f t="shared" si="214"/>
        <v/>
      </c>
      <c r="FO16" s="10" t="str">
        <f t="shared" si="51"/>
        <v/>
      </c>
      <c r="FP16" s="277" t="str">
        <f t="shared" si="52"/>
        <v/>
      </c>
      <c r="FQ16" s="173" t="str">
        <f t="shared" si="241"/>
        <v/>
      </c>
      <c r="FR16" s="10" t="str">
        <f t="shared" si="215"/>
        <v/>
      </c>
      <c r="FS16" s="9" t="str">
        <f t="shared" si="216"/>
        <v/>
      </c>
      <c r="FT16" s="6" t="str">
        <f t="shared" si="217"/>
        <v/>
      </c>
      <c r="FU16" s="4" t="str">
        <f t="shared" si="218"/>
        <v/>
      </c>
      <c r="FV16" s="5" t="str">
        <f t="shared" si="219"/>
        <v/>
      </c>
      <c r="FW16" s="8" t="str">
        <f t="shared" si="242"/>
        <v/>
      </c>
      <c r="FX16" s="9" t="str">
        <f t="shared" si="243"/>
        <v/>
      </c>
      <c r="FY16" s="10" t="str">
        <f t="shared" si="53"/>
        <v/>
      </c>
      <c r="FZ16" s="277" t="str">
        <f t="shared" si="244"/>
        <v/>
      </c>
      <c r="GA16" s="177" t="str">
        <f t="shared" si="220"/>
        <v/>
      </c>
      <c r="GB16" s="4" t="str">
        <f t="shared" si="221"/>
        <v/>
      </c>
      <c r="GC16" s="5" t="str">
        <f t="shared" si="222"/>
        <v/>
      </c>
      <c r="GD16" s="10" t="str">
        <f t="shared" si="223"/>
        <v/>
      </c>
      <c r="GE16" s="311" t="str">
        <f t="shared" si="224"/>
        <v/>
      </c>
      <c r="GF16" s="341" t="str">
        <f t="shared" si="245"/>
        <v/>
      </c>
      <c r="GG16" s="285" t="str">
        <f t="shared" si="54"/>
        <v/>
      </c>
      <c r="GH16" s="286" t="str">
        <f t="shared" si="55"/>
        <v/>
      </c>
      <c r="GI16" s="281" t="str">
        <f t="shared" si="56"/>
        <v/>
      </c>
      <c r="GJ16" s="167" t="str">
        <f t="shared" si="225"/>
        <v/>
      </c>
      <c r="GK16" s="174" t="str">
        <f t="shared" si="57"/>
        <v/>
      </c>
      <c r="GL16" s="174" t="str">
        <f t="shared" si="226"/>
        <v/>
      </c>
      <c r="GM16" s="177" t="str">
        <f t="shared" si="246"/>
        <v/>
      </c>
      <c r="GN16" s="280" t="str">
        <f t="shared" si="227"/>
        <v/>
      </c>
      <c r="GO16" s="4" t="str">
        <f t="shared" si="228"/>
        <v/>
      </c>
      <c r="GP16" s="8" t="str">
        <f t="shared" si="247"/>
        <v/>
      </c>
      <c r="GQ16" s="177" t="str">
        <f t="shared" si="229"/>
        <v/>
      </c>
      <c r="GR16" s="371" t="str">
        <f t="shared" si="248"/>
        <v/>
      </c>
      <c r="GS16" s="342" t="str">
        <f t="shared" si="59"/>
        <v/>
      </c>
      <c r="GT16" s="343" t="str">
        <f t="shared" si="60"/>
        <v/>
      </c>
      <c r="GU16" s="344" t="str">
        <f t="shared" si="61"/>
        <v/>
      </c>
      <c r="GV16" s="343" t="str">
        <f t="shared" si="251"/>
        <v/>
      </c>
      <c r="GW16" s="345" t="str">
        <f t="shared" si="62"/>
        <v/>
      </c>
      <c r="GX16" s="346" t="str">
        <f t="shared" si="63"/>
        <v/>
      </c>
      <c r="GY16" s="344" t="str">
        <f t="shared" si="64"/>
        <v/>
      </c>
      <c r="GZ16" s="345" t="str">
        <f t="shared" si="65"/>
        <v/>
      </c>
      <c r="HA16" s="342" t="str">
        <f t="shared" si="66"/>
        <v/>
      </c>
      <c r="HB16" s="5" t="str">
        <f t="shared" si="230"/>
        <v/>
      </c>
      <c r="HC16" s="343" t="str">
        <f t="shared" si="231"/>
        <v/>
      </c>
      <c r="HD16" s="345" t="str">
        <f t="shared" si="232"/>
        <v/>
      </c>
      <c r="HE16" s="344" t="str">
        <f t="shared" si="67"/>
        <v/>
      </c>
      <c r="HF16" s="5" t="str">
        <f t="shared" si="68"/>
        <v/>
      </c>
      <c r="HG16" s="343" t="str">
        <f t="shared" si="233"/>
        <v/>
      </c>
      <c r="HH16" s="349" t="str">
        <f t="shared" si="234"/>
        <v/>
      </c>
      <c r="HI16" s="317" t="str">
        <f t="shared" si="69"/>
        <v/>
      </c>
      <c r="HJ16" s="336"/>
      <c r="HK16" s="310" t="str">
        <f t="shared" si="136"/>
        <v/>
      </c>
      <c r="HL16" s="348" t="str">
        <f t="shared" si="70"/>
        <v/>
      </c>
      <c r="HM16" s="923" t="str">
        <f t="shared" si="71"/>
        <v/>
      </c>
      <c r="HN16" s="924" t="str">
        <f t="shared" si="72"/>
        <v/>
      </c>
      <c r="HO16" s="925"/>
      <c r="HP16" s="926"/>
      <c r="HQ16" s="924" t="str">
        <f t="shared" si="73"/>
        <v/>
      </c>
      <c r="HR16" s="927" t="str">
        <f t="shared" si="74"/>
        <v/>
      </c>
      <c r="HS16" s="879" t="str">
        <f t="shared" si="249"/>
        <v/>
      </c>
      <c r="HT16" s="889" t="str">
        <f t="shared" si="75"/>
        <v/>
      </c>
      <c r="HU16" s="890" t="str">
        <f t="shared" si="76"/>
        <v/>
      </c>
      <c r="HV16" s="886" t="str">
        <f t="shared" si="77"/>
        <v/>
      </c>
      <c r="HW16" s="880" t="str">
        <f t="shared" si="78"/>
        <v/>
      </c>
      <c r="HX16" s="881" t="str">
        <f t="shared" si="79"/>
        <v/>
      </c>
      <c r="HY16" s="880" t="str">
        <f t="shared" si="80"/>
        <v/>
      </c>
      <c r="HZ16" s="882" t="str">
        <f t="shared" si="81"/>
        <v/>
      </c>
      <c r="IA16" s="883" t="str">
        <f t="shared" si="82"/>
        <v/>
      </c>
      <c r="IB16" s="884" t="str">
        <f t="shared" si="83"/>
        <v/>
      </c>
      <c r="IC16" s="855" t="str">
        <f t="shared" si="84"/>
        <v/>
      </c>
      <c r="ID16" s="351" t="str">
        <f t="shared" si="85"/>
        <v/>
      </c>
      <c r="IE16" s="857" t="str">
        <f t="shared" si="86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5"/>
        <v>2.1080000000000001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7"/>
        <v>1613</v>
      </c>
      <c r="IM16" s="482" t="str">
        <f t="shared" si="236"/>
        <v/>
      </c>
      <c r="IN16" s="670" t="str">
        <f t="shared" si="89"/>
        <v/>
      </c>
      <c r="IO16" s="702"/>
      <c r="IP16" s="5" t="str">
        <f t="shared" si="90"/>
        <v/>
      </c>
      <c r="IQ16" s="714"/>
      <c r="IR16" s="9" t="str">
        <f t="shared" si="137"/>
        <v/>
      </c>
      <c r="IS16" s="5" t="str">
        <f t="shared" si="91"/>
        <v/>
      </c>
      <c r="IT16" s="5" t="str">
        <f t="shared" si="92"/>
        <v/>
      </c>
      <c r="IU16" s="5" t="str">
        <f t="shared" si="93"/>
        <v/>
      </c>
      <c r="IV16" s="670" t="str">
        <f t="shared" si="94"/>
        <v/>
      </c>
      <c r="IW16" s="9" t="str">
        <f t="shared" si="95"/>
        <v/>
      </c>
      <c r="IX16" s="5" t="str">
        <f t="shared" si="96"/>
        <v/>
      </c>
      <c r="IY16" s="5" t="str">
        <f t="shared" si="97"/>
        <v/>
      </c>
      <c r="IZ16" s="5" t="str">
        <f t="shared" si="98"/>
        <v/>
      </c>
      <c r="JA16" s="705" t="str">
        <f t="shared" si="99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2.4276786582350982</v>
      </c>
      <c r="C17" s="572">
        <f t="shared" si="3"/>
        <v>1.4016500000000003</v>
      </c>
      <c r="D17" s="576">
        <f t="shared" si="4"/>
        <v>-0.24199999999999991</v>
      </c>
      <c r="E17" s="580">
        <f t="shared" si="5"/>
        <v>-0.34803108954422579</v>
      </c>
      <c r="F17" s="572">
        <f t="shared" si="6"/>
        <v>0.90986409006368996</v>
      </c>
      <c r="G17" s="579">
        <f t="shared" si="7"/>
        <v>0.22587983159908895</v>
      </c>
      <c r="H17" s="580">
        <f t="shared" si="8"/>
        <v>0.3125</v>
      </c>
      <c r="I17" s="572">
        <f t="shared" si="9"/>
        <v>0.52</v>
      </c>
      <c r="J17" s="483">
        <f t="shared" si="10"/>
        <v>2.1110000000000002</v>
      </c>
      <c r="K17" s="806">
        <f t="shared" si="11"/>
        <v>1613</v>
      </c>
      <c r="M17" s="164">
        <f t="shared" si="12"/>
        <v>2.1110000000000002</v>
      </c>
      <c r="N17" s="575">
        <f t="shared" si="13"/>
        <v>2.4276786582350982</v>
      </c>
      <c r="O17" s="572">
        <f t="shared" si="14"/>
        <v>1.4016500000000003</v>
      </c>
      <c r="P17" s="576">
        <f t="shared" si="15"/>
        <v>-0.24199999999999991</v>
      </c>
      <c r="Q17" s="528">
        <f>IF(M17="","",IF(DEGREES(ATAN2(N17,O17))&lt;0,DEGREES(ATAN2(N17,O17))+360,IF(DEGREES(ATAN2(N17,O17))&gt;360,DEGREES(ATAN2(N17,O17))-360,DEGREES(ATAN2(N17,O17)))))</f>
        <v>30.000514615321695</v>
      </c>
      <c r="R17" s="572">
        <f>IF(M17="","",SQRT(N17^2+O17^2))</f>
        <v>2.8032563903699868</v>
      </c>
      <c r="S17" s="577">
        <f>IF(M17="","",P17)</f>
        <v>-0.24199999999999991</v>
      </c>
      <c r="T17" s="578">
        <f>IF(M17="","",X17*COS(RADIANS(W17)))</f>
        <v>1.4269222464910003</v>
      </c>
      <c r="U17" s="572">
        <f>IF(M17="","",X17*SIN(RADIANS(W17)))</f>
        <v>-2.4129109582865347</v>
      </c>
      <c r="V17" s="579">
        <f>IF(M17="","",Y17)</f>
        <v>-0.24199999999999991</v>
      </c>
      <c r="W17" s="528">
        <f t="shared" si="252"/>
        <v>300.59878053798616</v>
      </c>
      <c r="X17" s="572">
        <f>IF(M17="","",R17)</f>
        <v>2.8032563903699868</v>
      </c>
      <c r="Y17" s="573">
        <f t="shared" si="253"/>
        <v>-0.24199999999999991</v>
      </c>
      <c r="Z17" s="575">
        <f t="shared" si="18"/>
        <v>0.34803108954422579</v>
      </c>
      <c r="AA17" s="572">
        <f t="shared" si="19"/>
        <v>-0.90986409006368996</v>
      </c>
      <c r="AB17" s="572">
        <f t="shared" si="20"/>
        <v>-0.22587983159908895</v>
      </c>
      <c r="AC17" s="579">
        <f>IF(M17="","",SQRT(Z17^2+AA17^2+AB17^2))</f>
        <v>1</v>
      </c>
      <c r="AD17" s="580">
        <f>IF(M17="","",Z17*(1/SQRT(Z17^2+AA17^2+AB17^2)))</f>
        <v>0.34803108954422579</v>
      </c>
      <c r="AE17" s="572">
        <f>IF(M17="","",AA17*(1/SQRT(Z17^2+AA17^2+AB17^2)))</f>
        <v>-0.90986409006368996</v>
      </c>
      <c r="AF17" s="576">
        <f>IF(M17="","",AB17*(1/SQRT(Z17^2+AA17^2+AB17^2)))</f>
        <v>-0.22587983159908895</v>
      </c>
      <c r="AG17" s="545">
        <f>IF(M17="","",DEGREES(ATAN2(-AF17,AE17)))</f>
        <v>-76.05780471717587</v>
      </c>
      <c r="AH17" s="546">
        <f>IF(M17="","",DEGREES(ACOS(AD17)))</f>
        <v>69.633065047611538</v>
      </c>
      <c r="AI17" s="528">
        <f>IF(M17="","",DEGREES(-ACOS(-AF17)))</f>
        <v>-76.945379190618993</v>
      </c>
      <c r="AJ17" s="529">
        <f>IF(M17="","",DEGREES(ATAN2(-AE17,AD17)))</f>
        <v>20.932296141154609</v>
      </c>
      <c r="AK17" s="578">
        <f>IF(M17="","",(COS(RADIANS((90-$Q$8)-W17))*AD17)+(-SIN(RADIANS((90-$Q$8)-W17))*AE17))</f>
        <v>0.96197958176985077</v>
      </c>
      <c r="AL17" s="572">
        <f>IF(M17="","",(SIN(RADIANS((90-$Q$8)-W17))*AD17)+(COS(RADIANS((90-$Q$8)-W17))*AE17))</f>
        <v>-0.15353692042850936</v>
      </c>
      <c r="AM17" s="577">
        <f>IF(M17="","",AF17)</f>
        <v>-0.22587983159908895</v>
      </c>
      <c r="AN17" s="524">
        <f>IF(M17="","",DEGREES(ATAN2(-AM17,AL17)))</f>
        <v>-34.205056903293304</v>
      </c>
      <c r="AO17" s="525">
        <f t="shared" si="115"/>
        <v>15.850091478411221</v>
      </c>
      <c r="AP17" s="528">
        <f>IF(M17="","",DEGREES(ATAN2(AK17,AL17)))</f>
        <v>-9.0682184741671055</v>
      </c>
      <c r="AQ17" s="529">
        <f t="shared" si="21"/>
        <v>0.81318767879964404</v>
      </c>
      <c r="AS17" s="946">
        <f t="shared" si="141"/>
        <v>-59.401219462013842</v>
      </c>
      <c r="AT17" s="942">
        <f t="shared" si="22"/>
        <v>-0.19647563722231143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2"/>
        <v/>
      </c>
      <c r="BA17" s="296" t="str">
        <f t="shared" si="24"/>
        <v/>
      </c>
      <c r="BB17" s="190" t="str">
        <f t="shared" si="143"/>
        <v/>
      </c>
      <c r="BC17" s="9"/>
      <c r="BD17" s="5" t="str">
        <f t="shared" si="144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5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6"/>
        <v/>
      </c>
      <c r="BP17" s="5" t="str">
        <f t="shared" si="147"/>
        <v/>
      </c>
      <c r="BQ17" s="5" t="str">
        <f t="shared" si="148"/>
        <v/>
      </c>
      <c r="BR17" s="6" t="str">
        <f t="shared" si="149"/>
        <v/>
      </c>
      <c r="BS17" s="4" t="str">
        <f t="shared" si="117"/>
        <v/>
      </c>
      <c r="BT17" s="5" t="str">
        <f t="shared" si="117"/>
        <v/>
      </c>
      <c r="BU17" s="10" t="str">
        <f t="shared" si="118"/>
        <v/>
      </c>
      <c r="BV17" s="9" t="str">
        <f t="shared" si="119"/>
        <v/>
      </c>
      <c r="BW17" s="5" t="str">
        <f t="shared" si="120"/>
        <v/>
      </c>
      <c r="BX17" s="8" t="str">
        <f t="shared" si="121"/>
        <v/>
      </c>
      <c r="BY17" s="173" t="str">
        <f t="shared" si="122"/>
        <v/>
      </c>
      <c r="BZ17" s="5" t="str">
        <f t="shared" si="123"/>
        <v/>
      </c>
      <c r="CA17" s="6" t="str">
        <f t="shared" si="124"/>
        <v/>
      </c>
      <c r="CB17" s="4" t="str">
        <f t="shared" si="150"/>
        <v/>
      </c>
      <c r="CC17" s="5" t="str">
        <f t="shared" si="151"/>
        <v/>
      </c>
      <c r="CD17" s="5" t="str">
        <f t="shared" si="152"/>
        <v/>
      </c>
      <c r="CE17" s="6" t="str">
        <f t="shared" si="153"/>
        <v/>
      </c>
      <c r="CF17" s="4" t="str">
        <f t="shared" si="154"/>
        <v/>
      </c>
      <c r="CG17" s="5" t="str">
        <f t="shared" si="155"/>
        <v/>
      </c>
      <c r="CH17" s="5" t="str">
        <f t="shared" si="156"/>
        <v/>
      </c>
      <c r="CI17" s="4" t="str">
        <f t="shared" si="125"/>
        <v/>
      </c>
      <c r="CJ17" s="5" t="str">
        <f t="shared" si="126"/>
        <v/>
      </c>
      <c r="CK17" s="8" t="str">
        <f t="shared" si="127"/>
        <v/>
      </c>
      <c r="CL17" s="173" t="str">
        <f t="shared" si="128"/>
        <v/>
      </c>
      <c r="CM17" s="5" t="str">
        <f t="shared" si="129"/>
        <v/>
      </c>
      <c r="CN17" s="6" t="str">
        <f t="shared" si="130"/>
        <v/>
      </c>
      <c r="CO17" s="167" t="str">
        <f t="shared" si="34"/>
        <v/>
      </c>
      <c r="CP17" s="4" t="str">
        <f t="shared" si="238"/>
        <v/>
      </c>
      <c r="CQ17" s="5" t="str">
        <f t="shared" si="239"/>
        <v/>
      </c>
      <c r="CR17" s="5" t="str">
        <f t="shared" si="157"/>
        <v/>
      </c>
      <c r="CS17" s="8" t="str">
        <f t="shared" si="158"/>
        <v/>
      </c>
      <c r="CT17" s="9" t="str">
        <f t="shared" si="159"/>
        <v/>
      </c>
      <c r="CU17" s="6" t="str">
        <f t="shared" si="160"/>
        <v/>
      </c>
      <c r="CV17" s="4" t="str">
        <f t="shared" si="240"/>
        <v/>
      </c>
      <c r="CW17" s="5" t="str">
        <f t="shared" si="161"/>
        <v/>
      </c>
      <c r="CX17" s="8" t="str">
        <f t="shared" si="162"/>
        <v/>
      </c>
      <c r="CY17" s="9" t="str">
        <f t="shared" si="163"/>
        <v/>
      </c>
      <c r="CZ17" s="5" t="str">
        <f t="shared" si="164"/>
        <v/>
      </c>
      <c r="DA17" s="6" t="str">
        <f t="shared" si="165"/>
        <v/>
      </c>
      <c r="DB17" s="4" t="str">
        <f t="shared" si="166"/>
        <v/>
      </c>
      <c r="DC17" s="5" t="str">
        <f t="shared" si="166"/>
        <v/>
      </c>
      <c r="DD17" s="10" t="str">
        <f t="shared" si="167"/>
        <v/>
      </c>
      <c r="DE17" s="9" t="str">
        <f t="shared" si="168"/>
        <v/>
      </c>
      <c r="DF17" s="5" t="str">
        <f t="shared" si="168"/>
        <v/>
      </c>
      <c r="DG17" s="10" t="str">
        <f t="shared" si="169"/>
        <v/>
      </c>
      <c r="DH17" s="70" t="str">
        <f t="shared" si="170"/>
        <v/>
      </c>
      <c r="DI17" s="4" t="str">
        <f t="shared" si="171"/>
        <v/>
      </c>
      <c r="DJ17" s="5" t="str">
        <f t="shared" si="172"/>
        <v/>
      </c>
      <c r="DK17" s="10" t="str">
        <f t="shared" si="173"/>
        <v/>
      </c>
      <c r="DL17" s="9" t="str">
        <f t="shared" si="174"/>
        <v/>
      </c>
      <c r="DM17" s="173" t="str">
        <f t="shared" si="175"/>
        <v/>
      </c>
      <c r="DN17" s="178" t="str">
        <f t="shared" si="176"/>
        <v/>
      </c>
      <c r="DO17" s="9" t="str">
        <f t="shared" si="177"/>
        <v/>
      </c>
      <c r="DP17" s="173" t="str">
        <f t="shared" si="178"/>
        <v/>
      </c>
      <c r="DQ17" s="11" t="str">
        <f t="shared" si="179"/>
        <v/>
      </c>
      <c r="DR17" s="173" t="str">
        <f t="shared" si="180"/>
        <v/>
      </c>
      <c r="DS17" s="5" t="str">
        <f t="shared" si="181"/>
        <v/>
      </c>
      <c r="DT17" s="5" t="str">
        <f t="shared" si="182"/>
        <v/>
      </c>
      <c r="DU17" s="5" t="str">
        <f t="shared" si="183"/>
        <v/>
      </c>
      <c r="DV17" s="5" t="str">
        <f t="shared" si="184"/>
        <v/>
      </c>
      <c r="DW17" s="5" t="str">
        <f t="shared" si="185"/>
        <v/>
      </c>
      <c r="DX17" s="167" t="str">
        <f t="shared" si="186"/>
        <v/>
      </c>
      <c r="DY17" s="9" t="str">
        <f t="shared" si="187"/>
        <v/>
      </c>
      <c r="DZ17" s="5" t="str">
        <f t="shared" si="188"/>
        <v/>
      </c>
      <c r="EA17" s="10" t="str">
        <f t="shared" si="189"/>
        <v/>
      </c>
      <c r="EB17" s="6" t="str">
        <f t="shared" si="190"/>
        <v/>
      </c>
      <c r="EC17" s="173" t="str">
        <f t="shared" si="191"/>
        <v/>
      </c>
      <c r="ED17" s="5" t="str">
        <f t="shared" si="192"/>
        <v/>
      </c>
      <c r="EE17" s="4" t="str">
        <f t="shared" si="193"/>
        <v/>
      </c>
      <c r="EF17" s="5" t="str">
        <f t="shared" si="194"/>
        <v/>
      </c>
      <c r="EG17" s="10" t="str">
        <f t="shared" si="195"/>
        <v/>
      </c>
      <c r="EH17" s="9" t="str">
        <f t="shared" si="196"/>
        <v/>
      </c>
      <c r="EI17" s="5" t="str">
        <f t="shared" si="197"/>
        <v/>
      </c>
      <c r="EJ17" s="6" t="str">
        <f t="shared" si="198"/>
        <v/>
      </c>
      <c r="EK17" s="236" t="str">
        <f t="shared" si="199"/>
        <v/>
      </c>
      <c r="EL17" s="238" t="str">
        <f t="shared" si="200"/>
        <v/>
      </c>
      <c r="EM17" s="4" t="str">
        <f t="shared" si="201"/>
        <v/>
      </c>
      <c r="EN17" s="5" t="str">
        <f t="shared" si="202"/>
        <v/>
      </c>
      <c r="EO17" s="10" t="str">
        <f t="shared" si="203"/>
        <v/>
      </c>
      <c r="EP17" s="9" t="str">
        <f t="shared" si="204"/>
        <v/>
      </c>
      <c r="EQ17" s="5" t="str">
        <f t="shared" si="205"/>
        <v/>
      </c>
      <c r="ER17" s="7" t="str">
        <f t="shared" si="206"/>
        <v/>
      </c>
      <c r="ES17" s="21" t="str">
        <f t="shared" si="131"/>
        <v/>
      </c>
      <c r="ET17" s="5" t="str">
        <f t="shared" si="43"/>
        <v/>
      </c>
      <c r="EU17" s="10" t="str">
        <f t="shared" si="44"/>
        <v/>
      </c>
      <c r="EV17" s="174" t="str">
        <f t="shared" si="250"/>
        <v/>
      </c>
      <c r="EW17" s="9" t="str">
        <f t="shared" si="132"/>
        <v/>
      </c>
      <c r="EX17" s="5" t="str">
        <f t="shared" si="45"/>
        <v/>
      </c>
      <c r="EY17" s="6" t="str">
        <f t="shared" si="207"/>
        <v/>
      </c>
      <c r="EZ17" s="51" t="str">
        <f t="shared" si="208"/>
        <v/>
      </c>
      <c r="FA17" s="266" t="str">
        <f t="shared" si="133"/>
        <v/>
      </c>
      <c r="FB17" s="267" t="str">
        <f t="shared" si="134"/>
        <v/>
      </c>
      <c r="FC17" s="269" t="str">
        <f t="shared" si="46"/>
        <v/>
      </c>
      <c r="FD17" s="4" t="str">
        <f t="shared" si="135"/>
        <v/>
      </c>
      <c r="FE17" s="5" t="str">
        <f t="shared" si="47"/>
        <v/>
      </c>
      <c r="FF17" s="7" t="str">
        <f t="shared" si="209"/>
        <v/>
      </c>
      <c r="FG17" s="173" t="str">
        <f t="shared" si="210"/>
        <v/>
      </c>
      <c r="FH17" s="5" t="str">
        <f t="shared" si="48"/>
        <v/>
      </c>
      <c r="FI17" s="10" t="str">
        <f t="shared" si="49"/>
        <v/>
      </c>
      <c r="FJ17" s="279" t="str">
        <f t="shared" si="211"/>
        <v/>
      </c>
      <c r="FK17" s="4" t="str">
        <f t="shared" si="50"/>
        <v/>
      </c>
      <c r="FL17" s="5" t="str">
        <f t="shared" si="212"/>
        <v/>
      </c>
      <c r="FM17" s="8" t="str">
        <f t="shared" si="213"/>
        <v/>
      </c>
      <c r="FN17" s="9" t="str">
        <f t="shared" si="214"/>
        <v/>
      </c>
      <c r="FO17" s="10" t="str">
        <f t="shared" si="51"/>
        <v/>
      </c>
      <c r="FP17" s="277" t="str">
        <f t="shared" si="52"/>
        <v/>
      </c>
      <c r="FQ17" s="173" t="str">
        <f t="shared" si="241"/>
        <v/>
      </c>
      <c r="FR17" s="10" t="str">
        <f t="shared" si="215"/>
        <v/>
      </c>
      <c r="FS17" s="9" t="str">
        <f t="shared" si="216"/>
        <v/>
      </c>
      <c r="FT17" s="6" t="str">
        <f t="shared" si="217"/>
        <v/>
      </c>
      <c r="FU17" s="4" t="str">
        <f t="shared" si="218"/>
        <v/>
      </c>
      <c r="FV17" s="5" t="str">
        <f t="shared" si="219"/>
        <v/>
      </c>
      <c r="FW17" s="8" t="str">
        <f t="shared" si="242"/>
        <v/>
      </c>
      <c r="FX17" s="9" t="str">
        <f t="shared" si="243"/>
        <v/>
      </c>
      <c r="FY17" s="10" t="str">
        <f t="shared" si="53"/>
        <v/>
      </c>
      <c r="FZ17" s="277" t="str">
        <f t="shared" si="244"/>
        <v/>
      </c>
      <c r="GA17" s="177" t="str">
        <f t="shared" si="220"/>
        <v/>
      </c>
      <c r="GB17" s="4" t="str">
        <f t="shared" si="221"/>
        <v/>
      </c>
      <c r="GC17" s="5" t="str">
        <f t="shared" si="222"/>
        <v/>
      </c>
      <c r="GD17" s="10" t="str">
        <f t="shared" si="223"/>
        <v/>
      </c>
      <c r="GE17" s="311" t="str">
        <f t="shared" si="224"/>
        <v/>
      </c>
      <c r="GF17" s="341" t="str">
        <f t="shared" si="245"/>
        <v/>
      </c>
      <c r="GG17" s="285" t="str">
        <f t="shared" si="54"/>
        <v/>
      </c>
      <c r="GH17" s="286" t="str">
        <f t="shared" si="55"/>
        <v/>
      </c>
      <c r="GI17" s="281" t="str">
        <f t="shared" si="56"/>
        <v/>
      </c>
      <c r="GJ17" s="167" t="str">
        <f t="shared" si="225"/>
        <v/>
      </c>
      <c r="GK17" s="174" t="str">
        <f t="shared" si="57"/>
        <v/>
      </c>
      <c r="GL17" s="174" t="str">
        <f t="shared" si="226"/>
        <v/>
      </c>
      <c r="GM17" s="177" t="str">
        <f t="shared" si="246"/>
        <v/>
      </c>
      <c r="GN17" s="280" t="str">
        <f t="shared" si="227"/>
        <v/>
      </c>
      <c r="GO17" s="4" t="str">
        <f t="shared" si="228"/>
        <v/>
      </c>
      <c r="GP17" s="8" t="str">
        <f t="shared" si="247"/>
        <v/>
      </c>
      <c r="GQ17" s="177" t="str">
        <f t="shared" si="229"/>
        <v/>
      </c>
      <c r="GR17" s="371" t="str">
        <f t="shared" si="248"/>
        <v/>
      </c>
      <c r="GS17" s="342" t="str">
        <f t="shared" si="59"/>
        <v/>
      </c>
      <c r="GT17" s="343" t="str">
        <f t="shared" si="60"/>
        <v/>
      </c>
      <c r="GU17" s="344" t="str">
        <f t="shared" si="61"/>
        <v/>
      </c>
      <c r="GV17" s="343" t="str">
        <f t="shared" si="251"/>
        <v/>
      </c>
      <c r="GW17" s="345" t="str">
        <f t="shared" si="62"/>
        <v/>
      </c>
      <c r="GX17" s="346" t="str">
        <f t="shared" si="63"/>
        <v/>
      </c>
      <c r="GY17" s="344" t="str">
        <f t="shared" si="64"/>
        <v/>
      </c>
      <c r="GZ17" s="345" t="str">
        <f t="shared" si="65"/>
        <v/>
      </c>
      <c r="HA17" s="342" t="str">
        <f t="shared" si="66"/>
        <v/>
      </c>
      <c r="HB17" s="5" t="str">
        <f t="shared" si="230"/>
        <v/>
      </c>
      <c r="HC17" s="343" t="str">
        <f t="shared" si="231"/>
        <v/>
      </c>
      <c r="HD17" s="345" t="str">
        <f t="shared" si="232"/>
        <v/>
      </c>
      <c r="HE17" s="344" t="str">
        <f t="shared" si="67"/>
        <v/>
      </c>
      <c r="HF17" s="5" t="str">
        <f t="shared" si="68"/>
        <v/>
      </c>
      <c r="HG17" s="343" t="str">
        <f t="shared" si="233"/>
        <v/>
      </c>
      <c r="HH17" s="349" t="str">
        <f t="shared" si="234"/>
        <v/>
      </c>
      <c r="HI17" s="317" t="str">
        <f t="shared" si="69"/>
        <v/>
      </c>
      <c r="HJ17" s="336"/>
      <c r="HK17" s="310" t="str">
        <f t="shared" si="136"/>
        <v/>
      </c>
      <c r="HL17" s="348" t="str">
        <f t="shared" si="70"/>
        <v/>
      </c>
      <c r="HM17" s="923" t="str">
        <f t="shared" si="71"/>
        <v/>
      </c>
      <c r="HN17" s="924" t="str">
        <f t="shared" si="72"/>
        <v/>
      </c>
      <c r="HO17" s="925"/>
      <c r="HP17" s="926"/>
      <c r="HQ17" s="924" t="str">
        <f t="shared" si="73"/>
        <v/>
      </c>
      <c r="HR17" s="927" t="str">
        <f t="shared" si="74"/>
        <v/>
      </c>
      <c r="HS17" s="879" t="str">
        <f t="shared" si="249"/>
        <v/>
      </c>
      <c r="HT17" s="889" t="str">
        <f t="shared" si="75"/>
        <v/>
      </c>
      <c r="HU17" s="890" t="str">
        <f t="shared" si="76"/>
        <v/>
      </c>
      <c r="HV17" s="886" t="str">
        <f t="shared" si="77"/>
        <v/>
      </c>
      <c r="HW17" s="880" t="str">
        <f t="shared" si="78"/>
        <v/>
      </c>
      <c r="HX17" s="881" t="str">
        <f t="shared" si="79"/>
        <v/>
      </c>
      <c r="HY17" s="880" t="str">
        <f t="shared" si="80"/>
        <v/>
      </c>
      <c r="HZ17" s="882" t="str">
        <f t="shared" si="81"/>
        <v/>
      </c>
      <c r="IA17" s="883" t="str">
        <f t="shared" si="82"/>
        <v/>
      </c>
      <c r="IB17" s="884" t="str">
        <f t="shared" si="83"/>
        <v/>
      </c>
      <c r="IC17" s="855" t="str">
        <f t="shared" si="84"/>
        <v/>
      </c>
      <c r="ID17" s="351" t="str">
        <f t="shared" si="85"/>
        <v/>
      </c>
      <c r="IE17" s="857" t="str">
        <f t="shared" si="86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5"/>
        <v>2.1110000000000002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7"/>
        <v>1613</v>
      </c>
      <c r="IM17" s="482" t="str">
        <f t="shared" si="236"/>
        <v/>
      </c>
      <c r="IN17" s="670" t="str">
        <f t="shared" si="89"/>
        <v/>
      </c>
      <c r="IO17" s="702"/>
      <c r="IP17" s="5" t="str">
        <f t="shared" si="90"/>
        <v/>
      </c>
      <c r="IQ17" s="714"/>
      <c r="IR17" s="9" t="str">
        <f t="shared" si="137"/>
        <v/>
      </c>
      <c r="IS17" s="5" t="str">
        <f t="shared" si="91"/>
        <v/>
      </c>
      <c r="IT17" s="5" t="str">
        <f t="shared" si="92"/>
        <v/>
      </c>
      <c r="IU17" s="5" t="str">
        <f t="shared" si="93"/>
        <v/>
      </c>
      <c r="IV17" s="670" t="str">
        <f t="shared" si="94"/>
        <v/>
      </c>
      <c r="IW17" s="9" t="str">
        <f t="shared" si="95"/>
        <v/>
      </c>
      <c r="IX17" s="5" t="str">
        <f t="shared" si="96"/>
        <v/>
      </c>
      <c r="IY17" s="5" t="str">
        <f t="shared" si="97"/>
        <v/>
      </c>
      <c r="IZ17" s="5" t="str">
        <f t="shared" si="98"/>
        <v/>
      </c>
      <c r="JA17" s="705" t="str">
        <f t="shared" si="99"/>
        <v/>
      </c>
    </row>
    <row r="18" spans="1:271" ht="15" customHeight="1" x14ac:dyDescent="0.25">
      <c r="A18" s="75">
        <f t="shared" si="1"/>
        <v>0</v>
      </c>
      <c r="B18" s="578">
        <f t="shared" si="2"/>
        <v>2.9705984522385704</v>
      </c>
      <c r="C18" s="572">
        <f t="shared" si="3"/>
        <v>1.6574853323511569</v>
      </c>
      <c r="D18" s="576">
        <f t="shared" si="4"/>
        <v>-0.73150000000000037</v>
      </c>
      <c r="E18" s="580">
        <f t="shared" si="5"/>
        <v>-0.25265165150270386</v>
      </c>
      <c r="F18" s="572">
        <f t="shared" si="6"/>
        <v>0.95958552811591191</v>
      </c>
      <c r="G18" s="579">
        <f t="shared" si="7"/>
        <v>0.12394659020506718</v>
      </c>
      <c r="H18" s="580">
        <f t="shared" si="8"/>
        <v>0.3125</v>
      </c>
      <c r="I18" s="572">
        <f t="shared" si="9"/>
        <v>0.52</v>
      </c>
      <c r="J18" s="483">
        <f t="shared" si="10"/>
        <v>2.1139999999999999</v>
      </c>
      <c r="K18" s="806">
        <f t="shared" si="11"/>
        <v>1613</v>
      </c>
      <c r="L18" s="720" t="s">
        <v>322</v>
      </c>
      <c r="M18" s="164">
        <f t="shared" si="12"/>
        <v>2.1139999999999999</v>
      </c>
      <c r="N18" s="575">
        <f t="shared" si="13"/>
        <v>2.9705984522385704</v>
      </c>
      <c r="O18" s="572">
        <f t="shared" si="14"/>
        <v>1.6574853323511569</v>
      </c>
      <c r="P18" s="576">
        <f t="shared" si="15"/>
        <v>-0.73150000000000037</v>
      </c>
      <c r="Q18" s="528">
        <f t="shared" si="138"/>
        <v>29.159919840118981</v>
      </c>
      <c r="R18" s="572">
        <f>IF(M18="","",SQRT(N18^2+O18^2))</f>
        <v>3.4017220332357279</v>
      </c>
      <c r="S18" s="577">
        <f>IF(M18="","",P18)</f>
        <v>-0.73150000000000037</v>
      </c>
      <c r="T18" s="578">
        <f>IF(M18="","",X18*COS(RADIANS(W18)))</f>
        <v>1.6884125403050041</v>
      </c>
      <c r="U18" s="572">
        <f>IF(M18="","",X18*SIN(RADIANS(W18)))</f>
        <v>-2.9531298456285691</v>
      </c>
      <c r="V18" s="579">
        <f>IF(M18="","",Y18)</f>
        <v>-0.73150000000000037</v>
      </c>
      <c r="W18" s="528">
        <f t="shared" si="252"/>
        <v>299.7581857627834</v>
      </c>
      <c r="X18" s="572">
        <f>IF(M18="","",R18)</f>
        <v>3.4017220332357279</v>
      </c>
      <c r="Y18" s="573">
        <f t="shared" si="253"/>
        <v>-0.73150000000000037</v>
      </c>
      <c r="Z18" s="575">
        <f t="shared" si="18"/>
        <v>0.25265165150270386</v>
      </c>
      <c r="AA18" s="572">
        <f t="shared" si="19"/>
        <v>-0.95958552811591191</v>
      </c>
      <c r="AB18" s="572">
        <f t="shared" si="20"/>
        <v>-0.12394659020506718</v>
      </c>
      <c r="AC18" s="579">
        <f>IF(M18="","",SQRT(Z18^2+AA18^2+AB18^2))</f>
        <v>1</v>
      </c>
      <c r="AD18" s="580">
        <f>IF(M18="","",Z18*(1/SQRT(Z18^2+AA18^2+AB18^2)))</f>
        <v>0.25265165150270386</v>
      </c>
      <c r="AE18" s="572">
        <f>IF(M18="","",AA18*(1/SQRT(Z18^2+AA18^2+AB18^2)))</f>
        <v>-0.95958552811591191</v>
      </c>
      <c r="AF18" s="576">
        <f>IF(M18="","",AB18*(1/SQRT(Z18^2+AA18^2+AB18^2)))</f>
        <v>-0.12394659020506718</v>
      </c>
      <c r="AG18" s="545">
        <f>IF(M18="","",DEGREES(ATAN2(-AF18,AE18)))</f>
        <v>-82.640038432101946</v>
      </c>
      <c r="AH18" s="546">
        <f>IF(M18="","",DEGREES(ACOS(AD18)))</f>
        <v>75.365521083955187</v>
      </c>
      <c r="AI18" s="528">
        <f>IF(M18="","",DEGREES(-ACOS(-AF18)))</f>
        <v>-82.880073226594945</v>
      </c>
      <c r="AJ18" s="529">
        <f>IF(M18="","",DEGREES(ATAN2(-AE18,AD18)))</f>
        <v>14.750774227340555</v>
      </c>
      <c r="AK18" s="578">
        <f>IF(M18="","",(COS(RADIANS((90-$Q$8)-W18))*AD18)+(-SIN(RADIANS((90-$Q$8)-W18))*AE18))</f>
        <v>0.96107490830516529</v>
      </c>
      <c r="AL18" s="572">
        <f>IF(M18="","",(SIN(RADIANS((90-$Q$8)-W18))*AD18)+(COS(RADIANS((90-$Q$8)-W18))*AE18))</f>
        <v>-0.24692562322034475</v>
      </c>
      <c r="AM18" s="577">
        <f>IF(M18="","",AF18)</f>
        <v>-0.12394659020506718</v>
      </c>
      <c r="AN18" s="524">
        <f>IF(M18="","",DEGREES(ATAN2(-AM18,AL18)))</f>
        <v>-63.345215750387375</v>
      </c>
      <c r="AO18" s="525">
        <f t="shared" si="115"/>
        <v>16.038781128165866</v>
      </c>
      <c r="AP18" s="528">
        <f>IF(M18="","",DEGREES(ATAN2(AK18,AL18)))</f>
        <v>-14.409145612778397</v>
      </c>
      <c r="AQ18" s="529">
        <f t="shared" si="21"/>
        <v>0.67013784604761073</v>
      </c>
      <c r="AS18" s="946">
        <f t="shared" si="141"/>
        <v>-60.241814237216602</v>
      </c>
      <c r="AT18" s="942">
        <f t="shared" si="22"/>
        <v>-0.68539189085064334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2"/>
        <v/>
      </c>
      <c r="BA18" s="296" t="str">
        <f t="shared" si="24"/>
        <v/>
      </c>
      <c r="BB18" s="190" t="str">
        <f t="shared" si="143"/>
        <v/>
      </c>
      <c r="BC18" s="9"/>
      <c r="BD18" s="5" t="str">
        <f t="shared" si="144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5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6"/>
        <v/>
      </c>
      <c r="BP18" s="5" t="str">
        <f t="shared" si="147"/>
        <v/>
      </c>
      <c r="BQ18" s="5" t="str">
        <f t="shared" si="148"/>
        <v/>
      </c>
      <c r="BR18" s="6" t="str">
        <f t="shared" si="149"/>
        <v/>
      </c>
      <c r="BS18" s="4" t="str">
        <f t="shared" si="117"/>
        <v/>
      </c>
      <c r="BT18" s="5" t="str">
        <f t="shared" si="117"/>
        <v/>
      </c>
      <c r="BU18" s="10" t="str">
        <f t="shared" si="118"/>
        <v/>
      </c>
      <c r="BV18" s="9" t="str">
        <f t="shared" si="119"/>
        <v/>
      </c>
      <c r="BW18" s="5" t="str">
        <f t="shared" si="120"/>
        <v/>
      </c>
      <c r="BX18" s="8" t="str">
        <f t="shared" si="121"/>
        <v/>
      </c>
      <c r="BY18" s="173" t="str">
        <f t="shared" si="122"/>
        <v/>
      </c>
      <c r="BZ18" s="5" t="str">
        <f t="shared" si="123"/>
        <v/>
      </c>
      <c r="CA18" s="6" t="str">
        <f t="shared" si="124"/>
        <v/>
      </c>
      <c r="CB18" s="4" t="str">
        <f t="shared" si="150"/>
        <v/>
      </c>
      <c r="CC18" s="5" t="str">
        <f t="shared" si="151"/>
        <v/>
      </c>
      <c r="CD18" s="5" t="str">
        <f t="shared" si="152"/>
        <v/>
      </c>
      <c r="CE18" s="6" t="str">
        <f t="shared" si="153"/>
        <v/>
      </c>
      <c r="CF18" s="4" t="str">
        <f t="shared" si="154"/>
        <v/>
      </c>
      <c r="CG18" s="5" t="str">
        <f t="shared" si="155"/>
        <v/>
      </c>
      <c r="CH18" s="5" t="str">
        <f t="shared" si="156"/>
        <v/>
      </c>
      <c r="CI18" s="4" t="str">
        <f t="shared" si="125"/>
        <v/>
      </c>
      <c r="CJ18" s="5" t="str">
        <f t="shared" si="126"/>
        <v/>
      </c>
      <c r="CK18" s="8" t="str">
        <f t="shared" si="127"/>
        <v/>
      </c>
      <c r="CL18" s="173" t="str">
        <f t="shared" si="128"/>
        <v/>
      </c>
      <c r="CM18" s="5" t="str">
        <f t="shared" si="129"/>
        <v/>
      </c>
      <c r="CN18" s="6" t="str">
        <f t="shared" si="130"/>
        <v/>
      </c>
      <c r="CO18" s="167" t="str">
        <f t="shared" si="34"/>
        <v/>
      </c>
      <c r="CP18" s="4" t="str">
        <f t="shared" si="238"/>
        <v/>
      </c>
      <c r="CQ18" s="5" t="str">
        <f t="shared" si="239"/>
        <v/>
      </c>
      <c r="CR18" s="5" t="str">
        <f t="shared" si="157"/>
        <v/>
      </c>
      <c r="CS18" s="8" t="str">
        <f t="shared" si="158"/>
        <v/>
      </c>
      <c r="CT18" s="9" t="str">
        <f>IF(ISNUMBER($AV18),(-CQ18+SQRT(CS18))/(CP18*2),"")</f>
        <v/>
      </c>
      <c r="CU18" s="6" t="str">
        <f t="shared" si="160"/>
        <v/>
      </c>
      <c r="CV18" s="4" t="str">
        <f>IF(ISNUMBER($AV18),CI18+($CT18*(CL18-CI18)),"")</f>
        <v/>
      </c>
      <c r="CW18" s="5" t="str">
        <f t="shared" si="161"/>
        <v/>
      </c>
      <c r="CX18" s="8" t="str">
        <f t="shared" si="162"/>
        <v/>
      </c>
      <c r="CY18" s="9" t="str">
        <f t="shared" si="163"/>
        <v/>
      </c>
      <c r="CZ18" s="5" t="str">
        <f t="shared" si="164"/>
        <v/>
      </c>
      <c r="DA18" s="6" t="str">
        <f t="shared" si="165"/>
        <v/>
      </c>
      <c r="DB18" s="4" t="str">
        <f t="shared" si="166"/>
        <v/>
      </c>
      <c r="DC18" s="5" t="str">
        <f t="shared" si="166"/>
        <v/>
      </c>
      <c r="DD18" s="10" t="str">
        <f t="shared" si="167"/>
        <v/>
      </c>
      <c r="DE18" s="9" t="str">
        <f t="shared" si="168"/>
        <v/>
      </c>
      <c r="DF18" s="5" t="str">
        <f t="shared" si="168"/>
        <v/>
      </c>
      <c r="DG18" s="10" t="str">
        <f t="shared" si="169"/>
        <v/>
      </c>
      <c r="DH18" s="70" t="str">
        <f t="shared" si="170"/>
        <v/>
      </c>
      <c r="DI18" s="4" t="str">
        <f t="shared" si="171"/>
        <v/>
      </c>
      <c r="DJ18" s="5" t="str">
        <f t="shared" si="172"/>
        <v/>
      </c>
      <c r="DK18" s="10" t="str">
        <f t="shared" si="173"/>
        <v/>
      </c>
      <c r="DL18" s="9" t="str">
        <f>IF(ISNUMBER($AV18),CV18-DB18,"")</f>
        <v/>
      </c>
      <c r="DM18" s="173" t="str">
        <f t="shared" si="175"/>
        <v/>
      </c>
      <c r="DN18" s="178" t="str">
        <f t="shared" si="176"/>
        <v/>
      </c>
      <c r="DO18" s="9" t="str">
        <f t="shared" si="177"/>
        <v/>
      </c>
      <c r="DP18" s="173" t="str">
        <f t="shared" si="178"/>
        <v/>
      </c>
      <c r="DQ18" s="11" t="str">
        <f t="shared" si="179"/>
        <v/>
      </c>
      <c r="DR18" s="173" t="str">
        <f t="shared" si="180"/>
        <v/>
      </c>
      <c r="DS18" s="5" t="str">
        <f t="shared" si="181"/>
        <v/>
      </c>
      <c r="DT18" s="5" t="str">
        <f t="shared" si="182"/>
        <v/>
      </c>
      <c r="DU18" s="5" t="str">
        <f t="shared" si="183"/>
        <v/>
      </c>
      <c r="DV18" s="5" t="str">
        <f t="shared" si="184"/>
        <v/>
      </c>
      <c r="DW18" s="5" t="str">
        <f t="shared" si="185"/>
        <v/>
      </c>
      <c r="DX18" s="167" t="str">
        <f t="shared" si="186"/>
        <v/>
      </c>
      <c r="DY18" s="9" t="str">
        <f t="shared" si="187"/>
        <v/>
      </c>
      <c r="DZ18" s="5" t="str">
        <f t="shared" si="188"/>
        <v/>
      </c>
      <c r="EA18" s="10" t="str">
        <f t="shared" si="189"/>
        <v/>
      </c>
      <c r="EB18" s="6" t="str">
        <f t="shared" si="190"/>
        <v/>
      </c>
      <c r="EC18" s="173" t="str">
        <f t="shared" si="191"/>
        <v/>
      </c>
      <c r="ED18" s="5" t="str">
        <f t="shared" si="192"/>
        <v/>
      </c>
      <c r="EE18" s="4" t="str">
        <f t="shared" si="193"/>
        <v/>
      </c>
      <c r="EF18" s="5" t="str">
        <f t="shared" si="194"/>
        <v/>
      </c>
      <c r="EG18" s="10" t="str">
        <f t="shared" si="195"/>
        <v/>
      </c>
      <c r="EH18" s="9" t="str">
        <f t="shared" si="196"/>
        <v/>
      </c>
      <c r="EI18" s="5" t="str">
        <f t="shared" si="197"/>
        <v/>
      </c>
      <c r="EJ18" s="6" t="str">
        <f t="shared" si="198"/>
        <v/>
      </c>
      <c r="EK18" s="236" t="str">
        <f t="shared" si="199"/>
        <v/>
      </c>
      <c r="EL18" s="238" t="str">
        <f t="shared" si="200"/>
        <v/>
      </c>
      <c r="EM18" s="4" t="str">
        <f t="shared" si="201"/>
        <v/>
      </c>
      <c r="EN18" s="5" t="str">
        <f t="shared" si="202"/>
        <v/>
      </c>
      <c r="EO18" s="10" t="str">
        <f t="shared" si="203"/>
        <v/>
      </c>
      <c r="EP18" s="9" t="str">
        <f t="shared" si="204"/>
        <v/>
      </c>
      <c r="EQ18" s="5" t="str">
        <f t="shared" si="205"/>
        <v/>
      </c>
      <c r="ER18" s="7" t="str">
        <f t="shared" si="206"/>
        <v/>
      </c>
      <c r="ES18" s="21" t="str">
        <f t="shared" si="131"/>
        <v/>
      </c>
      <c r="ET18" s="5" t="str">
        <f t="shared" si="43"/>
        <v/>
      </c>
      <c r="EU18" s="10" t="str">
        <f t="shared" si="44"/>
        <v/>
      </c>
      <c r="EV18" s="174" t="str">
        <f t="shared" si="250"/>
        <v/>
      </c>
      <c r="EW18" s="9" t="str">
        <f t="shared" si="132"/>
        <v/>
      </c>
      <c r="EX18" s="5" t="str">
        <f t="shared" si="45"/>
        <v/>
      </c>
      <c r="EY18" s="6" t="str">
        <f t="shared" si="207"/>
        <v/>
      </c>
      <c r="EZ18" s="51" t="str">
        <f t="shared" si="208"/>
        <v/>
      </c>
      <c r="FA18" s="266" t="str">
        <f t="shared" si="133"/>
        <v/>
      </c>
      <c r="FB18" s="267" t="str">
        <f t="shared" si="134"/>
        <v/>
      </c>
      <c r="FC18" s="269" t="str">
        <f t="shared" si="46"/>
        <v/>
      </c>
      <c r="FD18" s="4" t="str">
        <f t="shared" si="135"/>
        <v/>
      </c>
      <c r="FE18" s="5" t="str">
        <f t="shared" si="47"/>
        <v/>
      </c>
      <c r="FF18" s="7" t="str">
        <f t="shared" si="209"/>
        <v/>
      </c>
      <c r="FG18" s="173" t="str">
        <f t="shared" si="210"/>
        <v/>
      </c>
      <c r="FH18" s="5" t="str">
        <f t="shared" si="48"/>
        <v/>
      </c>
      <c r="FI18" s="10" t="str">
        <f t="shared" si="49"/>
        <v/>
      </c>
      <c r="FJ18" s="279" t="str">
        <f t="shared" si="211"/>
        <v/>
      </c>
      <c r="FK18" s="4" t="str">
        <f t="shared" si="50"/>
        <v/>
      </c>
      <c r="FL18" s="5" t="str">
        <f t="shared" si="212"/>
        <v/>
      </c>
      <c r="FM18" s="8" t="str">
        <f t="shared" si="213"/>
        <v/>
      </c>
      <c r="FN18" s="9" t="str">
        <f t="shared" si="214"/>
        <v/>
      </c>
      <c r="FO18" s="10" t="str">
        <f t="shared" si="51"/>
        <v/>
      </c>
      <c r="FP18" s="277" t="str">
        <f t="shared" si="52"/>
        <v/>
      </c>
      <c r="FQ18" s="173" t="str">
        <f t="shared" si="241"/>
        <v/>
      </c>
      <c r="FR18" s="10" t="str">
        <f t="shared" si="215"/>
        <v/>
      </c>
      <c r="FS18" s="9" t="str">
        <f t="shared" si="216"/>
        <v/>
      </c>
      <c r="FT18" s="6" t="str">
        <f t="shared" si="217"/>
        <v/>
      </c>
      <c r="FU18" s="4" t="str">
        <f t="shared" si="218"/>
        <v/>
      </c>
      <c r="FV18" s="5" t="str">
        <f t="shared" si="219"/>
        <v/>
      </c>
      <c r="FW18" s="8" t="str">
        <f t="shared" si="242"/>
        <v/>
      </c>
      <c r="FX18" s="9" t="str">
        <f t="shared" si="243"/>
        <v/>
      </c>
      <c r="FY18" s="10" t="str">
        <f t="shared" si="53"/>
        <v/>
      </c>
      <c r="FZ18" s="277" t="str">
        <f t="shared" si="244"/>
        <v/>
      </c>
      <c r="GA18" s="177" t="str">
        <f t="shared" si="220"/>
        <v/>
      </c>
      <c r="GB18" s="4" t="str">
        <f t="shared" si="221"/>
        <v/>
      </c>
      <c r="GC18" s="5" t="str">
        <f t="shared" si="222"/>
        <v/>
      </c>
      <c r="GD18" s="10" t="str">
        <f t="shared" si="223"/>
        <v/>
      </c>
      <c r="GE18" s="311" t="str">
        <f t="shared" si="224"/>
        <v/>
      </c>
      <c r="GF18" s="341" t="str">
        <f t="shared" si="245"/>
        <v/>
      </c>
      <c r="GG18" s="285" t="str">
        <f t="shared" si="54"/>
        <v/>
      </c>
      <c r="GH18" s="286" t="str">
        <f t="shared" si="55"/>
        <v/>
      </c>
      <c r="GI18" s="281" t="str">
        <f t="shared" si="56"/>
        <v/>
      </c>
      <c r="GJ18" s="167" t="str">
        <f t="shared" si="225"/>
        <v/>
      </c>
      <c r="GK18" s="174" t="str">
        <f t="shared" si="57"/>
        <v/>
      </c>
      <c r="GL18" s="174" t="str">
        <f t="shared" si="226"/>
        <v/>
      </c>
      <c r="GM18" s="177" t="str">
        <f t="shared" si="246"/>
        <v/>
      </c>
      <c r="GN18" s="280" t="str">
        <f t="shared" si="227"/>
        <v/>
      </c>
      <c r="GO18" s="4" t="str">
        <f t="shared" si="228"/>
        <v/>
      </c>
      <c r="GP18" s="8" t="str">
        <f t="shared" si="247"/>
        <v/>
      </c>
      <c r="GQ18" s="177" t="str">
        <f t="shared" si="229"/>
        <v/>
      </c>
      <c r="GR18" s="371" t="str">
        <f t="shared" si="248"/>
        <v/>
      </c>
      <c r="GS18" s="342" t="str">
        <f t="shared" si="59"/>
        <v/>
      </c>
      <c r="GT18" s="343" t="str">
        <f t="shared" si="60"/>
        <v/>
      </c>
      <c r="GU18" s="344" t="str">
        <f t="shared" si="61"/>
        <v/>
      </c>
      <c r="GV18" s="343" t="str">
        <f t="shared" si="251"/>
        <v/>
      </c>
      <c r="GW18" s="345" t="str">
        <f t="shared" si="62"/>
        <v/>
      </c>
      <c r="GX18" s="346" t="str">
        <f t="shared" si="63"/>
        <v/>
      </c>
      <c r="GY18" s="344" t="str">
        <f t="shared" si="64"/>
        <v/>
      </c>
      <c r="GZ18" s="345" t="str">
        <f t="shared" si="65"/>
        <v/>
      </c>
      <c r="HA18" s="342" t="str">
        <f t="shared" si="66"/>
        <v/>
      </c>
      <c r="HB18" s="5" t="str">
        <f t="shared" si="230"/>
        <v/>
      </c>
      <c r="HC18" s="343" t="str">
        <f t="shared" si="231"/>
        <v/>
      </c>
      <c r="HD18" s="345" t="str">
        <f t="shared" si="232"/>
        <v/>
      </c>
      <c r="HE18" s="344" t="str">
        <f t="shared" si="67"/>
        <v/>
      </c>
      <c r="HF18" s="5" t="str">
        <f t="shared" si="68"/>
        <v/>
      </c>
      <c r="HG18" s="343" t="str">
        <f t="shared" si="233"/>
        <v/>
      </c>
      <c r="HH18" s="349" t="str">
        <f t="shared" si="234"/>
        <v/>
      </c>
      <c r="HI18" s="317" t="str">
        <f t="shared" si="69"/>
        <v/>
      </c>
      <c r="HJ18" s="336"/>
      <c r="HK18" s="310" t="str">
        <f t="shared" si="136"/>
        <v/>
      </c>
      <c r="HL18" s="348" t="str">
        <f t="shared" si="70"/>
        <v/>
      </c>
      <c r="HM18" s="923" t="str">
        <f t="shared" si="71"/>
        <v/>
      </c>
      <c r="HN18" s="924" t="str">
        <f t="shared" si="72"/>
        <v/>
      </c>
      <c r="HO18" s="925"/>
      <c r="HP18" s="926"/>
      <c r="HQ18" s="924" t="str">
        <f t="shared" si="73"/>
        <v/>
      </c>
      <c r="HR18" s="927" t="str">
        <f t="shared" si="74"/>
        <v/>
      </c>
      <c r="HS18" s="879" t="str">
        <f t="shared" si="249"/>
        <v/>
      </c>
      <c r="HT18" s="889" t="str">
        <f t="shared" si="75"/>
        <v/>
      </c>
      <c r="HU18" s="890" t="str">
        <f t="shared" si="76"/>
        <v/>
      </c>
      <c r="HV18" s="886" t="str">
        <f t="shared" si="77"/>
        <v/>
      </c>
      <c r="HW18" s="880" t="str">
        <f t="shared" si="78"/>
        <v/>
      </c>
      <c r="HX18" s="881" t="str">
        <f t="shared" si="79"/>
        <v/>
      </c>
      <c r="HY18" s="880" t="str">
        <f t="shared" si="80"/>
        <v/>
      </c>
      <c r="HZ18" s="882" t="str">
        <f t="shared" si="81"/>
        <v/>
      </c>
      <c r="IA18" s="883" t="str">
        <f t="shared" si="82"/>
        <v/>
      </c>
      <c r="IB18" s="884" t="str">
        <f t="shared" si="83"/>
        <v/>
      </c>
      <c r="IC18" s="855" t="str">
        <f t="shared" si="84"/>
        <v/>
      </c>
      <c r="ID18" s="351" t="str">
        <f t="shared" si="85"/>
        <v/>
      </c>
      <c r="IE18" s="857" t="str">
        <f t="shared" si="86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5"/>
        <v>2.1139999999999999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7"/>
        <v>1613</v>
      </c>
      <c r="IM18" s="482" t="str">
        <f t="shared" si="236"/>
        <v/>
      </c>
      <c r="IN18" s="670" t="str">
        <f t="shared" si="89"/>
        <v/>
      </c>
      <c r="IO18" s="702">
        <v>2.6719123422330199E-2</v>
      </c>
      <c r="IP18" s="5" t="str">
        <f t="shared" si="90"/>
        <v/>
      </c>
      <c r="IQ18" s="714">
        <v>160</v>
      </c>
      <c r="IR18" s="9" t="str">
        <f t="shared" si="137"/>
        <v/>
      </c>
      <c r="IS18" s="5" t="str">
        <f t="shared" si="91"/>
        <v/>
      </c>
      <c r="IT18" s="5" t="str">
        <f t="shared" si="92"/>
        <v/>
      </c>
      <c r="IU18" s="5" t="str">
        <f t="shared" si="93"/>
        <v/>
      </c>
      <c r="IV18" s="670" t="str">
        <f t="shared" si="94"/>
        <v/>
      </c>
      <c r="IW18" s="9" t="str">
        <f t="shared" si="95"/>
        <v/>
      </c>
      <c r="IX18" s="5" t="str">
        <f t="shared" si="96"/>
        <v/>
      </c>
      <c r="IY18" s="5" t="str">
        <f t="shared" si="97"/>
        <v/>
      </c>
      <c r="IZ18" s="5" t="str">
        <f t="shared" si="98"/>
        <v/>
      </c>
      <c r="JA18" s="705" t="str">
        <f t="shared" si="99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3.1841431408358041</v>
      </c>
      <c r="C19" s="572">
        <f t="shared" si="3"/>
        <v>1.7512150820142753</v>
      </c>
      <c r="D19" s="576">
        <f t="shared" si="4"/>
        <v>-1.4418</v>
      </c>
      <c r="E19" s="580">
        <f t="shared" si="5"/>
        <v>-0.14655833989744946</v>
      </c>
      <c r="F19" s="572">
        <f t="shared" si="6"/>
        <v>0.988248036762158</v>
      </c>
      <c r="G19" s="579">
        <f t="shared" si="7"/>
        <v>4.3433522102683253E-2</v>
      </c>
      <c r="H19" s="580">
        <f t="shared" si="8"/>
        <v>0.3125</v>
      </c>
      <c r="I19" s="572">
        <f t="shared" si="9"/>
        <v>0.52</v>
      </c>
      <c r="J19" s="483">
        <f t="shared" si="10"/>
        <v>2.117</v>
      </c>
      <c r="K19" s="806">
        <f t="shared" si="11"/>
        <v>1613</v>
      </c>
      <c r="L19" s="718" t="s">
        <v>357</v>
      </c>
      <c r="M19" s="164">
        <f t="shared" si="12"/>
        <v>2.117</v>
      </c>
      <c r="N19" s="575">
        <f t="shared" si="13"/>
        <v>3.1841431408358041</v>
      </c>
      <c r="O19" s="572">
        <f t="shared" si="14"/>
        <v>1.7512150820142753</v>
      </c>
      <c r="P19" s="576">
        <f t="shared" si="15"/>
        <v>-1.4418</v>
      </c>
      <c r="Q19" s="528">
        <f t="shared" si="138"/>
        <v>28.809914470831661</v>
      </c>
      <c r="R19" s="572">
        <f>IF(M19="","",SQRT(N19^2+O19^2))</f>
        <v>3.6339402588383267</v>
      </c>
      <c r="S19" s="577">
        <f>IF(M19="","",P19)</f>
        <v>-1.4418</v>
      </c>
      <c r="T19" s="578">
        <f>IF(M19="","",X19*COS(RADIANS(W19)))</f>
        <v>1.7843669115943843</v>
      </c>
      <c r="U19" s="572">
        <f>IF(M19="","",X19*SIN(RADIANS(W19)))</f>
        <v>-3.1656842119221373</v>
      </c>
      <c r="V19" s="579">
        <f>IF(M19="","",Y19)</f>
        <v>-1.4418</v>
      </c>
      <c r="W19" s="528">
        <f t="shared" si="252"/>
        <v>299.40818039349608</v>
      </c>
      <c r="X19" s="572">
        <f>IF(M19="","",R19)</f>
        <v>3.6339402588383267</v>
      </c>
      <c r="Y19" s="573">
        <f t="shared" si="253"/>
        <v>-1.4418</v>
      </c>
      <c r="Z19" s="575">
        <f t="shared" si="18"/>
        <v>0.14655833989744946</v>
      </c>
      <c r="AA19" s="572">
        <f t="shared" si="19"/>
        <v>-0.988248036762158</v>
      </c>
      <c r="AB19" s="572">
        <f t="shared" si="20"/>
        <v>-4.3433522102683253E-2</v>
      </c>
      <c r="AC19" s="579">
        <f>IF(M19="","",SQRT(Z19^2+AA19^2+AB19^2))</f>
        <v>1</v>
      </c>
      <c r="AD19" s="580">
        <f>IF(M19="","",Z19*(1/SQRT(Z19^2+AA19^2+AB19^2)))</f>
        <v>0.14655833989744946</v>
      </c>
      <c r="AE19" s="572">
        <f>IF(M19="","",AA19*(1/SQRT(Z19^2+AA19^2+AB19^2)))</f>
        <v>-0.988248036762158</v>
      </c>
      <c r="AF19" s="576">
        <f>IF(M19="","",AB19*(1/SQRT(Z19^2+AA19^2+AB19^2)))</f>
        <v>-4.3433522102683253E-2</v>
      </c>
      <c r="AG19" s="545">
        <f>IF(M19="","",DEGREES(ATAN2(-AF19,AE19)))</f>
        <v>-87.483468759897718</v>
      </c>
      <c r="AH19" s="546">
        <f>IF(M19="","",DEGREES(ACOS(AD19)))</f>
        <v>81.572470370644993</v>
      </c>
      <c r="AI19" s="528">
        <f>IF(M19="","",DEGREES(-ACOS(-AF19)))</f>
        <v>-87.510659397303229</v>
      </c>
      <c r="AJ19" s="529">
        <f>IF(M19="","",DEGREES(ATAN2(-AE19,AD19)))</f>
        <v>8.4355480303494623</v>
      </c>
      <c r="AK19" s="578">
        <f>IF(M19="","",(COS(RADIANS((90-$Q$8)-W19))*AD19)+(-SIN(RADIANS((90-$Q$8)-W19))*AE19))</f>
        <v>0.93655320134845377</v>
      </c>
      <c r="AL19" s="572">
        <f>IF(M19="","",(SIN(RADIANS((90-$Q$8)-W19))*AD19)+(COS(RADIANS((90-$Q$8)-W19))*AE19))</f>
        <v>-0.34782413688776503</v>
      </c>
      <c r="AM19" s="577">
        <f>IF(M19="","",AF19)</f>
        <v>-4.3433522102683253E-2</v>
      </c>
      <c r="AN19" s="524">
        <f>IF(M19="","",DEGREES(ATAN2(-AM19,AL19)))</f>
        <v>-82.88220050080588</v>
      </c>
      <c r="AO19" s="525">
        <f t="shared" si="115"/>
        <v>20.519458212808715</v>
      </c>
      <c r="AP19" s="528">
        <f>IF(M19="","",DEGREES(ATAN2(AK19,AL19)))</f>
        <v>-20.374366440482184</v>
      </c>
      <c r="AQ19" s="529">
        <f t="shared" si="21"/>
        <v>0.62731783532018881</v>
      </c>
      <c r="AS19" s="946">
        <f t="shared" si="141"/>
        <v>-60.591819606503918</v>
      </c>
      <c r="AT19" s="942">
        <f t="shared" si="22"/>
        <v>-1.3954488315664155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2"/>
        <v/>
      </c>
      <c r="BA19" s="296" t="str">
        <f t="shared" si="24"/>
        <v/>
      </c>
      <c r="BB19" s="190" t="str">
        <f t="shared" si="143"/>
        <v/>
      </c>
      <c r="BC19" s="9"/>
      <c r="BD19" s="5" t="str">
        <f t="shared" si="144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5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6"/>
        <v/>
      </c>
      <c r="BP19" s="5" t="str">
        <f t="shared" si="147"/>
        <v/>
      </c>
      <c r="BQ19" s="5" t="str">
        <f t="shared" si="148"/>
        <v/>
      </c>
      <c r="BR19" s="6" t="str">
        <f t="shared" si="149"/>
        <v/>
      </c>
      <c r="BS19" s="4" t="str">
        <f t="shared" si="117"/>
        <v/>
      </c>
      <c r="BT19" s="5" t="str">
        <f t="shared" si="117"/>
        <v/>
      </c>
      <c r="BU19" s="10" t="str">
        <f t="shared" si="118"/>
        <v/>
      </c>
      <c r="BV19" s="9" t="str">
        <f t="shared" si="119"/>
        <v/>
      </c>
      <c r="BW19" s="5" t="str">
        <f t="shared" si="120"/>
        <v/>
      </c>
      <c r="BX19" s="8" t="str">
        <f t="shared" si="121"/>
        <v/>
      </c>
      <c r="BY19" s="173" t="str">
        <f t="shared" si="122"/>
        <v/>
      </c>
      <c r="BZ19" s="5" t="str">
        <f t="shared" si="123"/>
        <v/>
      </c>
      <c r="CA19" s="6" t="str">
        <f t="shared" si="124"/>
        <v/>
      </c>
      <c r="CB19" s="4" t="str">
        <f t="shared" si="150"/>
        <v/>
      </c>
      <c r="CC19" s="5" t="str">
        <f t="shared" si="151"/>
        <v/>
      </c>
      <c r="CD19" s="5" t="str">
        <f t="shared" si="152"/>
        <v/>
      </c>
      <c r="CE19" s="6" t="str">
        <f t="shared" si="153"/>
        <v/>
      </c>
      <c r="CF19" s="4" t="str">
        <f t="shared" si="154"/>
        <v/>
      </c>
      <c r="CG19" s="5" t="str">
        <f t="shared" si="155"/>
        <v/>
      </c>
      <c r="CH19" s="5" t="str">
        <f t="shared" si="156"/>
        <v/>
      </c>
      <c r="CI19" s="4" t="str">
        <f t="shared" si="125"/>
        <v/>
      </c>
      <c r="CJ19" s="5" t="str">
        <f t="shared" si="126"/>
        <v/>
      </c>
      <c r="CK19" s="8" t="str">
        <f t="shared" si="127"/>
        <v/>
      </c>
      <c r="CL19" s="173" t="str">
        <f t="shared" si="128"/>
        <v/>
      </c>
      <c r="CM19" s="5" t="str">
        <f t="shared" si="129"/>
        <v/>
      </c>
      <c r="CN19" s="6" t="str">
        <f t="shared" si="130"/>
        <v/>
      </c>
      <c r="CO19" s="167" t="str">
        <f t="shared" si="34"/>
        <v/>
      </c>
      <c r="CP19" s="4" t="str">
        <f t="shared" si="238"/>
        <v/>
      </c>
      <c r="CQ19" s="5" t="str">
        <f t="shared" si="239"/>
        <v/>
      </c>
      <c r="CR19" s="5" t="str">
        <f t="shared" si="157"/>
        <v/>
      </c>
      <c r="CS19" s="8" t="str">
        <f t="shared" si="158"/>
        <v/>
      </c>
      <c r="CT19" s="9" t="str">
        <f t="shared" si="159"/>
        <v/>
      </c>
      <c r="CU19" s="6" t="str">
        <f t="shared" si="160"/>
        <v/>
      </c>
      <c r="CV19" s="4" t="str">
        <f t="shared" si="240"/>
        <v/>
      </c>
      <c r="CW19" s="5" t="str">
        <f t="shared" si="161"/>
        <v/>
      </c>
      <c r="CX19" s="8" t="str">
        <f t="shared" si="162"/>
        <v/>
      </c>
      <c r="CY19" s="9" t="str">
        <f t="shared" si="163"/>
        <v/>
      </c>
      <c r="CZ19" s="5" t="str">
        <f t="shared" si="164"/>
        <v/>
      </c>
      <c r="DA19" s="6" t="str">
        <f t="shared" si="165"/>
        <v/>
      </c>
      <c r="DB19" s="4" t="str">
        <f t="shared" si="166"/>
        <v/>
      </c>
      <c r="DC19" s="5" t="str">
        <f t="shared" si="166"/>
        <v/>
      </c>
      <c r="DD19" s="10" t="str">
        <f t="shared" si="167"/>
        <v/>
      </c>
      <c r="DE19" s="9" t="str">
        <f t="shared" si="168"/>
        <v/>
      </c>
      <c r="DF19" s="5" t="str">
        <f t="shared" si="168"/>
        <v/>
      </c>
      <c r="DG19" s="10" t="str">
        <f t="shared" si="169"/>
        <v/>
      </c>
      <c r="DH19" s="70" t="str">
        <f t="shared" si="170"/>
        <v/>
      </c>
      <c r="DI19" s="4" t="str">
        <f t="shared" si="171"/>
        <v/>
      </c>
      <c r="DJ19" s="5" t="str">
        <f t="shared" si="172"/>
        <v/>
      </c>
      <c r="DK19" s="10" t="str">
        <f t="shared" si="173"/>
        <v/>
      </c>
      <c r="DL19" s="9" t="str">
        <f t="shared" si="174"/>
        <v/>
      </c>
      <c r="DM19" s="173" t="str">
        <f t="shared" si="175"/>
        <v/>
      </c>
      <c r="DN19" s="178" t="str">
        <f t="shared" si="176"/>
        <v/>
      </c>
      <c r="DO19" s="9" t="str">
        <f t="shared" si="177"/>
        <v/>
      </c>
      <c r="DP19" s="173" t="str">
        <f t="shared" si="178"/>
        <v/>
      </c>
      <c r="DQ19" s="11" t="str">
        <f t="shared" si="179"/>
        <v/>
      </c>
      <c r="DR19" s="173" t="str">
        <f t="shared" si="180"/>
        <v/>
      </c>
      <c r="DS19" s="5" t="str">
        <f t="shared" si="181"/>
        <v/>
      </c>
      <c r="DT19" s="5" t="str">
        <f t="shared" si="182"/>
        <v/>
      </c>
      <c r="DU19" s="5" t="str">
        <f t="shared" si="183"/>
        <v/>
      </c>
      <c r="DV19" s="5" t="str">
        <f t="shared" si="184"/>
        <v/>
      </c>
      <c r="DW19" s="5" t="str">
        <f t="shared" si="185"/>
        <v/>
      </c>
      <c r="DX19" s="167" t="str">
        <f t="shared" si="186"/>
        <v/>
      </c>
      <c r="DY19" s="9" t="str">
        <f t="shared" si="187"/>
        <v/>
      </c>
      <c r="DZ19" s="5" t="str">
        <f t="shared" si="188"/>
        <v/>
      </c>
      <c r="EA19" s="10" t="str">
        <f t="shared" si="189"/>
        <v/>
      </c>
      <c r="EB19" s="6" t="str">
        <f t="shared" si="190"/>
        <v/>
      </c>
      <c r="EC19" s="173" t="str">
        <f t="shared" si="191"/>
        <v/>
      </c>
      <c r="ED19" s="5" t="str">
        <f t="shared" si="192"/>
        <v/>
      </c>
      <c r="EE19" s="4" t="str">
        <f t="shared" si="193"/>
        <v/>
      </c>
      <c r="EF19" s="5" t="str">
        <f t="shared" si="194"/>
        <v/>
      </c>
      <c r="EG19" s="10" t="str">
        <f t="shared" si="195"/>
        <v/>
      </c>
      <c r="EH19" s="9" t="str">
        <f t="shared" si="196"/>
        <v/>
      </c>
      <c r="EI19" s="5" t="str">
        <f t="shared" si="197"/>
        <v/>
      </c>
      <c r="EJ19" s="6" t="str">
        <f t="shared" si="198"/>
        <v/>
      </c>
      <c r="EK19" s="236" t="str">
        <f t="shared" si="199"/>
        <v/>
      </c>
      <c r="EL19" s="238" t="str">
        <f t="shared" si="200"/>
        <v/>
      </c>
      <c r="EM19" s="4" t="str">
        <f t="shared" si="201"/>
        <v/>
      </c>
      <c r="EN19" s="5" t="str">
        <f t="shared" si="202"/>
        <v/>
      </c>
      <c r="EO19" s="10" t="str">
        <f t="shared" si="203"/>
        <v/>
      </c>
      <c r="EP19" s="9" t="str">
        <f t="shared" si="204"/>
        <v/>
      </c>
      <c r="EQ19" s="5" t="str">
        <f t="shared" si="205"/>
        <v/>
      </c>
      <c r="ER19" s="7" t="str">
        <f t="shared" si="206"/>
        <v/>
      </c>
      <c r="ES19" s="21" t="str">
        <f t="shared" si="131"/>
        <v/>
      </c>
      <c r="ET19" s="5" t="str">
        <f t="shared" si="43"/>
        <v/>
      </c>
      <c r="EU19" s="10" t="str">
        <f t="shared" si="44"/>
        <v/>
      </c>
      <c r="EV19" s="174" t="str">
        <f t="shared" si="250"/>
        <v/>
      </c>
      <c r="EW19" s="9" t="str">
        <f t="shared" si="132"/>
        <v/>
      </c>
      <c r="EX19" s="5" t="str">
        <f t="shared" si="45"/>
        <v/>
      </c>
      <c r="EY19" s="6" t="str">
        <f t="shared" si="207"/>
        <v/>
      </c>
      <c r="EZ19" s="51" t="str">
        <f t="shared" si="208"/>
        <v/>
      </c>
      <c r="FA19" s="266" t="str">
        <f t="shared" si="133"/>
        <v/>
      </c>
      <c r="FB19" s="267" t="str">
        <f t="shared" si="134"/>
        <v/>
      </c>
      <c r="FC19" s="269" t="str">
        <f t="shared" si="46"/>
        <v/>
      </c>
      <c r="FD19" s="4" t="str">
        <f t="shared" si="135"/>
        <v/>
      </c>
      <c r="FE19" s="5" t="str">
        <f t="shared" si="47"/>
        <v/>
      </c>
      <c r="FF19" s="7" t="str">
        <f t="shared" si="209"/>
        <v/>
      </c>
      <c r="FG19" s="173" t="str">
        <f t="shared" si="210"/>
        <v/>
      </c>
      <c r="FH19" s="5" t="str">
        <f t="shared" si="48"/>
        <v/>
      </c>
      <c r="FI19" s="10" t="str">
        <f t="shared" si="49"/>
        <v/>
      </c>
      <c r="FJ19" s="279" t="str">
        <f t="shared" si="211"/>
        <v/>
      </c>
      <c r="FK19" s="4" t="str">
        <f t="shared" si="50"/>
        <v/>
      </c>
      <c r="FL19" s="5" t="str">
        <f t="shared" si="212"/>
        <v/>
      </c>
      <c r="FM19" s="8" t="str">
        <f t="shared" si="213"/>
        <v/>
      </c>
      <c r="FN19" s="9" t="str">
        <f t="shared" si="214"/>
        <v/>
      </c>
      <c r="FO19" s="10" t="str">
        <f t="shared" si="51"/>
        <v/>
      </c>
      <c r="FP19" s="277" t="str">
        <f t="shared" si="52"/>
        <v/>
      </c>
      <c r="FQ19" s="173" t="str">
        <f t="shared" si="241"/>
        <v/>
      </c>
      <c r="FR19" s="10" t="str">
        <f t="shared" si="215"/>
        <v/>
      </c>
      <c r="FS19" s="9" t="str">
        <f t="shared" si="216"/>
        <v/>
      </c>
      <c r="FT19" s="6" t="str">
        <f t="shared" si="217"/>
        <v/>
      </c>
      <c r="FU19" s="4" t="str">
        <f t="shared" si="218"/>
        <v/>
      </c>
      <c r="FV19" s="5" t="str">
        <f t="shared" si="219"/>
        <v/>
      </c>
      <c r="FW19" s="8" t="str">
        <f t="shared" si="242"/>
        <v/>
      </c>
      <c r="FX19" s="9" t="str">
        <f t="shared" si="243"/>
        <v/>
      </c>
      <c r="FY19" s="10" t="str">
        <f t="shared" si="53"/>
        <v/>
      </c>
      <c r="FZ19" s="277" t="str">
        <f t="shared" si="244"/>
        <v/>
      </c>
      <c r="GA19" s="177" t="str">
        <f t="shared" si="220"/>
        <v/>
      </c>
      <c r="GB19" s="4" t="str">
        <f t="shared" si="221"/>
        <v/>
      </c>
      <c r="GC19" s="5" t="str">
        <f t="shared" si="222"/>
        <v/>
      </c>
      <c r="GD19" s="10" t="str">
        <f t="shared" si="223"/>
        <v/>
      </c>
      <c r="GE19" s="311" t="str">
        <f t="shared" si="224"/>
        <v/>
      </c>
      <c r="GF19" s="341" t="str">
        <f t="shared" si="245"/>
        <v/>
      </c>
      <c r="GG19" s="285" t="str">
        <f t="shared" si="54"/>
        <v/>
      </c>
      <c r="GH19" s="286" t="str">
        <f t="shared" si="55"/>
        <v/>
      </c>
      <c r="GI19" s="281" t="str">
        <f t="shared" si="56"/>
        <v/>
      </c>
      <c r="GJ19" s="167" t="str">
        <f t="shared" si="225"/>
        <v/>
      </c>
      <c r="GK19" s="174" t="str">
        <f t="shared" si="57"/>
        <v/>
      </c>
      <c r="GL19" s="174" t="str">
        <f t="shared" si="226"/>
        <v/>
      </c>
      <c r="GM19" s="177" t="str">
        <f t="shared" si="246"/>
        <v/>
      </c>
      <c r="GN19" s="280" t="str">
        <f t="shared" si="227"/>
        <v/>
      </c>
      <c r="GO19" s="4" t="str">
        <f t="shared" si="228"/>
        <v/>
      </c>
      <c r="GP19" s="8" t="str">
        <f t="shared" si="247"/>
        <v/>
      </c>
      <c r="GQ19" s="177" t="str">
        <f t="shared" si="229"/>
        <v/>
      </c>
      <c r="GR19" s="371" t="str">
        <f t="shared" si="248"/>
        <v/>
      </c>
      <c r="GS19" s="342" t="str">
        <f t="shared" si="59"/>
        <v/>
      </c>
      <c r="GT19" s="343" t="str">
        <f t="shared" si="60"/>
        <v/>
      </c>
      <c r="GU19" s="344" t="str">
        <f t="shared" si="61"/>
        <v/>
      </c>
      <c r="GV19" s="343" t="str">
        <f t="shared" si="251"/>
        <v/>
      </c>
      <c r="GW19" s="345" t="str">
        <f t="shared" si="62"/>
        <v/>
      </c>
      <c r="GX19" s="346" t="str">
        <f t="shared" si="63"/>
        <v/>
      </c>
      <c r="GY19" s="344" t="str">
        <f t="shared" si="64"/>
        <v/>
      </c>
      <c r="GZ19" s="345" t="str">
        <f t="shared" si="65"/>
        <v/>
      </c>
      <c r="HA19" s="342" t="str">
        <f t="shared" si="66"/>
        <v/>
      </c>
      <c r="HB19" s="5" t="str">
        <f t="shared" si="230"/>
        <v/>
      </c>
      <c r="HC19" s="343" t="str">
        <f t="shared" si="231"/>
        <v/>
      </c>
      <c r="HD19" s="345" t="str">
        <f t="shared" si="232"/>
        <v/>
      </c>
      <c r="HE19" s="344" t="str">
        <f t="shared" si="67"/>
        <v/>
      </c>
      <c r="HF19" s="5" t="str">
        <f t="shared" si="68"/>
        <v/>
      </c>
      <c r="HG19" s="343" t="str">
        <f t="shared" si="233"/>
        <v/>
      </c>
      <c r="HH19" s="349" t="str">
        <f t="shared" si="234"/>
        <v/>
      </c>
      <c r="HI19" s="317" t="str">
        <f t="shared" si="69"/>
        <v/>
      </c>
      <c r="HJ19" s="336"/>
      <c r="HK19" s="310" t="str">
        <f t="shared" si="136"/>
        <v/>
      </c>
      <c r="HL19" s="348" t="str">
        <f t="shared" si="70"/>
        <v/>
      </c>
      <c r="HM19" s="923" t="str">
        <f t="shared" si="71"/>
        <v/>
      </c>
      <c r="HN19" s="924" t="str">
        <f t="shared" si="72"/>
        <v/>
      </c>
      <c r="HO19" s="925"/>
      <c r="HP19" s="926"/>
      <c r="HQ19" s="924" t="str">
        <f t="shared" si="73"/>
        <v/>
      </c>
      <c r="HR19" s="927" t="str">
        <f t="shared" si="74"/>
        <v/>
      </c>
      <c r="HS19" s="879" t="str">
        <f t="shared" si="249"/>
        <v/>
      </c>
      <c r="HT19" s="889" t="str">
        <f t="shared" si="75"/>
        <v/>
      </c>
      <c r="HU19" s="890" t="str">
        <f t="shared" si="76"/>
        <v/>
      </c>
      <c r="HV19" s="886" t="str">
        <f t="shared" si="77"/>
        <v/>
      </c>
      <c r="HW19" s="880" t="str">
        <f t="shared" si="78"/>
        <v/>
      </c>
      <c r="HX19" s="881" t="str">
        <f t="shared" si="79"/>
        <v/>
      </c>
      <c r="HY19" s="880" t="str">
        <f t="shared" si="80"/>
        <v/>
      </c>
      <c r="HZ19" s="882" t="str">
        <f t="shared" si="81"/>
        <v/>
      </c>
      <c r="IA19" s="883" t="str">
        <f t="shared" si="82"/>
        <v/>
      </c>
      <c r="IB19" s="884" t="str">
        <f t="shared" si="83"/>
        <v/>
      </c>
      <c r="IC19" s="855" t="str">
        <f t="shared" si="84"/>
        <v/>
      </c>
      <c r="ID19" s="351" t="str">
        <f t="shared" si="85"/>
        <v/>
      </c>
      <c r="IE19" s="857" t="str">
        <f t="shared" si="86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5"/>
        <v>2.117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7"/>
        <v>1613</v>
      </c>
      <c r="IM19" s="482" t="str">
        <f t="shared" si="236"/>
        <v/>
      </c>
      <c r="IN19" s="670" t="str">
        <f t="shared" si="89"/>
        <v/>
      </c>
      <c r="IO19" s="702">
        <v>2.0081048927119399E-2</v>
      </c>
      <c r="IP19" s="5" t="str">
        <f t="shared" si="90"/>
        <v/>
      </c>
      <c r="IQ19" s="714">
        <v>170</v>
      </c>
      <c r="IR19" s="9" t="str">
        <f t="shared" si="137"/>
        <v/>
      </c>
      <c r="IS19" s="5" t="str">
        <f t="shared" si="91"/>
        <v/>
      </c>
      <c r="IT19" s="5" t="str">
        <f t="shared" si="92"/>
        <v/>
      </c>
      <c r="IU19" s="5" t="str">
        <f t="shared" si="93"/>
        <v/>
      </c>
      <c r="IV19" s="670" t="str">
        <f t="shared" si="94"/>
        <v/>
      </c>
      <c r="IW19" s="9" t="str">
        <f t="shared" si="95"/>
        <v/>
      </c>
      <c r="IX19" s="5" t="str">
        <f t="shared" si="96"/>
        <v/>
      </c>
      <c r="IY19" s="5" t="str">
        <f t="shared" si="97"/>
        <v/>
      </c>
      <c r="IZ19" s="5" t="str">
        <f t="shared" si="98"/>
        <v/>
      </c>
      <c r="JA19" s="705" t="str">
        <f t="shared" si="99"/>
        <v/>
      </c>
      <c r="JD19" s="1090" t="s">
        <v>356</v>
      </c>
      <c r="JE19" s="1091"/>
      <c r="JF19" s="1091"/>
      <c r="JG19" s="1091"/>
      <c r="JH19" s="1091"/>
      <c r="JI19" s="1091"/>
      <c r="JJ19" s="1091"/>
      <c r="JK19" s="1092"/>
    </row>
    <row r="20" spans="1:271" ht="15" customHeight="1" x14ac:dyDescent="0.25">
      <c r="A20" s="75">
        <f t="shared" si="1"/>
        <v>0</v>
      </c>
      <c r="B20" s="578">
        <f t="shared" si="2"/>
        <v>3.3081594560296725</v>
      </c>
      <c r="C20" s="572">
        <f t="shared" si="3"/>
        <v>1.7974125231310174</v>
      </c>
      <c r="D20" s="576">
        <f t="shared" si="4"/>
        <v>-2.0998000000000001</v>
      </c>
      <c r="E20" s="580">
        <f t="shared" si="5"/>
        <v>1.9302591392406955E-2</v>
      </c>
      <c r="F20" s="572">
        <f t="shared" si="6"/>
        <v>0.99791532190822962</v>
      </c>
      <c r="G20" s="579">
        <f t="shared" si="7"/>
        <v>6.1582629582798941E-2</v>
      </c>
      <c r="H20" s="580">
        <f t="shared" si="8"/>
        <v>0.26450000000000001</v>
      </c>
      <c r="I20" s="572">
        <f t="shared" si="9"/>
        <v>0.52</v>
      </c>
      <c r="J20" s="483">
        <f t="shared" si="10"/>
        <v>2.12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2.12</v>
      </c>
      <c r="N20" s="575">
        <f t="shared" si="13"/>
        <v>3.3081594560296725</v>
      </c>
      <c r="O20" s="572">
        <f t="shared" si="14"/>
        <v>1.7974125231310174</v>
      </c>
      <c r="P20" s="576">
        <f t="shared" si="15"/>
        <v>-2.0998000000000001</v>
      </c>
      <c r="Q20" s="528">
        <f t="shared" si="138"/>
        <v>28.516430001784769</v>
      </c>
      <c r="R20" s="572">
        <f>IF(M20="","",SQRT(N20^2+O20^2))</f>
        <v>3.764918427380167</v>
      </c>
      <c r="S20" s="577">
        <f>IF(M20="","",P20)</f>
        <v>-2.0998000000000001</v>
      </c>
      <c r="T20" s="578">
        <f>IF(M20="","",X20*COS(RADIANS(W20)))</f>
        <v>1.8318567531829346</v>
      </c>
      <c r="U20" s="572">
        <f>IF(M20="","",X20*SIN(RADIANS(W20)))</f>
        <v>-3.2892113949463369</v>
      </c>
      <c r="V20" s="579">
        <f>IF(M20="","",Y20)</f>
        <v>-2.0998000000000001</v>
      </c>
      <c r="W20" s="528">
        <f t="shared" si="252"/>
        <v>299.11469592444922</v>
      </c>
      <c r="X20" s="572">
        <f>IF(M20="","",R20)</f>
        <v>3.764918427380167</v>
      </c>
      <c r="Y20" s="573">
        <f t="shared" si="253"/>
        <v>-2.0998000000000001</v>
      </c>
      <c r="Z20" s="575">
        <f t="shared" si="18"/>
        <v>-1.9302591392406955E-2</v>
      </c>
      <c r="AA20" s="572">
        <f t="shared" si="19"/>
        <v>-0.99791532190822962</v>
      </c>
      <c r="AB20" s="572">
        <f t="shared" si="20"/>
        <v>-6.1582629582798941E-2</v>
      </c>
      <c r="AC20" s="579">
        <f>IF(M20="","",SQRT(Z20^2+AA20^2+AB20^2))</f>
        <v>1</v>
      </c>
      <c r="AD20" s="580">
        <f>IF(M20="","",Z20*(1/SQRT(Z20^2+AA20^2+AB20^2)))</f>
        <v>-1.9302591392406955E-2</v>
      </c>
      <c r="AE20" s="572">
        <f>IF(M20="","",AA20*(1/SQRT(Z20^2+AA20^2+AB20^2)))</f>
        <v>-0.99791532190822962</v>
      </c>
      <c r="AF20" s="576">
        <f>IF(M20="","",AB20*(1/SQRT(Z20^2+AA20^2+AB20^2)))</f>
        <v>-6.1582629582798941E-2</v>
      </c>
      <c r="AG20" s="545">
        <f>IF(M20="","",DEGREES(ATAN2(-AF20,AE20)))</f>
        <v>-86.468682445053972</v>
      </c>
      <c r="AH20" s="546">
        <f>IF(M20="","",DEGREES(ACOS(AD20)))</f>
        <v>91.106025710062028</v>
      </c>
      <c r="AI20" s="528">
        <f>IF(M20="","",DEGREES(-ACOS(-AF20)))</f>
        <v>-86.469341207320554</v>
      </c>
      <c r="AJ20" s="529">
        <f>IF(M20="","",DEGREES(ATAN2(-AE20,AD20)))</f>
        <v>-1.1081292134294192</v>
      </c>
      <c r="AK20" s="578">
        <f>IF(M20="","",(COS(RADIANS((90-$Q$8)-W20))*AD20)+(-SIN(RADIANS((90-$Q$8)-W20))*AE20))</f>
        <v>0.86763321755766809</v>
      </c>
      <c r="AL20" s="572">
        <f>IF(M20="","",(SIN(RADIANS((90-$Q$8)-W20))*AD20)+(COS(RADIANS((90-$Q$8)-W20))*AE20))</f>
        <v>-0.49337630620470196</v>
      </c>
      <c r="AM20" s="577">
        <f>IF(M20="","",AF20)</f>
        <v>-6.1582629582798941E-2</v>
      </c>
      <c r="AN20" s="524">
        <f>IF(M20="","",DEGREES(ATAN2(-AM20,AL20)))</f>
        <v>-82.88520716961051</v>
      </c>
      <c r="AO20" s="525">
        <f t="shared" si="115"/>
        <v>29.815241834246237</v>
      </c>
      <c r="AP20" s="528">
        <f>IF(M20="","",DEGREES(ATAN2(AK20,AL20)))</f>
        <v>-29.624559215214227</v>
      </c>
      <c r="AQ20" s="529">
        <f t="shared" si="21"/>
        <v>0.60549565904153491</v>
      </c>
      <c r="AS20" s="946">
        <f t="shared" si="141"/>
        <v>-60.885304075550778</v>
      </c>
      <c r="AT20" s="942">
        <f t="shared" si="22"/>
        <v>-2.0532450229073556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2"/>
        <v/>
      </c>
      <c r="BA20" s="296" t="str">
        <f t="shared" si="24"/>
        <v/>
      </c>
      <c r="BB20" s="190" t="str">
        <f t="shared" si="143"/>
        <v/>
      </c>
      <c r="BC20" s="9"/>
      <c r="BD20" s="5" t="str">
        <f t="shared" si="144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5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6"/>
        <v/>
      </c>
      <c r="BP20" s="5" t="str">
        <f t="shared" si="147"/>
        <v/>
      </c>
      <c r="BQ20" s="5" t="str">
        <f t="shared" si="148"/>
        <v/>
      </c>
      <c r="BR20" s="6" t="str">
        <f t="shared" si="149"/>
        <v/>
      </c>
      <c r="BS20" s="4" t="str">
        <f t="shared" si="117"/>
        <v/>
      </c>
      <c r="BT20" s="5" t="str">
        <f t="shared" si="117"/>
        <v/>
      </c>
      <c r="BU20" s="10" t="str">
        <f t="shared" si="118"/>
        <v/>
      </c>
      <c r="BV20" s="9" t="str">
        <f t="shared" si="119"/>
        <v/>
      </c>
      <c r="BW20" s="5" t="str">
        <f t="shared" si="120"/>
        <v/>
      </c>
      <c r="BX20" s="8" t="str">
        <f t="shared" si="121"/>
        <v/>
      </c>
      <c r="BY20" s="173" t="str">
        <f t="shared" si="122"/>
        <v/>
      </c>
      <c r="BZ20" s="5" t="str">
        <f t="shared" si="123"/>
        <v/>
      </c>
      <c r="CA20" s="6" t="str">
        <f t="shared" si="124"/>
        <v/>
      </c>
      <c r="CB20" s="4" t="str">
        <f t="shared" si="150"/>
        <v/>
      </c>
      <c r="CC20" s="5" t="str">
        <f t="shared" si="151"/>
        <v/>
      </c>
      <c r="CD20" s="5" t="str">
        <f t="shared" si="152"/>
        <v/>
      </c>
      <c r="CE20" s="6" t="str">
        <f t="shared" si="153"/>
        <v/>
      </c>
      <c r="CF20" s="4" t="str">
        <f t="shared" si="154"/>
        <v/>
      </c>
      <c r="CG20" s="5" t="str">
        <f t="shared" si="155"/>
        <v/>
      </c>
      <c r="CH20" s="5" t="str">
        <f t="shared" si="156"/>
        <v/>
      </c>
      <c r="CI20" s="4" t="str">
        <f t="shared" si="125"/>
        <v/>
      </c>
      <c r="CJ20" s="5" t="str">
        <f t="shared" si="126"/>
        <v/>
      </c>
      <c r="CK20" s="8" t="str">
        <f t="shared" si="127"/>
        <v/>
      </c>
      <c r="CL20" s="173" t="str">
        <f t="shared" si="128"/>
        <v/>
      </c>
      <c r="CM20" s="5" t="str">
        <f t="shared" si="129"/>
        <v/>
      </c>
      <c r="CN20" s="6" t="str">
        <f t="shared" si="130"/>
        <v/>
      </c>
      <c r="CO20" s="167" t="str">
        <f t="shared" si="34"/>
        <v/>
      </c>
      <c r="CP20" s="4" t="str">
        <f t="shared" si="238"/>
        <v/>
      </c>
      <c r="CQ20" s="5" t="str">
        <f t="shared" si="239"/>
        <v/>
      </c>
      <c r="CR20" s="5" t="str">
        <f t="shared" si="157"/>
        <v/>
      </c>
      <c r="CS20" s="8" t="str">
        <f t="shared" si="158"/>
        <v/>
      </c>
      <c r="CT20" s="9" t="str">
        <f t="shared" si="159"/>
        <v/>
      </c>
      <c r="CU20" s="6" t="str">
        <f t="shared" si="160"/>
        <v/>
      </c>
      <c r="CV20" s="4" t="str">
        <f t="shared" si="240"/>
        <v/>
      </c>
      <c r="CW20" s="5" t="str">
        <f t="shared" si="161"/>
        <v/>
      </c>
      <c r="CX20" s="8" t="str">
        <f t="shared" si="162"/>
        <v/>
      </c>
      <c r="CY20" s="9" t="str">
        <f t="shared" si="163"/>
        <v/>
      </c>
      <c r="CZ20" s="5" t="str">
        <f t="shared" si="164"/>
        <v/>
      </c>
      <c r="DA20" s="6" t="str">
        <f t="shared" si="165"/>
        <v/>
      </c>
      <c r="DB20" s="4" t="str">
        <f t="shared" si="166"/>
        <v/>
      </c>
      <c r="DC20" s="5" t="str">
        <f t="shared" si="166"/>
        <v/>
      </c>
      <c r="DD20" s="10" t="str">
        <f t="shared" si="167"/>
        <v/>
      </c>
      <c r="DE20" s="9" t="str">
        <f t="shared" si="168"/>
        <v/>
      </c>
      <c r="DF20" s="5" t="str">
        <f t="shared" si="168"/>
        <v/>
      </c>
      <c r="DG20" s="10" t="str">
        <f t="shared" si="169"/>
        <v/>
      </c>
      <c r="DH20" s="70" t="str">
        <f t="shared" si="170"/>
        <v/>
      </c>
      <c r="DI20" s="4" t="str">
        <f t="shared" si="171"/>
        <v/>
      </c>
      <c r="DJ20" s="5" t="str">
        <f t="shared" si="172"/>
        <v/>
      </c>
      <c r="DK20" s="10" t="str">
        <f t="shared" si="173"/>
        <v/>
      </c>
      <c r="DL20" s="9" t="str">
        <f t="shared" si="174"/>
        <v/>
      </c>
      <c r="DM20" s="173" t="str">
        <f t="shared" si="175"/>
        <v/>
      </c>
      <c r="DN20" s="178" t="str">
        <f t="shared" si="176"/>
        <v/>
      </c>
      <c r="DO20" s="9" t="str">
        <f t="shared" si="177"/>
        <v/>
      </c>
      <c r="DP20" s="173" t="str">
        <f t="shared" si="178"/>
        <v/>
      </c>
      <c r="DQ20" s="11" t="str">
        <f t="shared" si="179"/>
        <v/>
      </c>
      <c r="DR20" s="173" t="str">
        <f t="shared" si="180"/>
        <v/>
      </c>
      <c r="DS20" s="5" t="str">
        <f t="shared" si="181"/>
        <v/>
      </c>
      <c r="DT20" s="5" t="str">
        <f t="shared" si="182"/>
        <v/>
      </c>
      <c r="DU20" s="5" t="str">
        <f t="shared" si="183"/>
        <v/>
      </c>
      <c r="DV20" s="5" t="str">
        <f t="shared" si="184"/>
        <v/>
      </c>
      <c r="DW20" s="5" t="str">
        <f t="shared" si="185"/>
        <v/>
      </c>
      <c r="DX20" s="167" t="str">
        <f t="shared" si="186"/>
        <v/>
      </c>
      <c r="DY20" s="9" t="str">
        <f t="shared" si="187"/>
        <v/>
      </c>
      <c r="DZ20" s="5" t="str">
        <f t="shared" si="188"/>
        <v/>
      </c>
      <c r="EA20" s="10" t="str">
        <f t="shared" si="189"/>
        <v/>
      </c>
      <c r="EB20" s="6" t="str">
        <f t="shared" si="190"/>
        <v/>
      </c>
      <c r="EC20" s="173" t="str">
        <f t="shared" si="191"/>
        <v/>
      </c>
      <c r="ED20" s="5" t="str">
        <f t="shared" si="192"/>
        <v/>
      </c>
      <c r="EE20" s="4" t="str">
        <f t="shared" si="193"/>
        <v/>
      </c>
      <c r="EF20" s="5" t="str">
        <f t="shared" si="194"/>
        <v/>
      </c>
      <c r="EG20" s="10" t="str">
        <f t="shared" si="195"/>
        <v/>
      </c>
      <c r="EH20" s="9" t="str">
        <f t="shared" si="196"/>
        <v/>
      </c>
      <c r="EI20" s="5" t="str">
        <f t="shared" si="197"/>
        <v/>
      </c>
      <c r="EJ20" s="6" t="str">
        <f t="shared" si="198"/>
        <v/>
      </c>
      <c r="EK20" s="236" t="str">
        <f t="shared" si="199"/>
        <v/>
      </c>
      <c r="EL20" s="238" t="str">
        <f t="shared" si="200"/>
        <v/>
      </c>
      <c r="EM20" s="4" t="str">
        <f t="shared" si="201"/>
        <v/>
      </c>
      <c r="EN20" s="5" t="str">
        <f t="shared" si="202"/>
        <v/>
      </c>
      <c r="EO20" s="10" t="str">
        <f t="shared" si="203"/>
        <v/>
      </c>
      <c r="EP20" s="9" t="str">
        <f t="shared" si="204"/>
        <v/>
      </c>
      <c r="EQ20" s="5" t="str">
        <f>IF(ISNUMBER($AV20),SQRT(EM20^2+EN20^2),"")</f>
        <v/>
      </c>
      <c r="ER20" s="7" t="str">
        <f t="shared" si="206"/>
        <v/>
      </c>
      <c r="ES20" s="21" t="str">
        <f t="shared" si="131"/>
        <v/>
      </c>
      <c r="ET20" s="5" t="str">
        <f t="shared" si="43"/>
        <v/>
      </c>
      <c r="EU20" s="10" t="str">
        <f t="shared" si="44"/>
        <v/>
      </c>
      <c r="EV20" s="174" t="str">
        <f>IF(ISNUMBER($AV20),IF(($EV$1-EP20)&lt;0,(360+($EV$1-EP20)),($EV$1-EP20)),"")</f>
        <v/>
      </c>
      <c r="EW20" s="9" t="str">
        <f t="shared" si="132"/>
        <v/>
      </c>
      <c r="EX20" s="5" t="str">
        <f t="shared" si="45"/>
        <v/>
      </c>
      <c r="EY20" s="6" t="str">
        <f t="shared" si="207"/>
        <v/>
      </c>
      <c r="EZ20" s="51" t="str">
        <f t="shared" si="208"/>
        <v/>
      </c>
      <c r="FA20" s="266" t="str">
        <f t="shared" si="133"/>
        <v/>
      </c>
      <c r="FB20" s="267" t="str">
        <f t="shared" si="134"/>
        <v/>
      </c>
      <c r="FC20" s="269" t="str">
        <f t="shared" si="46"/>
        <v/>
      </c>
      <c r="FD20" s="4" t="str">
        <f t="shared" si="135"/>
        <v/>
      </c>
      <c r="FE20" s="5" t="str">
        <f t="shared" si="47"/>
        <v/>
      </c>
      <c r="FF20" s="7" t="str">
        <f t="shared" si="209"/>
        <v/>
      </c>
      <c r="FG20" s="173" t="str">
        <f t="shared" si="210"/>
        <v/>
      </c>
      <c r="FH20" s="5" t="str">
        <f t="shared" si="48"/>
        <v/>
      </c>
      <c r="FI20" s="10" t="str">
        <f t="shared" si="49"/>
        <v/>
      </c>
      <c r="FJ20" s="279" t="str">
        <f t="shared" si="211"/>
        <v/>
      </c>
      <c r="FK20" s="4" t="str">
        <f t="shared" si="50"/>
        <v/>
      </c>
      <c r="FL20" s="5" t="str">
        <f t="shared" si="212"/>
        <v/>
      </c>
      <c r="FM20" s="8" t="str">
        <f t="shared" si="213"/>
        <v/>
      </c>
      <c r="FN20" s="9" t="str">
        <f t="shared" si="214"/>
        <v/>
      </c>
      <c r="FO20" s="10" t="str">
        <f t="shared" si="51"/>
        <v/>
      </c>
      <c r="FP20" s="277" t="str">
        <f t="shared" si="52"/>
        <v/>
      </c>
      <c r="FQ20" s="173" t="str">
        <f t="shared" si="241"/>
        <v/>
      </c>
      <c r="FR20" s="10" t="str">
        <f t="shared" si="215"/>
        <v/>
      </c>
      <c r="FS20" s="9" t="str">
        <f t="shared" si="216"/>
        <v/>
      </c>
      <c r="FT20" s="6" t="str">
        <f t="shared" si="217"/>
        <v/>
      </c>
      <c r="FU20" s="4" t="str">
        <f t="shared" si="218"/>
        <v/>
      </c>
      <c r="FV20" s="5" t="str">
        <f t="shared" si="219"/>
        <v/>
      </c>
      <c r="FW20" s="8" t="str">
        <f t="shared" si="242"/>
        <v/>
      </c>
      <c r="FX20" s="9" t="str">
        <f t="shared" si="243"/>
        <v/>
      </c>
      <c r="FY20" s="10" t="str">
        <f t="shared" si="53"/>
        <v/>
      </c>
      <c r="FZ20" s="277" t="str">
        <f t="shared" si="244"/>
        <v/>
      </c>
      <c r="GA20" s="177" t="str">
        <f t="shared" si="220"/>
        <v/>
      </c>
      <c r="GB20" s="4" t="str">
        <f t="shared" si="221"/>
        <v/>
      </c>
      <c r="GC20" s="5" t="str">
        <f t="shared" si="222"/>
        <v/>
      </c>
      <c r="GD20" s="10" t="str">
        <f t="shared" si="223"/>
        <v/>
      </c>
      <c r="GE20" s="311" t="str">
        <f t="shared" si="224"/>
        <v/>
      </c>
      <c r="GF20" s="341" t="str">
        <f t="shared" si="245"/>
        <v/>
      </c>
      <c r="GG20" s="285" t="str">
        <f t="shared" si="54"/>
        <v/>
      </c>
      <c r="GH20" s="286" t="str">
        <f t="shared" si="55"/>
        <v/>
      </c>
      <c r="GI20" s="281" t="str">
        <f t="shared" si="56"/>
        <v/>
      </c>
      <c r="GJ20" s="167" t="str">
        <f t="shared" si="225"/>
        <v/>
      </c>
      <c r="GK20" s="174" t="str">
        <f t="shared" si="57"/>
        <v/>
      </c>
      <c r="GL20" s="174" t="str">
        <f t="shared" si="226"/>
        <v/>
      </c>
      <c r="GM20" s="177" t="str">
        <f t="shared" si="246"/>
        <v/>
      </c>
      <c r="GN20" s="280" t="str">
        <f t="shared" si="227"/>
        <v/>
      </c>
      <c r="GO20" s="4" t="str">
        <f t="shared" si="228"/>
        <v/>
      </c>
      <c r="GP20" s="8" t="str">
        <f t="shared" si="247"/>
        <v/>
      </c>
      <c r="GQ20" s="177" t="str">
        <f t="shared" si="229"/>
        <v/>
      </c>
      <c r="GR20" s="371" t="str">
        <f t="shared" si="248"/>
        <v/>
      </c>
      <c r="GS20" s="342" t="str">
        <f t="shared" si="59"/>
        <v/>
      </c>
      <c r="GT20" s="343" t="str">
        <f t="shared" si="60"/>
        <v/>
      </c>
      <c r="GU20" s="344" t="str">
        <f t="shared" si="61"/>
        <v/>
      </c>
      <c r="GV20" s="343" t="str">
        <f t="shared" si="251"/>
        <v/>
      </c>
      <c r="GW20" s="345" t="str">
        <f t="shared" si="62"/>
        <v/>
      </c>
      <c r="GX20" s="346" t="str">
        <f t="shared" si="63"/>
        <v/>
      </c>
      <c r="GY20" s="344" t="str">
        <f t="shared" si="64"/>
        <v/>
      </c>
      <c r="GZ20" s="345" t="str">
        <f t="shared" si="65"/>
        <v/>
      </c>
      <c r="HA20" s="342" t="str">
        <f t="shared" si="66"/>
        <v/>
      </c>
      <c r="HB20" s="5" t="str">
        <f t="shared" si="230"/>
        <v/>
      </c>
      <c r="HC20" s="343" t="str">
        <f t="shared" si="231"/>
        <v/>
      </c>
      <c r="HD20" s="345" t="str">
        <f t="shared" si="232"/>
        <v/>
      </c>
      <c r="HE20" s="344" t="str">
        <f t="shared" si="67"/>
        <v/>
      </c>
      <c r="HF20" s="5" t="str">
        <f t="shared" si="68"/>
        <v/>
      </c>
      <c r="HG20" s="343" t="str">
        <f t="shared" si="233"/>
        <v/>
      </c>
      <c r="HH20" s="349" t="str">
        <f t="shared" si="234"/>
        <v/>
      </c>
      <c r="HI20" s="317" t="str">
        <f t="shared" si="69"/>
        <v/>
      </c>
      <c r="HJ20" s="336"/>
      <c r="HK20" s="310" t="str">
        <f t="shared" si="136"/>
        <v/>
      </c>
      <c r="HL20" s="348" t="str">
        <f t="shared" si="70"/>
        <v/>
      </c>
      <c r="HM20" s="923" t="str">
        <f t="shared" si="71"/>
        <v/>
      </c>
      <c r="HN20" s="924" t="str">
        <f t="shared" si="72"/>
        <v/>
      </c>
      <c r="HO20" s="925"/>
      <c r="HP20" s="926"/>
      <c r="HQ20" s="924" t="str">
        <f t="shared" si="73"/>
        <v/>
      </c>
      <c r="HR20" s="927" t="str">
        <f t="shared" si="74"/>
        <v/>
      </c>
      <c r="HS20" s="879" t="str">
        <f t="shared" si="249"/>
        <v/>
      </c>
      <c r="HT20" s="889" t="str">
        <f t="shared" si="75"/>
        <v/>
      </c>
      <c r="HU20" s="890" t="str">
        <f t="shared" si="76"/>
        <v/>
      </c>
      <c r="HV20" s="886" t="str">
        <f t="shared" si="77"/>
        <v/>
      </c>
      <c r="HW20" s="880" t="str">
        <f t="shared" si="78"/>
        <v/>
      </c>
      <c r="HX20" s="881" t="str">
        <f t="shared" si="79"/>
        <v/>
      </c>
      <c r="HY20" s="880" t="str">
        <f t="shared" si="80"/>
        <v/>
      </c>
      <c r="HZ20" s="882" t="str">
        <f t="shared" si="81"/>
        <v/>
      </c>
      <c r="IA20" s="883" t="str">
        <f t="shared" si="82"/>
        <v/>
      </c>
      <c r="IB20" s="884" t="str">
        <f t="shared" si="83"/>
        <v/>
      </c>
      <c r="IC20" s="855" t="str">
        <f t="shared" si="84"/>
        <v/>
      </c>
      <c r="ID20" s="351" t="str">
        <f t="shared" si="85"/>
        <v/>
      </c>
      <c r="IE20" s="857" t="str">
        <f t="shared" si="86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5"/>
        <v>2.12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7"/>
        <v>1313</v>
      </c>
      <c r="IM20" s="482" t="str">
        <f t="shared" si="236"/>
        <v/>
      </c>
      <c r="IN20" s="670" t="str">
        <f t="shared" si="89"/>
        <v/>
      </c>
      <c r="IO20" s="702">
        <v>9.7597569082962608E-3</v>
      </c>
      <c r="IP20" s="5" t="str">
        <f t="shared" si="90"/>
        <v/>
      </c>
      <c r="IQ20" s="714">
        <v>300</v>
      </c>
      <c r="IR20" s="9" t="str">
        <f t="shared" si="137"/>
        <v/>
      </c>
      <c r="IS20" s="5" t="str">
        <f t="shared" si="91"/>
        <v/>
      </c>
      <c r="IT20" s="5" t="str">
        <f t="shared" si="92"/>
        <v/>
      </c>
      <c r="IU20" s="5" t="str">
        <f t="shared" si="93"/>
        <v/>
      </c>
      <c r="IV20" s="670" t="str">
        <f t="shared" si="94"/>
        <v/>
      </c>
      <c r="IW20" s="9" t="str">
        <f t="shared" si="95"/>
        <v/>
      </c>
      <c r="IX20" s="5" t="str">
        <f t="shared" si="96"/>
        <v/>
      </c>
      <c r="IY20" s="5" t="str">
        <f t="shared" si="97"/>
        <v/>
      </c>
      <c r="IZ20" s="5" t="str">
        <f t="shared" si="98"/>
        <v/>
      </c>
      <c r="JA20" s="705" t="str">
        <f t="shared" si="99"/>
        <v/>
      </c>
      <c r="JC20" s="31"/>
      <c r="JD20" s="1093" t="s">
        <v>360</v>
      </c>
      <c r="JE20" s="1094"/>
      <c r="JF20" s="1094"/>
      <c r="JG20" s="1094"/>
      <c r="JH20" s="1301" t="s">
        <v>361</v>
      </c>
      <c r="JI20" s="1302"/>
      <c r="JJ20" s="1302"/>
      <c r="JK20" s="1303"/>
    </row>
    <row r="21" spans="1:271" ht="15" customHeight="1" x14ac:dyDescent="0.25">
      <c r="A21" s="75">
        <f t="shared" si="1"/>
        <v>0</v>
      </c>
      <c r="B21" s="578">
        <f t="shared" si="2"/>
        <v>0.66458422513313709</v>
      </c>
      <c r="C21" s="572">
        <f t="shared" si="3"/>
        <v>-0.42972243956916201</v>
      </c>
      <c r="D21" s="576">
        <f t="shared" si="4"/>
        <v>-0.4889</v>
      </c>
      <c r="E21" s="580">
        <f t="shared" si="5"/>
        <v>0.54851387399083507</v>
      </c>
      <c r="F21" s="572">
        <f t="shared" si="6"/>
        <v>0.78335899581040569</v>
      </c>
      <c r="G21" s="579">
        <f t="shared" si="7"/>
        <v>0.29237170472273688</v>
      </c>
      <c r="H21" s="580">
        <f t="shared" si="8"/>
        <v>0.3125</v>
      </c>
      <c r="I21" s="572">
        <f t="shared" si="9"/>
        <v>0.52</v>
      </c>
      <c r="J21" s="483">
        <f t="shared" si="10"/>
        <v>3.1030000000000002</v>
      </c>
      <c r="K21" s="806">
        <f t="shared" si="11"/>
        <v>1613</v>
      </c>
      <c r="L21" s="719" t="s">
        <v>358</v>
      </c>
      <c r="M21" s="164">
        <f t="shared" si="12"/>
        <v>3.1030000000000002</v>
      </c>
      <c r="N21" s="575">
        <f t="shared" si="13"/>
        <v>0.66458422513313709</v>
      </c>
      <c r="O21" s="572">
        <f t="shared" si="14"/>
        <v>-0.42972243956916201</v>
      </c>
      <c r="P21" s="576">
        <f t="shared" si="15"/>
        <v>-0.4889</v>
      </c>
      <c r="Q21" s="528">
        <f t="shared" si="138"/>
        <v>327.11315266045165</v>
      </c>
      <c r="R21" s="572">
        <f>IF(M21="","",SQRT(N21^2+O21^2))</f>
        <v>0.7914123876747724</v>
      </c>
      <c r="S21" s="577">
        <f>IF(M21="","",P21)</f>
        <v>-0.4889</v>
      </c>
      <c r="T21" s="578">
        <f>IF(M21="","",X21*COS(RADIANS(W21)))</f>
        <v>-0.42275974385909332</v>
      </c>
      <c r="U21" s="572">
        <f>IF(M21="","",X21*SIN(RADIANS(W21)))</f>
        <v>-0.66903495150648007</v>
      </c>
      <c r="V21" s="579">
        <f>IF(M21="","",Y21)</f>
        <v>-0.4889</v>
      </c>
      <c r="W21" s="528">
        <f t="shared" si="252"/>
        <v>237.71141858311609</v>
      </c>
      <c r="X21" s="572">
        <f>IF(M21="","",R21)</f>
        <v>0.7914123876747724</v>
      </c>
      <c r="Y21" s="573">
        <f t="shared" si="253"/>
        <v>-0.4889</v>
      </c>
      <c r="Z21" s="575">
        <f t="shared" si="18"/>
        <v>-0.54851387399083507</v>
      </c>
      <c r="AA21" s="572">
        <f t="shared" si="19"/>
        <v>-0.78335899581040569</v>
      </c>
      <c r="AB21" s="572">
        <f t="shared" si="20"/>
        <v>-0.29237170472273688</v>
      </c>
      <c r="AC21" s="579">
        <f>IF(M21="","",SQRT(Z21^2+AA21^2+AB21^2))</f>
        <v>1</v>
      </c>
      <c r="AD21" s="580">
        <f>IF(M21="","",Z21*(1/SQRT(Z21^2+AA21^2+AB21^2)))</f>
        <v>-0.54851387399083507</v>
      </c>
      <c r="AE21" s="572">
        <f>IF(M21="","",AA21*(1/SQRT(Z21^2+AA21^2+AB21^2)))</f>
        <v>-0.78335899581040569</v>
      </c>
      <c r="AF21" s="576">
        <f>IF(M21="","",AB21*(1/SQRT(Z21^2+AA21^2+AB21^2)))</f>
        <v>-0.29237170472273688</v>
      </c>
      <c r="AG21" s="545">
        <f>IF(M21="","",DEGREES(ATAN2(-AF21,AE21)))</f>
        <v>-69.533005131982506</v>
      </c>
      <c r="AH21" s="546">
        <f>IF(M21="","",DEGREES(ACOS(AD21)))</f>
        <v>123.26511813942042</v>
      </c>
      <c r="AI21" s="528">
        <f>IF(M21="","",DEGREES(-ACOS(-AF21)))</f>
        <v>-72.999999999999986</v>
      </c>
      <c r="AJ21" s="529">
        <f>IF(M21="","",DEGREES(ATAN2(-AE21,AD21)))</f>
        <v>-35.000000000000028</v>
      </c>
      <c r="AK21" s="578">
        <f>IF(M21="","",(COS(RADIANS((90-$Q$8)-W21))*AD21)+(-SIN(RADIANS((90-$Q$8)-W21))*AE21))</f>
        <v>0.95565442628806752</v>
      </c>
      <c r="AL21" s="572">
        <f>IF(M21="","",(SIN(RADIANS((90-$Q$8)-W21))*AD21)+(COS(RADIANS((90-$Q$8)-W21))*AE21))</f>
        <v>-3.5261931222569709E-2</v>
      </c>
      <c r="AM21" s="577">
        <f>IF(M21="","",AF21)</f>
        <v>-0.29237170472273688</v>
      </c>
      <c r="AN21" s="524">
        <f>IF(M21="","",DEGREES(ATAN2(-AM21,AL21)))</f>
        <v>-6.8770281676051894</v>
      </c>
      <c r="AO21" s="525">
        <f>IF(ROUND(IF(M21="",0,DEGREES(ACOS(AK21))),4)=90,0,IF(M21="","",DEGREES(ACOS(AK21))))</f>
        <v>17.126984270285</v>
      </c>
      <c r="AP21" s="528">
        <f>IF(M21="","",DEGREES(ATAN2(AK21,AL21)))</f>
        <v>-2.1131526604516679</v>
      </c>
      <c r="AQ21" s="529">
        <f t="shared" si="21"/>
        <v>2.8781565740991688</v>
      </c>
      <c r="AS21" s="946">
        <f t="shared" si="141"/>
        <v>-122.28858141688391</v>
      </c>
      <c r="AT21" s="942">
        <f t="shared" si="22"/>
        <v>-0.39970385808698505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2"/>
        <v/>
      </c>
      <c r="BA21" s="296" t="str">
        <f t="shared" si="24"/>
        <v/>
      </c>
      <c r="BB21" s="190" t="str">
        <f t="shared" si="143"/>
        <v/>
      </c>
      <c r="BC21" s="9"/>
      <c r="BD21" s="5" t="str">
        <f t="shared" si="144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5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6"/>
        <v/>
      </c>
      <c r="BP21" s="5" t="str">
        <f t="shared" si="147"/>
        <v/>
      </c>
      <c r="BQ21" s="5" t="str">
        <f t="shared" si="148"/>
        <v/>
      </c>
      <c r="BR21" s="6" t="str">
        <f t="shared" si="149"/>
        <v/>
      </c>
      <c r="BS21" s="4" t="str">
        <f t="shared" si="117"/>
        <v/>
      </c>
      <c r="BT21" s="5" t="str">
        <f t="shared" si="117"/>
        <v/>
      </c>
      <c r="BU21" s="10" t="str">
        <f t="shared" si="118"/>
        <v/>
      </c>
      <c r="BV21" s="9" t="str">
        <f t="shared" si="119"/>
        <v/>
      </c>
      <c r="BW21" s="5" t="str">
        <f t="shared" si="120"/>
        <v/>
      </c>
      <c r="BX21" s="8" t="str">
        <f t="shared" si="121"/>
        <v/>
      </c>
      <c r="BY21" s="173" t="str">
        <f t="shared" si="122"/>
        <v/>
      </c>
      <c r="BZ21" s="5" t="str">
        <f t="shared" si="123"/>
        <v/>
      </c>
      <c r="CA21" s="6" t="str">
        <f t="shared" si="124"/>
        <v/>
      </c>
      <c r="CB21" s="4" t="str">
        <f t="shared" si="150"/>
        <v/>
      </c>
      <c r="CC21" s="5" t="str">
        <f t="shared" si="151"/>
        <v/>
      </c>
      <c r="CD21" s="5" t="str">
        <f t="shared" si="152"/>
        <v/>
      </c>
      <c r="CE21" s="6" t="str">
        <f t="shared" si="153"/>
        <v/>
      </c>
      <c r="CF21" s="4" t="str">
        <f t="shared" si="154"/>
        <v/>
      </c>
      <c r="CG21" s="5" t="str">
        <f t="shared" si="155"/>
        <v/>
      </c>
      <c r="CH21" s="5" t="str">
        <f t="shared" si="156"/>
        <v/>
      </c>
      <c r="CI21" s="4" t="str">
        <f t="shared" si="125"/>
        <v/>
      </c>
      <c r="CJ21" s="5" t="str">
        <f>IF(ISNUMBER($AV21),(CD21*BR21-BQ21*CE21)/(BQ21*CC21-CD21*BP21),"")</f>
        <v/>
      </c>
      <c r="CK21" s="8" t="str">
        <f t="shared" si="127"/>
        <v/>
      </c>
      <c r="CL21" s="173" t="str">
        <f t="shared" si="128"/>
        <v/>
      </c>
      <c r="CM21" s="5" t="str">
        <f t="shared" si="129"/>
        <v/>
      </c>
      <c r="CN21" s="6" t="str">
        <f t="shared" si="130"/>
        <v/>
      </c>
      <c r="CO21" s="167" t="str">
        <f t="shared" si="34"/>
        <v/>
      </c>
      <c r="CP21" s="4" t="str">
        <f t="shared" si="238"/>
        <v/>
      </c>
      <c r="CQ21" s="5" t="str">
        <f t="shared" si="239"/>
        <v/>
      </c>
      <c r="CR21" s="5" t="str">
        <f t="shared" si="157"/>
        <v/>
      </c>
      <c r="CS21" s="8" t="str">
        <f t="shared" si="158"/>
        <v/>
      </c>
      <c r="CT21" s="9" t="str">
        <f>IF(ISNUMBER($AV21),(-CQ21+SQRT(CS21))/(CP21*2),"")</f>
        <v/>
      </c>
      <c r="CU21" s="6" t="str">
        <f t="shared" si="160"/>
        <v/>
      </c>
      <c r="CV21" s="4" t="str">
        <f t="shared" si="240"/>
        <v/>
      </c>
      <c r="CW21" s="5" t="str">
        <f t="shared" si="161"/>
        <v/>
      </c>
      <c r="CX21" s="8" t="str">
        <f t="shared" si="162"/>
        <v/>
      </c>
      <c r="CY21" s="9" t="str">
        <f t="shared" si="163"/>
        <v/>
      </c>
      <c r="CZ21" s="5" t="str">
        <f t="shared" si="164"/>
        <v/>
      </c>
      <c r="DA21" s="6" t="str">
        <f t="shared" si="165"/>
        <v/>
      </c>
      <c r="DB21" s="4" t="str">
        <f t="shared" si="166"/>
        <v/>
      </c>
      <c r="DC21" s="5" t="str">
        <f t="shared" si="166"/>
        <v/>
      </c>
      <c r="DD21" s="10" t="str">
        <f t="shared" si="167"/>
        <v/>
      </c>
      <c r="DE21" s="9" t="str">
        <f t="shared" si="168"/>
        <v/>
      </c>
      <c r="DF21" s="5" t="str">
        <f t="shared" si="168"/>
        <v/>
      </c>
      <c r="DG21" s="10" t="str">
        <f t="shared" si="169"/>
        <v/>
      </c>
      <c r="DH21" s="70" t="str">
        <f t="shared" si="170"/>
        <v/>
      </c>
      <c r="DI21" s="4" t="str">
        <f t="shared" si="171"/>
        <v/>
      </c>
      <c r="DJ21" s="5" t="str">
        <f t="shared" si="172"/>
        <v/>
      </c>
      <c r="DK21" s="10" t="str">
        <f t="shared" si="173"/>
        <v/>
      </c>
      <c r="DL21" s="9" t="str">
        <f t="shared" si="174"/>
        <v/>
      </c>
      <c r="DM21" s="173" t="str">
        <f t="shared" si="175"/>
        <v/>
      </c>
      <c r="DN21" s="178" t="str">
        <f t="shared" si="176"/>
        <v/>
      </c>
      <c r="DO21" s="9" t="str">
        <f t="shared" si="177"/>
        <v/>
      </c>
      <c r="DP21" s="173" t="str">
        <f t="shared" si="178"/>
        <v/>
      </c>
      <c r="DQ21" s="11" t="str">
        <f t="shared" si="179"/>
        <v/>
      </c>
      <c r="DR21" s="173" t="str">
        <f t="shared" si="180"/>
        <v/>
      </c>
      <c r="DS21" s="5" t="str">
        <f t="shared" si="181"/>
        <v/>
      </c>
      <c r="DT21" s="5" t="str">
        <f t="shared" si="182"/>
        <v/>
      </c>
      <c r="DU21" s="5" t="str">
        <f t="shared" si="183"/>
        <v/>
      </c>
      <c r="DV21" s="5" t="str">
        <f t="shared" si="184"/>
        <v/>
      </c>
      <c r="DW21" s="5" t="str">
        <f t="shared" si="185"/>
        <v/>
      </c>
      <c r="DX21" s="167" t="str">
        <f t="shared" si="186"/>
        <v/>
      </c>
      <c r="DY21" s="9" t="str">
        <f t="shared" si="187"/>
        <v/>
      </c>
      <c r="DZ21" s="5" t="str">
        <f t="shared" si="188"/>
        <v/>
      </c>
      <c r="EA21" s="10" t="str">
        <f t="shared" si="189"/>
        <v/>
      </c>
      <c r="EB21" s="6" t="str">
        <f t="shared" si="190"/>
        <v/>
      </c>
      <c r="EC21" s="173" t="str">
        <f t="shared" si="191"/>
        <v/>
      </c>
      <c r="ED21" s="5" t="str">
        <f t="shared" si="192"/>
        <v/>
      </c>
      <c r="EE21" s="4" t="str">
        <f t="shared" si="193"/>
        <v/>
      </c>
      <c r="EF21" s="5" t="str">
        <f t="shared" si="194"/>
        <v/>
      </c>
      <c r="EG21" s="10" t="str">
        <f t="shared" si="195"/>
        <v/>
      </c>
      <c r="EH21" s="9" t="str">
        <f t="shared" si="196"/>
        <v/>
      </c>
      <c r="EI21" s="5" t="str">
        <f t="shared" si="197"/>
        <v/>
      </c>
      <c r="EJ21" s="6" t="str">
        <f t="shared" si="198"/>
        <v/>
      </c>
      <c r="EK21" s="236" t="str">
        <f t="shared" si="199"/>
        <v/>
      </c>
      <c r="EL21" s="238" t="str">
        <f t="shared" si="200"/>
        <v/>
      </c>
      <c r="EM21" s="4" t="str">
        <f t="shared" si="201"/>
        <v/>
      </c>
      <c r="EN21" s="5" t="str">
        <f t="shared" si="202"/>
        <v/>
      </c>
      <c r="EO21" s="10" t="str">
        <f t="shared" si="203"/>
        <v/>
      </c>
      <c r="EP21" s="9" t="str">
        <f t="shared" si="204"/>
        <v/>
      </c>
      <c r="EQ21" s="5" t="str">
        <f t="shared" si="205"/>
        <v/>
      </c>
      <c r="ER21" s="7" t="str">
        <f t="shared" si="206"/>
        <v/>
      </c>
      <c r="ES21" s="21" t="str">
        <f t="shared" si="131"/>
        <v/>
      </c>
      <c r="ET21" s="5" t="str">
        <f t="shared" si="43"/>
        <v/>
      </c>
      <c r="EU21" s="10" t="str">
        <f t="shared" si="44"/>
        <v/>
      </c>
      <c r="EV21" s="174" t="str">
        <f t="shared" si="250"/>
        <v/>
      </c>
      <c r="EW21" s="9" t="str">
        <f t="shared" si="132"/>
        <v/>
      </c>
      <c r="EX21" s="5" t="str">
        <f t="shared" si="45"/>
        <v/>
      </c>
      <c r="EY21" s="6" t="str">
        <f t="shared" si="207"/>
        <v/>
      </c>
      <c r="EZ21" s="51" t="str">
        <f t="shared" si="208"/>
        <v/>
      </c>
      <c r="FA21" s="266" t="str">
        <f t="shared" si="133"/>
        <v/>
      </c>
      <c r="FB21" s="267" t="str">
        <f t="shared" si="134"/>
        <v/>
      </c>
      <c r="FC21" s="269" t="str">
        <f t="shared" si="46"/>
        <v/>
      </c>
      <c r="FD21" s="4" t="str">
        <f t="shared" si="135"/>
        <v/>
      </c>
      <c r="FE21" s="5" t="str">
        <f t="shared" si="47"/>
        <v/>
      </c>
      <c r="FF21" s="7" t="str">
        <f t="shared" si="209"/>
        <v/>
      </c>
      <c r="FG21" s="173" t="str">
        <f t="shared" si="210"/>
        <v/>
      </c>
      <c r="FH21" s="5" t="str">
        <f t="shared" si="48"/>
        <v/>
      </c>
      <c r="FI21" s="10" t="str">
        <f t="shared" si="49"/>
        <v/>
      </c>
      <c r="FJ21" s="279" t="str">
        <f t="shared" si="211"/>
        <v/>
      </c>
      <c r="FK21" s="4" t="str">
        <f t="shared" si="50"/>
        <v/>
      </c>
      <c r="FL21" s="5" t="str">
        <f t="shared" si="212"/>
        <v/>
      </c>
      <c r="FM21" s="8" t="str">
        <f t="shared" si="213"/>
        <v/>
      </c>
      <c r="FN21" s="9" t="str">
        <f t="shared" si="214"/>
        <v/>
      </c>
      <c r="FO21" s="10" t="str">
        <f t="shared" si="51"/>
        <v/>
      </c>
      <c r="FP21" s="277" t="str">
        <f t="shared" si="52"/>
        <v/>
      </c>
      <c r="FQ21" s="173" t="str">
        <f t="shared" si="241"/>
        <v/>
      </c>
      <c r="FR21" s="10" t="str">
        <f t="shared" si="215"/>
        <v/>
      </c>
      <c r="FS21" s="9" t="str">
        <f t="shared" si="216"/>
        <v/>
      </c>
      <c r="FT21" s="6" t="str">
        <f t="shared" si="217"/>
        <v/>
      </c>
      <c r="FU21" s="4" t="str">
        <f t="shared" si="218"/>
        <v/>
      </c>
      <c r="FV21" s="5" t="str">
        <f t="shared" si="219"/>
        <v/>
      </c>
      <c r="FW21" s="8" t="str">
        <f t="shared" si="242"/>
        <v/>
      </c>
      <c r="FX21" s="9" t="str">
        <f t="shared" si="243"/>
        <v/>
      </c>
      <c r="FY21" s="10" t="str">
        <f t="shared" si="53"/>
        <v/>
      </c>
      <c r="FZ21" s="277" t="str">
        <f t="shared" si="244"/>
        <v/>
      </c>
      <c r="GA21" s="177" t="str">
        <f t="shared" si="220"/>
        <v/>
      </c>
      <c r="GB21" s="4" t="str">
        <f t="shared" si="221"/>
        <v/>
      </c>
      <c r="GC21" s="5" t="str">
        <f t="shared" si="222"/>
        <v/>
      </c>
      <c r="GD21" s="10" t="str">
        <f t="shared" si="223"/>
        <v/>
      </c>
      <c r="GE21" s="311" t="str">
        <f t="shared" si="224"/>
        <v/>
      </c>
      <c r="GF21" s="341" t="str">
        <f t="shared" si="245"/>
        <v/>
      </c>
      <c r="GG21" s="285" t="str">
        <f t="shared" si="54"/>
        <v/>
      </c>
      <c r="GH21" s="286" t="str">
        <f t="shared" si="55"/>
        <v/>
      </c>
      <c r="GI21" s="281" t="str">
        <f t="shared" si="56"/>
        <v/>
      </c>
      <c r="GJ21" s="167" t="str">
        <f t="shared" si="225"/>
        <v/>
      </c>
      <c r="GK21" s="174" t="str">
        <f t="shared" si="57"/>
        <v/>
      </c>
      <c r="GL21" s="174" t="str">
        <f t="shared" si="226"/>
        <v/>
      </c>
      <c r="GM21" s="177" t="str">
        <f t="shared" si="246"/>
        <v/>
      </c>
      <c r="GN21" s="280" t="str">
        <f t="shared" si="227"/>
        <v/>
      </c>
      <c r="GO21" s="4" t="str">
        <f t="shared" si="228"/>
        <v/>
      </c>
      <c r="GP21" s="8" t="str">
        <f t="shared" si="247"/>
        <v/>
      </c>
      <c r="GQ21" s="177" t="str">
        <f t="shared" si="229"/>
        <v/>
      </c>
      <c r="GR21" s="371" t="str">
        <f t="shared" si="248"/>
        <v/>
      </c>
      <c r="GS21" s="342" t="str">
        <f t="shared" si="59"/>
        <v/>
      </c>
      <c r="GT21" s="343" t="str">
        <f t="shared" si="60"/>
        <v/>
      </c>
      <c r="GU21" s="344" t="str">
        <f t="shared" si="61"/>
        <v/>
      </c>
      <c r="GV21" s="343" t="str">
        <f t="shared" si="251"/>
        <v/>
      </c>
      <c r="GW21" s="345" t="str">
        <f t="shared" si="62"/>
        <v/>
      </c>
      <c r="GX21" s="346" t="str">
        <f t="shared" si="63"/>
        <v/>
      </c>
      <c r="GY21" s="344" t="str">
        <f t="shared" si="64"/>
        <v/>
      </c>
      <c r="GZ21" s="345" t="str">
        <f t="shared" si="65"/>
        <v/>
      </c>
      <c r="HA21" s="342" t="str">
        <f t="shared" si="66"/>
        <v/>
      </c>
      <c r="HB21" s="5" t="str">
        <f t="shared" si="230"/>
        <v/>
      </c>
      <c r="HC21" s="343" t="str">
        <f t="shared" si="231"/>
        <v/>
      </c>
      <c r="HD21" s="345" t="str">
        <f t="shared" si="232"/>
        <v/>
      </c>
      <c r="HE21" s="344" t="str">
        <f t="shared" si="67"/>
        <v/>
      </c>
      <c r="HF21" s="5" t="str">
        <f t="shared" si="68"/>
        <v/>
      </c>
      <c r="HG21" s="343" t="str">
        <f t="shared" si="233"/>
        <v/>
      </c>
      <c r="HH21" s="349" t="str">
        <f t="shared" si="234"/>
        <v/>
      </c>
      <c r="HI21" s="317" t="str">
        <f t="shared" si="69"/>
        <v/>
      </c>
      <c r="HJ21" s="336"/>
      <c r="HK21" s="310" t="str">
        <f t="shared" si="136"/>
        <v/>
      </c>
      <c r="HL21" s="348" t="str">
        <f t="shared" si="70"/>
        <v/>
      </c>
      <c r="HM21" s="923" t="str">
        <f t="shared" si="71"/>
        <v/>
      </c>
      <c r="HN21" s="924" t="str">
        <f t="shared" si="72"/>
        <v/>
      </c>
      <c r="HO21" s="925"/>
      <c r="HP21" s="926"/>
      <c r="HQ21" s="924" t="str">
        <f t="shared" si="73"/>
        <v/>
      </c>
      <c r="HR21" s="927" t="str">
        <f t="shared" si="74"/>
        <v/>
      </c>
      <c r="HS21" s="879" t="str">
        <f t="shared" si="249"/>
        <v/>
      </c>
      <c r="HT21" s="889" t="str">
        <f t="shared" si="75"/>
        <v/>
      </c>
      <c r="HU21" s="890" t="str">
        <f t="shared" si="76"/>
        <v/>
      </c>
      <c r="HV21" s="886" t="str">
        <f t="shared" si="77"/>
        <v/>
      </c>
      <c r="HW21" s="880" t="str">
        <f t="shared" si="78"/>
        <v/>
      </c>
      <c r="HX21" s="881" t="str">
        <f t="shared" si="79"/>
        <v/>
      </c>
      <c r="HY21" s="880" t="str">
        <f t="shared" si="80"/>
        <v/>
      </c>
      <c r="HZ21" s="882" t="str">
        <f t="shared" si="81"/>
        <v/>
      </c>
      <c r="IA21" s="883" t="str">
        <f t="shared" si="82"/>
        <v/>
      </c>
      <c r="IB21" s="884" t="str">
        <f t="shared" si="83"/>
        <v/>
      </c>
      <c r="IC21" s="855" t="str">
        <f t="shared" si="84"/>
        <v/>
      </c>
      <c r="ID21" s="351" t="str">
        <f t="shared" si="85"/>
        <v/>
      </c>
      <c r="IE21" s="857" t="str">
        <f t="shared" si="86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5"/>
        <v>3.1030000000000002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7"/>
        <v>1613</v>
      </c>
      <c r="IM21" s="482" t="str">
        <f t="shared" si="236"/>
        <v/>
      </c>
      <c r="IN21" s="670" t="str">
        <f t="shared" si="89"/>
        <v/>
      </c>
      <c r="IO21" s="702">
        <v>8.8113349616639695E-3</v>
      </c>
      <c r="IP21" s="5" t="str">
        <f t="shared" si="90"/>
        <v/>
      </c>
      <c r="IQ21" s="714">
        <v>340</v>
      </c>
      <c r="IR21" s="9" t="str">
        <f t="shared" si="137"/>
        <v/>
      </c>
      <c r="IS21" s="5" t="str">
        <f t="shared" si="91"/>
        <v/>
      </c>
      <c r="IT21" s="5" t="str">
        <f t="shared" si="92"/>
        <v/>
      </c>
      <c r="IU21" s="5" t="str">
        <f t="shared" si="93"/>
        <v/>
      </c>
      <c r="IV21" s="670" t="str">
        <f t="shared" si="94"/>
        <v/>
      </c>
      <c r="IW21" s="9" t="str">
        <f t="shared" si="95"/>
        <v/>
      </c>
      <c r="IX21" s="5" t="str">
        <f t="shared" si="96"/>
        <v/>
      </c>
      <c r="IY21" s="5" t="str">
        <f t="shared" si="97"/>
        <v/>
      </c>
      <c r="IZ21" s="5" t="str">
        <f t="shared" si="98"/>
        <v/>
      </c>
      <c r="JA21" s="705" t="str">
        <f t="shared" si="99"/>
        <v/>
      </c>
      <c r="JC21" s="708"/>
      <c r="JD21" s="1095"/>
      <c r="JE21" s="1096"/>
      <c r="JF21" s="1096"/>
      <c r="JG21" s="1096"/>
      <c r="JH21" s="1304" t="s">
        <v>349</v>
      </c>
      <c r="JI21" s="1305"/>
      <c r="JJ21" s="1097" t="s">
        <v>362</v>
      </c>
      <c r="JK21" s="1098"/>
    </row>
    <row r="22" spans="1:271" ht="15" customHeight="1" thickBot="1" x14ac:dyDescent="0.3">
      <c r="A22" s="75">
        <f t="shared" si="1"/>
        <v>0</v>
      </c>
      <c r="B22" s="578">
        <f t="shared" si="2"/>
        <v>1.271657805155709</v>
      </c>
      <c r="C22" s="572">
        <f t="shared" si="3"/>
        <v>-0.85479993654892239</v>
      </c>
      <c r="D22" s="576">
        <f t="shared" si="4"/>
        <v>-0.29039999999999999</v>
      </c>
      <c r="E22" s="580">
        <f t="shared" si="5"/>
        <v>0.55403229322232361</v>
      </c>
      <c r="F22" s="572">
        <f t="shared" si="6"/>
        <v>0.79124011523622373</v>
      </c>
      <c r="G22" s="579">
        <f t="shared" si="7"/>
        <v>0.25881904510252074</v>
      </c>
      <c r="H22" s="580">
        <f t="shared" si="8"/>
        <v>0.3125</v>
      </c>
      <c r="I22" s="572">
        <f t="shared" si="9"/>
        <v>0.52</v>
      </c>
      <c r="J22" s="483">
        <f t="shared" si="10"/>
        <v>3.1059999999999999</v>
      </c>
      <c r="K22" s="806">
        <f t="shared" si="11"/>
        <v>1613</v>
      </c>
      <c r="L22" s="814" t="str">
        <f>IF($L21=$JJ$22,$JJ$30,IF($L21=$JK$22,$JK$30,""))</f>
        <v/>
      </c>
      <c r="M22" s="164">
        <f t="shared" si="12"/>
        <v>3.1059999999999999</v>
      </c>
      <c r="N22" s="575">
        <f t="shared" si="13"/>
        <v>1.271657805155709</v>
      </c>
      <c r="O22" s="572">
        <f t="shared" si="14"/>
        <v>-0.85479993654892239</v>
      </c>
      <c r="P22" s="576">
        <f t="shared" si="15"/>
        <v>-0.29039999999999999</v>
      </c>
      <c r="Q22" s="528">
        <f t="shared" si="138"/>
        <v>326.09126766351221</v>
      </c>
      <c r="R22" s="572">
        <f t="shared" si="100"/>
        <v>1.5322521022786939</v>
      </c>
      <c r="S22" s="577">
        <f t="shared" si="101"/>
        <v>-0.29039999999999999</v>
      </c>
      <c r="T22" s="578">
        <f t="shared" si="102"/>
        <v>-0.84147529691875467</v>
      </c>
      <c r="U22" s="572">
        <f t="shared" si="103"/>
        <v>-1.2805138927840536</v>
      </c>
      <c r="V22" s="579">
        <f t="shared" si="139"/>
        <v>-0.29039999999999999</v>
      </c>
      <c r="W22" s="528">
        <f t="shared" si="252"/>
        <v>236.68953358617665</v>
      </c>
      <c r="X22" s="572">
        <f t="shared" si="104"/>
        <v>1.5322521022786939</v>
      </c>
      <c r="Y22" s="573">
        <f t="shared" si="253"/>
        <v>-0.29039999999999999</v>
      </c>
      <c r="Z22" s="575">
        <f t="shared" si="18"/>
        <v>-0.55403229322232361</v>
      </c>
      <c r="AA22" s="572">
        <f t="shared" si="19"/>
        <v>-0.79124011523622373</v>
      </c>
      <c r="AB22" s="572">
        <f t="shared" si="20"/>
        <v>-0.25881904510252074</v>
      </c>
      <c r="AC22" s="579">
        <f t="shared" si="105"/>
        <v>1</v>
      </c>
      <c r="AD22" s="580">
        <f t="shared" si="140"/>
        <v>-0.55403229322232361</v>
      </c>
      <c r="AE22" s="572">
        <f t="shared" si="106"/>
        <v>-0.79124011523622373</v>
      </c>
      <c r="AF22" s="576">
        <f t="shared" si="107"/>
        <v>-0.25881904510252074</v>
      </c>
      <c r="AG22" s="545">
        <f t="shared" si="108"/>
        <v>-71.886791265237349</v>
      </c>
      <c r="AH22" s="546">
        <f t="shared" si="109"/>
        <v>123.64408738086664</v>
      </c>
      <c r="AI22" s="528">
        <f t="shared" si="110"/>
        <v>-75</v>
      </c>
      <c r="AJ22" s="529">
        <f t="shared" si="111"/>
        <v>-35.000000000000014</v>
      </c>
      <c r="AK22" s="578">
        <f t="shared" si="237"/>
        <v>0.96575063280010687</v>
      </c>
      <c r="AL22" s="572">
        <f t="shared" si="112"/>
        <v>-1.8396117482025076E-2</v>
      </c>
      <c r="AM22" s="577">
        <f t="shared" si="113"/>
        <v>-0.25881904510252074</v>
      </c>
      <c r="AN22" s="524">
        <f t="shared" si="114"/>
        <v>-4.0655829489435709</v>
      </c>
      <c r="AO22" s="525">
        <f t="shared" si="115"/>
        <v>15.038734403614487</v>
      </c>
      <c r="AP22" s="528">
        <f t="shared" si="116"/>
        <v>-1.0912676635122278</v>
      </c>
      <c r="AQ22" s="529">
        <f t="shared" si="21"/>
        <v>1.4874930968306943</v>
      </c>
      <c r="AS22" s="946">
        <f t="shared" si="141"/>
        <v>-123.31046641382335</v>
      </c>
      <c r="AT22" s="942">
        <f t="shared" si="22"/>
        <v>-0.20049421572799936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2"/>
        <v/>
      </c>
      <c r="BA22" s="296" t="str">
        <f t="shared" si="24"/>
        <v/>
      </c>
      <c r="BB22" s="190" t="str">
        <f t="shared" si="143"/>
        <v/>
      </c>
      <c r="BC22" s="9"/>
      <c r="BD22" s="5" t="str">
        <f t="shared" si="144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5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6"/>
        <v/>
      </c>
      <c r="BP22" s="5" t="str">
        <f t="shared" si="147"/>
        <v/>
      </c>
      <c r="BQ22" s="5" t="str">
        <f t="shared" si="148"/>
        <v/>
      </c>
      <c r="BR22" s="6" t="str">
        <f t="shared" si="149"/>
        <v/>
      </c>
      <c r="BS22" s="4" t="str">
        <f t="shared" si="117"/>
        <v/>
      </c>
      <c r="BT22" s="5" t="str">
        <f t="shared" si="117"/>
        <v/>
      </c>
      <c r="BU22" s="10" t="str">
        <f t="shared" si="118"/>
        <v/>
      </c>
      <c r="BV22" s="9" t="str">
        <f t="shared" si="119"/>
        <v/>
      </c>
      <c r="BW22" s="5" t="str">
        <f t="shared" si="120"/>
        <v/>
      </c>
      <c r="BX22" s="8" t="str">
        <f t="shared" si="121"/>
        <v/>
      </c>
      <c r="BY22" s="173" t="str">
        <f t="shared" si="122"/>
        <v/>
      </c>
      <c r="BZ22" s="5" t="str">
        <f t="shared" si="123"/>
        <v/>
      </c>
      <c r="CA22" s="6" t="str">
        <f t="shared" si="124"/>
        <v/>
      </c>
      <c r="CB22" s="4" t="str">
        <f t="shared" si="150"/>
        <v/>
      </c>
      <c r="CC22" s="5" t="str">
        <f t="shared" si="151"/>
        <v/>
      </c>
      <c r="CD22" s="5" t="str">
        <f t="shared" si="152"/>
        <v/>
      </c>
      <c r="CE22" s="6" t="str">
        <f t="shared" si="153"/>
        <v/>
      </c>
      <c r="CF22" s="4" t="str">
        <f t="shared" si="154"/>
        <v/>
      </c>
      <c r="CG22" s="5" t="str">
        <f t="shared" si="155"/>
        <v/>
      </c>
      <c r="CH22" s="5" t="str">
        <f t="shared" si="156"/>
        <v/>
      </c>
      <c r="CI22" s="4" t="str">
        <f t="shared" si="125"/>
        <v/>
      </c>
      <c r="CJ22" s="5" t="str">
        <f t="shared" si="126"/>
        <v/>
      </c>
      <c r="CK22" s="8" t="str">
        <f t="shared" si="127"/>
        <v/>
      </c>
      <c r="CL22" s="173" t="str">
        <f t="shared" si="128"/>
        <v/>
      </c>
      <c r="CM22" s="5" t="str">
        <f t="shared" si="129"/>
        <v/>
      </c>
      <c r="CN22" s="6" t="str">
        <f t="shared" si="130"/>
        <v/>
      </c>
      <c r="CO22" s="167" t="str">
        <f t="shared" si="34"/>
        <v/>
      </c>
      <c r="CP22" s="4" t="str">
        <f t="shared" si="238"/>
        <v/>
      </c>
      <c r="CQ22" s="5" t="str">
        <f t="shared" si="239"/>
        <v/>
      </c>
      <c r="CR22" s="5" t="str">
        <f t="shared" si="157"/>
        <v/>
      </c>
      <c r="CS22" s="8" t="str">
        <f t="shared" si="158"/>
        <v/>
      </c>
      <c r="CT22" s="9" t="str">
        <f t="shared" si="159"/>
        <v/>
      </c>
      <c r="CU22" s="6" t="str">
        <f t="shared" si="160"/>
        <v/>
      </c>
      <c r="CV22" s="4" t="str">
        <f t="shared" si="240"/>
        <v/>
      </c>
      <c r="CW22" s="5" t="str">
        <f t="shared" si="161"/>
        <v/>
      </c>
      <c r="CX22" s="8" t="str">
        <f t="shared" si="162"/>
        <v/>
      </c>
      <c r="CY22" s="9" t="str">
        <f t="shared" si="163"/>
        <v/>
      </c>
      <c r="CZ22" s="5" t="str">
        <f t="shared" si="164"/>
        <v/>
      </c>
      <c r="DA22" s="6" t="str">
        <f t="shared" si="165"/>
        <v/>
      </c>
      <c r="DB22" s="4" t="str">
        <f t="shared" si="166"/>
        <v/>
      </c>
      <c r="DC22" s="5" t="str">
        <f t="shared" si="166"/>
        <v/>
      </c>
      <c r="DD22" s="10" t="str">
        <f t="shared" si="167"/>
        <v/>
      </c>
      <c r="DE22" s="9" t="str">
        <f t="shared" si="168"/>
        <v/>
      </c>
      <c r="DF22" s="5" t="str">
        <f t="shared" si="168"/>
        <v/>
      </c>
      <c r="DG22" s="10" t="str">
        <f t="shared" si="169"/>
        <v/>
      </c>
      <c r="DH22" s="70" t="str">
        <f t="shared" si="170"/>
        <v/>
      </c>
      <c r="DI22" s="4" t="str">
        <f t="shared" si="171"/>
        <v/>
      </c>
      <c r="DJ22" s="5" t="str">
        <f t="shared" si="172"/>
        <v/>
      </c>
      <c r="DK22" s="10" t="str">
        <f t="shared" si="173"/>
        <v/>
      </c>
      <c r="DL22" s="9" t="str">
        <f t="shared" si="174"/>
        <v/>
      </c>
      <c r="DM22" s="173" t="str">
        <f t="shared" si="175"/>
        <v/>
      </c>
      <c r="DN22" s="178" t="str">
        <f t="shared" si="176"/>
        <v/>
      </c>
      <c r="DO22" s="9" t="str">
        <f t="shared" si="177"/>
        <v/>
      </c>
      <c r="DP22" s="173" t="str">
        <f t="shared" si="178"/>
        <v/>
      </c>
      <c r="DQ22" s="11" t="str">
        <f t="shared" si="179"/>
        <v/>
      </c>
      <c r="DR22" s="173" t="str">
        <f t="shared" si="180"/>
        <v/>
      </c>
      <c r="DS22" s="5" t="str">
        <f t="shared" si="181"/>
        <v/>
      </c>
      <c r="DT22" s="5" t="str">
        <f t="shared" si="182"/>
        <v/>
      </c>
      <c r="DU22" s="5" t="str">
        <f t="shared" si="183"/>
        <v/>
      </c>
      <c r="DV22" s="5" t="str">
        <f t="shared" si="184"/>
        <v/>
      </c>
      <c r="DW22" s="5" t="str">
        <f t="shared" si="185"/>
        <v/>
      </c>
      <c r="DX22" s="167" t="str">
        <f t="shared" si="186"/>
        <v/>
      </c>
      <c r="DY22" s="9" t="str">
        <f t="shared" si="187"/>
        <v/>
      </c>
      <c r="DZ22" s="5" t="str">
        <f t="shared" si="188"/>
        <v/>
      </c>
      <c r="EA22" s="10" t="str">
        <f t="shared" si="189"/>
        <v/>
      </c>
      <c r="EB22" s="6" t="str">
        <f t="shared" si="190"/>
        <v/>
      </c>
      <c r="EC22" s="173" t="str">
        <f t="shared" si="191"/>
        <v/>
      </c>
      <c r="ED22" s="5" t="str">
        <f t="shared" si="192"/>
        <v/>
      </c>
      <c r="EE22" s="4" t="str">
        <f t="shared" si="193"/>
        <v/>
      </c>
      <c r="EF22" s="5" t="str">
        <f t="shared" si="194"/>
        <v/>
      </c>
      <c r="EG22" s="10" t="str">
        <f t="shared" si="195"/>
        <v/>
      </c>
      <c r="EH22" s="9" t="str">
        <f t="shared" si="196"/>
        <v/>
      </c>
      <c r="EI22" s="5" t="str">
        <f t="shared" si="197"/>
        <v/>
      </c>
      <c r="EJ22" s="6" t="str">
        <f t="shared" si="198"/>
        <v/>
      </c>
      <c r="EK22" s="236" t="str">
        <f t="shared" si="199"/>
        <v/>
      </c>
      <c r="EL22" s="238" t="str">
        <f t="shared" si="200"/>
        <v/>
      </c>
      <c r="EM22" s="4" t="str">
        <f t="shared" si="201"/>
        <v/>
      </c>
      <c r="EN22" s="5" t="str">
        <f t="shared" si="202"/>
        <v/>
      </c>
      <c r="EO22" s="10" t="str">
        <f t="shared" si="203"/>
        <v/>
      </c>
      <c r="EP22" s="9" t="str">
        <f t="shared" si="204"/>
        <v/>
      </c>
      <c r="EQ22" s="5" t="str">
        <f t="shared" si="205"/>
        <v/>
      </c>
      <c r="ER22" s="7" t="str">
        <f t="shared" si="206"/>
        <v/>
      </c>
      <c r="ES22" s="21" t="str">
        <f t="shared" si="131"/>
        <v/>
      </c>
      <c r="ET22" s="5" t="str">
        <f t="shared" si="43"/>
        <v/>
      </c>
      <c r="EU22" s="10" t="str">
        <f t="shared" si="44"/>
        <v/>
      </c>
      <c r="EV22" s="174" t="str">
        <f t="shared" si="250"/>
        <v/>
      </c>
      <c r="EW22" s="9" t="str">
        <f t="shared" si="132"/>
        <v/>
      </c>
      <c r="EX22" s="5" t="str">
        <f t="shared" si="45"/>
        <v/>
      </c>
      <c r="EY22" s="6" t="str">
        <f t="shared" si="207"/>
        <v/>
      </c>
      <c r="EZ22" s="51" t="str">
        <f t="shared" si="208"/>
        <v/>
      </c>
      <c r="FA22" s="266" t="str">
        <f t="shared" si="133"/>
        <v/>
      </c>
      <c r="FB22" s="267" t="str">
        <f t="shared" si="134"/>
        <v/>
      </c>
      <c r="FC22" s="269" t="str">
        <f t="shared" si="46"/>
        <v/>
      </c>
      <c r="FD22" s="4" t="str">
        <f t="shared" si="135"/>
        <v/>
      </c>
      <c r="FE22" s="5" t="str">
        <f t="shared" si="47"/>
        <v/>
      </c>
      <c r="FF22" s="7" t="str">
        <f t="shared" si="209"/>
        <v/>
      </c>
      <c r="FG22" s="173" t="str">
        <f t="shared" si="210"/>
        <v/>
      </c>
      <c r="FH22" s="5" t="str">
        <f t="shared" si="48"/>
        <v/>
      </c>
      <c r="FI22" s="10" t="str">
        <f t="shared" si="49"/>
        <v/>
      </c>
      <c r="FJ22" s="279" t="str">
        <f t="shared" si="211"/>
        <v/>
      </c>
      <c r="FK22" s="4" t="str">
        <f t="shared" si="50"/>
        <v/>
      </c>
      <c r="FL22" s="5" t="str">
        <f t="shared" si="212"/>
        <v/>
      </c>
      <c r="FM22" s="8" t="str">
        <f t="shared" si="213"/>
        <v/>
      </c>
      <c r="FN22" s="9" t="str">
        <f t="shared" si="214"/>
        <v/>
      </c>
      <c r="FO22" s="10" t="str">
        <f t="shared" si="51"/>
        <v/>
      </c>
      <c r="FP22" s="277" t="str">
        <f t="shared" si="52"/>
        <v/>
      </c>
      <c r="FQ22" s="173" t="str">
        <f t="shared" si="241"/>
        <v/>
      </c>
      <c r="FR22" s="10" t="str">
        <f t="shared" si="215"/>
        <v/>
      </c>
      <c r="FS22" s="9" t="str">
        <f t="shared" si="216"/>
        <v/>
      </c>
      <c r="FT22" s="6" t="str">
        <f t="shared" si="217"/>
        <v/>
      </c>
      <c r="FU22" s="4" t="str">
        <f t="shared" si="218"/>
        <v/>
      </c>
      <c r="FV22" s="5" t="str">
        <f t="shared" si="219"/>
        <v/>
      </c>
      <c r="FW22" s="8" t="str">
        <f t="shared" si="242"/>
        <v/>
      </c>
      <c r="FX22" s="9" t="str">
        <f t="shared" si="243"/>
        <v/>
      </c>
      <c r="FY22" s="10" t="str">
        <f t="shared" si="53"/>
        <v/>
      </c>
      <c r="FZ22" s="277" t="str">
        <f t="shared" si="244"/>
        <v/>
      </c>
      <c r="GA22" s="177" t="str">
        <f t="shared" si="220"/>
        <v/>
      </c>
      <c r="GB22" s="4" t="str">
        <f t="shared" si="221"/>
        <v/>
      </c>
      <c r="GC22" s="5" t="str">
        <f t="shared" si="222"/>
        <v/>
      </c>
      <c r="GD22" s="10" t="str">
        <f t="shared" si="223"/>
        <v/>
      </c>
      <c r="GE22" s="311" t="str">
        <f t="shared" si="224"/>
        <v/>
      </c>
      <c r="GF22" s="341" t="str">
        <f t="shared" si="245"/>
        <v/>
      </c>
      <c r="GG22" s="285" t="str">
        <f t="shared" si="54"/>
        <v/>
      </c>
      <c r="GH22" s="286" t="str">
        <f t="shared" si="55"/>
        <v/>
      </c>
      <c r="GI22" s="281" t="str">
        <f t="shared" si="56"/>
        <v/>
      </c>
      <c r="GJ22" s="167" t="str">
        <f t="shared" si="225"/>
        <v/>
      </c>
      <c r="GK22" s="174" t="str">
        <f t="shared" si="57"/>
        <v/>
      </c>
      <c r="GL22" s="174" t="str">
        <f t="shared" si="226"/>
        <v/>
      </c>
      <c r="GM22" s="177" t="str">
        <f>IF(ISNUMBER($AV22),AZ22,"")</f>
        <v/>
      </c>
      <c r="GN22" s="280" t="str">
        <f t="shared" si="227"/>
        <v/>
      </c>
      <c r="GO22" s="4" t="str">
        <f t="shared" si="228"/>
        <v/>
      </c>
      <c r="GP22" s="8" t="str">
        <f t="shared" si="247"/>
        <v/>
      </c>
      <c r="GQ22" s="177" t="str">
        <f t="shared" si="229"/>
        <v/>
      </c>
      <c r="GR22" s="371" t="str">
        <f t="shared" si="248"/>
        <v/>
      </c>
      <c r="GS22" s="342" t="str">
        <f t="shared" si="59"/>
        <v/>
      </c>
      <c r="GT22" s="343" t="str">
        <f t="shared" si="60"/>
        <v/>
      </c>
      <c r="GU22" s="344" t="str">
        <f t="shared" si="61"/>
        <v/>
      </c>
      <c r="GV22" s="343" t="str">
        <f t="shared" si="251"/>
        <v/>
      </c>
      <c r="GW22" s="345" t="str">
        <f t="shared" si="62"/>
        <v/>
      </c>
      <c r="GX22" s="346" t="str">
        <f t="shared" si="63"/>
        <v/>
      </c>
      <c r="GY22" s="344" t="str">
        <f t="shared" si="64"/>
        <v/>
      </c>
      <c r="GZ22" s="345" t="str">
        <f t="shared" si="65"/>
        <v/>
      </c>
      <c r="HA22" s="342" t="str">
        <f t="shared" si="66"/>
        <v/>
      </c>
      <c r="HB22" s="5" t="str">
        <f t="shared" si="230"/>
        <v/>
      </c>
      <c r="HC22" s="343" t="str">
        <f t="shared" si="231"/>
        <v/>
      </c>
      <c r="HD22" s="345" t="str">
        <f t="shared" si="232"/>
        <v/>
      </c>
      <c r="HE22" s="344" t="str">
        <f t="shared" si="67"/>
        <v/>
      </c>
      <c r="HF22" s="5" t="str">
        <f t="shared" si="68"/>
        <v/>
      </c>
      <c r="HG22" s="343" t="str">
        <f t="shared" si="233"/>
        <v/>
      </c>
      <c r="HH22" s="349" t="str">
        <f t="shared" si="234"/>
        <v/>
      </c>
      <c r="HI22" s="317" t="str">
        <f t="shared" si="69"/>
        <v/>
      </c>
      <c r="HJ22" s="336"/>
      <c r="HK22" s="310" t="str">
        <f t="shared" si="136"/>
        <v/>
      </c>
      <c r="HL22" s="348" t="str">
        <f t="shared" si="70"/>
        <v/>
      </c>
      <c r="HM22" s="923" t="str">
        <f t="shared" si="71"/>
        <v/>
      </c>
      <c r="HN22" s="924" t="str">
        <f t="shared" si="72"/>
        <v/>
      </c>
      <c r="HO22" s="925"/>
      <c r="HP22" s="926"/>
      <c r="HQ22" s="924" t="str">
        <f t="shared" si="73"/>
        <v/>
      </c>
      <c r="HR22" s="927" t="str">
        <f t="shared" si="74"/>
        <v/>
      </c>
      <c r="HS22" s="879" t="str">
        <f t="shared" si="249"/>
        <v/>
      </c>
      <c r="HT22" s="889" t="str">
        <f t="shared" si="75"/>
        <v/>
      </c>
      <c r="HU22" s="890" t="str">
        <f t="shared" si="76"/>
        <v/>
      </c>
      <c r="HV22" s="886" t="str">
        <f t="shared" si="77"/>
        <v/>
      </c>
      <c r="HW22" s="880" t="str">
        <f t="shared" si="78"/>
        <v/>
      </c>
      <c r="HX22" s="881" t="str">
        <f t="shared" si="79"/>
        <v/>
      </c>
      <c r="HY22" s="880" t="str">
        <f t="shared" si="80"/>
        <v/>
      </c>
      <c r="HZ22" s="882" t="str">
        <f t="shared" si="81"/>
        <v/>
      </c>
      <c r="IA22" s="883" t="str">
        <f t="shared" si="82"/>
        <v/>
      </c>
      <c r="IB22" s="884" t="str">
        <f t="shared" si="83"/>
        <v/>
      </c>
      <c r="IC22" s="855" t="str">
        <f t="shared" si="84"/>
        <v/>
      </c>
      <c r="ID22" s="351" t="str">
        <f t="shared" si="85"/>
        <v/>
      </c>
      <c r="IE22" s="857" t="str">
        <f t="shared" si="86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5"/>
        <v>3.1059999999999999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7"/>
        <v>1613</v>
      </c>
      <c r="IM22" s="482" t="str">
        <f t="shared" si="236"/>
        <v/>
      </c>
      <c r="IN22" s="670" t="str">
        <f t="shared" si="89"/>
        <v/>
      </c>
      <c r="IO22" s="702">
        <v>8.6773344048698808E-3</v>
      </c>
      <c r="IP22" s="5" t="str">
        <f t="shared" si="90"/>
        <v/>
      </c>
      <c r="IQ22" s="714">
        <v>340</v>
      </c>
      <c r="IR22" s="9" t="str">
        <f t="shared" si="137"/>
        <v/>
      </c>
      <c r="IS22" s="5" t="str">
        <f t="shared" si="91"/>
        <v/>
      </c>
      <c r="IT22" s="5" t="str">
        <f t="shared" si="92"/>
        <v/>
      </c>
      <c r="IU22" s="5" t="str">
        <f t="shared" si="93"/>
        <v/>
      </c>
      <c r="IV22" s="670" t="str">
        <f t="shared" si="94"/>
        <v/>
      </c>
      <c r="IW22" s="9" t="str">
        <f t="shared" si="95"/>
        <v/>
      </c>
      <c r="IX22" s="5" t="str">
        <f t="shared" si="96"/>
        <v/>
      </c>
      <c r="IY22" s="5" t="str">
        <f t="shared" si="97"/>
        <v/>
      </c>
      <c r="IZ22" s="5" t="str">
        <f t="shared" si="98"/>
        <v/>
      </c>
      <c r="JA22" s="705" t="str">
        <f t="shared" si="99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</v>
      </c>
      <c r="B23" s="578">
        <f t="shared" si="2"/>
        <v>1.8931476111310235</v>
      </c>
      <c r="C23" s="572">
        <f t="shared" si="3"/>
        <v>-1.296075656557135</v>
      </c>
      <c r="D23" s="576">
        <f t="shared" si="4"/>
        <v>-0.13729999999999995</v>
      </c>
      <c r="E23" s="580">
        <f t="shared" si="5"/>
        <v>0.59738279189718546</v>
      </c>
      <c r="F23" s="572">
        <f t="shared" si="6"/>
        <v>0.75917135532942071</v>
      </c>
      <c r="G23" s="579">
        <f t="shared" si="7"/>
        <v>0.25844274644960458</v>
      </c>
      <c r="H23" s="580">
        <f t="shared" si="8"/>
        <v>0.3125</v>
      </c>
      <c r="I23" s="572">
        <f t="shared" si="9"/>
        <v>0.52</v>
      </c>
      <c r="J23" s="483">
        <f t="shared" si="10"/>
        <v>3.109</v>
      </c>
      <c r="K23" s="806">
        <f t="shared" si="11"/>
        <v>1613</v>
      </c>
      <c r="M23" s="164">
        <f t="shared" si="12"/>
        <v>3.109</v>
      </c>
      <c r="N23" s="575">
        <f t="shared" si="13"/>
        <v>1.8931476111310235</v>
      </c>
      <c r="O23" s="572">
        <f t="shared" si="14"/>
        <v>-1.296075656557135</v>
      </c>
      <c r="P23" s="576">
        <f t="shared" si="15"/>
        <v>-0.13729999999999995</v>
      </c>
      <c r="Q23" s="528">
        <f t="shared" si="138"/>
        <v>325.60390613659274</v>
      </c>
      <c r="R23" s="572">
        <f t="shared" si="100"/>
        <v>2.2943016334063637</v>
      </c>
      <c r="S23" s="577">
        <f t="shared" si="101"/>
        <v>-0.13729999999999995</v>
      </c>
      <c r="T23" s="578">
        <f t="shared" si="102"/>
        <v>-1.2762376626567957</v>
      </c>
      <c r="U23" s="572">
        <f t="shared" si="103"/>
        <v>-1.9065774082023073</v>
      </c>
      <c r="V23" s="579">
        <f t="shared" si="139"/>
        <v>-0.13729999999999995</v>
      </c>
      <c r="W23" s="528">
        <f t="shared" si="252"/>
        <v>236.20217205925718</v>
      </c>
      <c r="X23" s="572">
        <f t="shared" si="104"/>
        <v>2.2943016334063637</v>
      </c>
      <c r="Y23" s="573">
        <f t="shared" si="253"/>
        <v>-0.13729999999999995</v>
      </c>
      <c r="Z23" s="575">
        <f t="shared" si="18"/>
        <v>-0.59738279189718546</v>
      </c>
      <c r="AA23" s="572">
        <f t="shared" si="19"/>
        <v>-0.75917135532942071</v>
      </c>
      <c r="AB23" s="572">
        <f t="shared" si="20"/>
        <v>-0.25844274644960458</v>
      </c>
      <c r="AC23" s="579">
        <f t="shared" si="105"/>
        <v>1</v>
      </c>
      <c r="AD23" s="580">
        <f t="shared" si="140"/>
        <v>-0.59738279189718546</v>
      </c>
      <c r="AE23" s="572">
        <f t="shared" si="106"/>
        <v>-0.75917135532942071</v>
      </c>
      <c r="AF23" s="576">
        <f t="shared" si="107"/>
        <v>-0.25844274644960458</v>
      </c>
      <c r="AG23" s="545">
        <f t="shared" si="108"/>
        <v>-71.200017855220764</v>
      </c>
      <c r="AH23" s="546">
        <f t="shared" si="109"/>
        <v>126.68268298682352</v>
      </c>
      <c r="AI23" s="528">
        <f t="shared" si="110"/>
        <v>-75.022319726244845</v>
      </c>
      <c r="AJ23" s="529">
        <f t="shared" si="111"/>
        <v>-38.198780880544255</v>
      </c>
      <c r="AK23" s="578">
        <f t="shared" si="237"/>
        <v>0.96389973306242216</v>
      </c>
      <c r="AL23" s="572">
        <f t="shared" si="112"/>
        <v>-6.4067553486744422E-2</v>
      </c>
      <c r="AM23" s="577">
        <f t="shared" si="113"/>
        <v>-0.25844274644960458</v>
      </c>
      <c r="AN23" s="524">
        <f t="shared" si="114"/>
        <v>-13.922859963601514</v>
      </c>
      <c r="AO23" s="525">
        <f t="shared" si="115"/>
        <v>15.442161250713331</v>
      </c>
      <c r="AP23" s="528">
        <f t="shared" si="116"/>
        <v>-3.8026870171369862</v>
      </c>
      <c r="AQ23" s="529">
        <f t="shared" si="21"/>
        <v>0.99354770542625892</v>
      </c>
      <c r="AS23" s="946">
        <f t="shared" si="141"/>
        <v>-123.79782794074282</v>
      </c>
      <c r="AT23" s="942">
        <f t="shared" si="22"/>
        <v>-4.7055770223194113E-2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2"/>
        <v/>
      </c>
      <c r="BA23" s="296" t="str">
        <f t="shared" si="24"/>
        <v/>
      </c>
      <c r="BB23" s="190" t="str">
        <f t="shared" si="143"/>
        <v/>
      </c>
      <c r="BC23" s="9"/>
      <c r="BD23" s="5" t="str">
        <f t="shared" si="144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5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6"/>
        <v/>
      </c>
      <c r="BP23" s="5" t="str">
        <f t="shared" si="147"/>
        <v/>
      </c>
      <c r="BQ23" s="5" t="str">
        <f t="shared" si="148"/>
        <v/>
      </c>
      <c r="BR23" s="6" t="str">
        <f t="shared" si="149"/>
        <v/>
      </c>
      <c r="BS23" s="4" t="str">
        <f t="shared" si="117"/>
        <v/>
      </c>
      <c r="BT23" s="5" t="str">
        <f t="shared" si="117"/>
        <v/>
      </c>
      <c r="BU23" s="10" t="str">
        <f t="shared" si="118"/>
        <v/>
      </c>
      <c r="BV23" s="9" t="str">
        <f t="shared" si="119"/>
        <v/>
      </c>
      <c r="BW23" s="5" t="str">
        <f t="shared" si="120"/>
        <v/>
      </c>
      <c r="BX23" s="8" t="str">
        <f t="shared" si="121"/>
        <v/>
      </c>
      <c r="BY23" s="173" t="str">
        <f t="shared" si="122"/>
        <v/>
      </c>
      <c r="BZ23" s="5" t="str">
        <f t="shared" si="123"/>
        <v/>
      </c>
      <c r="CA23" s="6" t="str">
        <f t="shared" si="124"/>
        <v/>
      </c>
      <c r="CB23" s="4" t="str">
        <f t="shared" si="150"/>
        <v/>
      </c>
      <c r="CC23" s="5" t="str">
        <f t="shared" si="151"/>
        <v/>
      </c>
      <c r="CD23" s="5" t="str">
        <f t="shared" si="152"/>
        <v/>
      </c>
      <c r="CE23" s="6" t="str">
        <f t="shared" si="153"/>
        <v/>
      </c>
      <c r="CF23" s="4" t="str">
        <f t="shared" si="154"/>
        <v/>
      </c>
      <c r="CG23" s="5" t="str">
        <f t="shared" si="155"/>
        <v/>
      </c>
      <c r="CH23" s="5" t="str">
        <f t="shared" si="156"/>
        <v/>
      </c>
      <c r="CI23" s="4" t="str">
        <f t="shared" si="125"/>
        <v/>
      </c>
      <c r="CJ23" s="5" t="str">
        <f t="shared" si="126"/>
        <v/>
      </c>
      <c r="CK23" s="8" t="str">
        <f t="shared" si="127"/>
        <v/>
      </c>
      <c r="CL23" s="173" t="str">
        <f t="shared" si="128"/>
        <v/>
      </c>
      <c r="CM23" s="5" t="str">
        <f t="shared" si="129"/>
        <v/>
      </c>
      <c r="CN23" s="6" t="str">
        <f t="shared" si="130"/>
        <v/>
      </c>
      <c r="CO23" s="167" t="str">
        <f t="shared" si="34"/>
        <v/>
      </c>
      <c r="CP23" s="4" t="str">
        <f t="shared" si="238"/>
        <v/>
      </c>
      <c r="CQ23" s="5" t="str">
        <f t="shared" si="23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9"/>
        <v/>
      </c>
      <c r="CU23" s="6" t="str">
        <f t="shared" si="160"/>
        <v/>
      </c>
      <c r="CV23" s="4" t="str">
        <f t="shared" si="240"/>
        <v/>
      </c>
      <c r="CW23" s="5" t="str">
        <f t="shared" si="161"/>
        <v/>
      </c>
      <c r="CX23" s="8" t="str">
        <f t="shared" si="162"/>
        <v/>
      </c>
      <c r="CY23" s="9" t="str">
        <f t="shared" si="163"/>
        <v/>
      </c>
      <c r="CZ23" s="5" t="str">
        <f t="shared" si="164"/>
        <v/>
      </c>
      <c r="DA23" s="6" t="str">
        <f t="shared" si="165"/>
        <v/>
      </c>
      <c r="DB23" s="4" t="str">
        <f t="shared" si="166"/>
        <v/>
      </c>
      <c r="DC23" s="5" t="str">
        <f t="shared" si="166"/>
        <v/>
      </c>
      <c r="DD23" s="10" t="str">
        <f t="shared" si="167"/>
        <v/>
      </c>
      <c r="DE23" s="9" t="str">
        <f t="shared" si="168"/>
        <v/>
      </c>
      <c r="DF23" s="5" t="str">
        <f t="shared" si="168"/>
        <v/>
      </c>
      <c r="DG23" s="10" t="str">
        <f t="shared" si="169"/>
        <v/>
      </c>
      <c r="DH23" s="70" t="str">
        <f t="shared" si="170"/>
        <v/>
      </c>
      <c r="DI23" s="4" t="str">
        <f t="shared" si="171"/>
        <v/>
      </c>
      <c r="DJ23" s="5" t="str">
        <f t="shared" si="172"/>
        <v/>
      </c>
      <c r="DK23" s="10" t="str">
        <f t="shared" si="173"/>
        <v/>
      </c>
      <c r="DL23" s="9" t="str">
        <f t="shared" si="174"/>
        <v/>
      </c>
      <c r="DM23" s="173" t="str">
        <f t="shared" si="175"/>
        <v/>
      </c>
      <c r="DN23" s="178" t="str">
        <f t="shared" si="176"/>
        <v/>
      </c>
      <c r="DO23" s="9" t="str">
        <f t="shared" si="177"/>
        <v/>
      </c>
      <c r="DP23" s="173" t="str">
        <f t="shared" si="178"/>
        <v/>
      </c>
      <c r="DQ23" s="11" t="str">
        <f t="shared" si="179"/>
        <v/>
      </c>
      <c r="DR23" s="173" t="str">
        <f t="shared" si="180"/>
        <v/>
      </c>
      <c r="DS23" s="5" t="str">
        <f t="shared" si="181"/>
        <v/>
      </c>
      <c r="DT23" s="5" t="str">
        <f t="shared" si="182"/>
        <v/>
      </c>
      <c r="DU23" s="5" t="str">
        <f t="shared" si="183"/>
        <v/>
      </c>
      <c r="DV23" s="5" t="str">
        <f t="shared" si="184"/>
        <v/>
      </c>
      <c r="DW23" s="5" t="str">
        <f t="shared" si="185"/>
        <v/>
      </c>
      <c r="DX23" s="167" t="str">
        <f t="shared" si="186"/>
        <v/>
      </c>
      <c r="DY23" s="9" t="str">
        <f t="shared" si="187"/>
        <v/>
      </c>
      <c r="DZ23" s="5" t="str">
        <f t="shared" si="188"/>
        <v/>
      </c>
      <c r="EA23" s="10" t="str">
        <f t="shared" si="189"/>
        <v/>
      </c>
      <c r="EB23" s="6" t="str">
        <f t="shared" si="190"/>
        <v/>
      </c>
      <c r="EC23" s="173" t="str">
        <f t="shared" si="191"/>
        <v/>
      </c>
      <c r="ED23" s="5" t="str">
        <f t="shared" si="192"/>
        <v/>
      </c>
      <c r="EE23" s="4" t="str">
        <f t="shared" si="193"/>
        <v/>
      </c>
      <c r="EF23" s="5" t="str">
        <f t="shared" si="194"/>
        <v/>
      </c>
      <c r="EG23" s="10" t="str">
        <f t="shared" si="195"/>
        <v/>
      </c>
      <c r="EH23" s="9" t="str">
        <f t="shared" si="196"/>
        <v/>
      </c>
      <c r="EI23" s="5" t="str">
        <f t="shared" si="197"/>
        <v/>
      </c>
      <c r="EJ23" s="6" t="str">
        <f t="shared" si="198"/>
        <v/>
      </c>
      <c r="EK23" s="236" t="str">
        <f t="shared" si="199"/>
        <v/>
      </c>
      <c r="EL23" s="238" t="str">
        <f t="shared" si="200"/>
        <v/>
      </c>
      <c r="EM23" s="4" t="str">
        <f t="shared" si="201"/>
        <v/>
      </c>
      <c r="EN23" s="5" t="str">
        <f t="shared" si="202"/>
        <v/>
      </c>
      <c r="EO23" s="10" t="str">
        <f t="shared" si="203"/>
        <v/>
      </c>
      <c r="EP23" s="9" t="str">
        <f t="shared" si="204"/>
        <v/>
      </c>
      <c r="EQ23" s="5" t="str">
        <f t="shared" si="205"/>
        <v/>
      </c>
      <c r="ER23" s="7" t="str">
        <f t="shared" si="206"/>
        <v/>
      </c>
      <c r="ES23" s="21" t="str">
        <f t="shared" si="131"/>
        <v/>
      </c>
      <c r="ET23" s="5" t="str">
        <f t="shared" si="43"/>
        <v/>
      </c>
      <c r="EU23" s="10" t="str">
        <f t="shared" si="44"/>
        <v/>
      </c>
      <c r="EV23" s="174" t="str">
        <f t="shared" si="250"/>
        <v/>
      </c>
      <c r="EW23" s="9" t="str">
        <f t="shared" si="132"/>
        <v/>
      </c>
      <c r="EX23" s="5" t="str">
        <f t="shared" si="45"/>
        <v/>
      </c>
      <c r="EY23" s="6" t="str">
        <f t="shared" si="207"/>
        <v/>
      </c>
      <c r="EZ23" s="51" t="str">
        <f t="shared" si="208"/>
        <v/>
      </c>
      <c r="FA23" s="266" t="str">
        <f t="shared" si="133"/>
        <v/>
      </c>
      <c r="FB23" s="267" t="str">
        <f t="shared" si="134"/>
        <v/>
      </c>
      <c r="FC23" s="269" t="str">
        <f t="shared" si="46"/>
        <v/>
      </c>
      <c r="FD23" s="4" t="str">
        <f t="shared" si="135"/>
        <v/>
      </c>
      <c r="FE23" s="5" t="str">
        <f t="shared" si="47"/>
        <v/>
      </c>
      <c r="FF23" s="7" t="str">
        <f t="shared" si="209"/>
        <v/>
      </c>
      <c r="FG23" s="173" t="str">
        <f t="shared" si="210"/>
        <v/>
      </c>
      <c r="FH23" s="5" t="str">
        <f t="shared" si="48"/>
        <v/>
      </c>
      <c r="FI23" s="10" t="str">
        <f t="shared" si="49"/>
        <v/>
      </c>
      <c r="FJ23" s="279" t="str">
        <f t="shared" si="211"/>
        <v/>
      </c>
      <c r="FK23" s="4" t="str">
        <f t="shared" si="50"/>
        <v/>
      </c>
      <c r="FL23" s="5" t="str">
        <f t="shared" si="212"/>
        <v/>
      </c>
      <c r="FM23" s="8" t="str">
        <f t="shared" si="213"/>
        <v/>
      </c>
      <c r="FN23" s="9" t="str">
        <f t="shared" si="214"/>
        <v/>
      </c>
      <c r="FO23" s="10" t="str">
        <f t="shared" si="51"/>
        <v/>
      </c>
      <c r="FP23" s="277" t="str">
        <f t="shared" si="52"/>
        <v/>
      </c>
      <c r="FQ23" s="173" t="str">
        <f t="shared" si="241"/>
        <v/>
      </c>
      <c r="FR23" s="10" t="str">
        <f t="shared" si="215"/>
        <v/>
      </c>
      <c r="FS23" s="9" t="str">
        <f t="shared" si="216"/>
        <v/>
      </c>
      <c r="FT23" s="6" t="str">
        <f t="shared" si="217"/>
        <v/>
      </c>
      <c r="FU23" s="4" t="str">
        <f t="shared" si="218"/>
        <v/>
      </c>
      <c r="FV23" s="5" t="str">
        <f t="shared" si="219"/>
        <v/>
      </c>
      <c r="FW23" s="8" t="str">
        <f t="shared" si="242"/>
        <v/>
      </c>
      <c r="FX23" s="9" t="str">
        <f t="shared" si="243"/>
        <v/>
      </c>
      <c r="FY23" s="10" t="str">
        <f t="shared" si="53"/>
        <v/>
      </c>
      <c r="FZ23" s="277" t="str">
        <f t="shared" si="244"/>
        <v/>
      </c>
      <c r="GA23" s="177" t="str">
        <f t="shared" si="220"/>
        <v/>
      </c>
      <c r="GB23" s="4" t="str">
        <f t="shared" si="221"/>
        <v/>
      </c>
      <c r="GC23" s="5" t="str">
        <f t="shared" si="222"/>
        <v/>
      </c>
      <c r="GD23" s="10" t="str">
        <f t="shared" si="223"/>
        <v/>
      </c>
      <c r="GE23" s="311" t="str">
        <f t="shared" si="224"/>
        <v/>
      </c>
      <c r="GF23" s="341" t="str">
        <f t="shared" si="245"/>
        <v/>
      </c>
      <c r="GG23" s="285" t="str">
        <f t="shared" si="54"/>
        <v/>
      </c>
      <c r="GH23" s="286" t="str">
        <f t="shared" si="55"/>
        <v/>
      </c>
      <c r="GI23" s="281" t="str">
        <f t="shared" si="56"/>
        <v/>
      </c>
      <c r="GJ23" s="167" t="str">
        <f t="shared" si="225"/>
        <v/>
      </c>
      <c r="GK23" s="174" t="str">
        <f t="shared" si="57"/>
        <v/>
      </c>
      <c r="GL23" s="174" t="str">
        <f t="shared" si="226"/>
        <v/>
      </c>
      <c r="GM23" s="177" t="str">
        <f t="shared" si="246"/>
        <v/>
      </c>
      <c r="GN23" s="280" t="str">
        <f t="shared" si="227"/>
        <v/>
      </c>
      <c r="GO23" s="4" t="str">
        <f t="shared" si="228"/>
        <v/>
      </c>
      <c r="GP23" s="8" t="str">
        <f t="shared" si="247"/>
        <v/>
      </c>
      <c r="GQ23" s="177" t="str">
        <f t="shared" si="229"/>
        <v/>
      </c>
      <c r="GR23" s="371" t="str">
        <f t="shared" si="248"/>
        <v/>
      </c>
      <c r="GS23" s="342" t="str">
        <f t="shared" si="59"/>
        <v/>
      </c>
      <c r="GT23" s="343" t="str">
        <f t="shared" si="60"/>
        <v/>
      </c>
      <c r="GU23" s="344" t="str">
        <f t="shared" si="61"/>
        <v/>
      </c>
      <c r="GV23" s="343" t="str">
        <f t="shared" si="251"/>
        <v/>
      </c>
      <c r="GW23" s="345" t="str">
        <f t="shared" si="62"/>
        <v/>
      </c>
      <c r="GX23" s="346" t="str">
        <f t="shared" si="63"/>
        <v/>
      </c>
      <c r="GY23" s="344" t="str">
        <f t="shared" si="64"/>
        <v/>
      </c>
      <c r="GZ23" s="345" t="str">
        <f t="shared" si="65"/>
        <v/>
      </c>
      <c r="HA23" s="342" t="str">
        <f t="shared" si="66"/>
        <v/>
      </c>
      <c r="HB23" s="5" t="str">
        <f t="shared" si="230"/>
        <v/>
      </c>
      <c r="HC23" s="343" t="str">
        <f t="shared" si="231"/>
        <v/>
      </c>
      <c r="HD23" s="345" t="str">
        <f t="shared" si="232"/>
        <v/>
      </c>
      <c r="HE23" s="344" t="str">
        <f t="shared" si="67"/>
        <v/>
      </c>
      <c r="HF23" s="5" t="str">
        <f t="shared" si="68"/>
        <v/>
      </c>
      <c r="HG23" s="343" t="str">
        <f t="shared" si="233"/>
        <v/>
      </c>
      <c r="HH23" s="349" t="str">
        <f t="shared" si="234"/>
        <v/>
      </c>
      <c r="HI23" s="317" t="str">
        <f t="shared" si="69"/>
        <v/>
      </c>
      <c r="HJ23" s="336"/>
      <c r="HK23" s="310" t="str">
        <f t="shared" si="136"/>
        <v/>
      </c>
      <c r="HL23" s="348" t="str">
        <f t="shared" si="70"/>
        <v/>
      </c>
      <c r="HM23" s="923" t="str">
        <f t="shared" si="71"/>
        <v/>
      </c>
      <c r="HN23" s="924" t="str">
        <f t="shared" si="72"/>
        <v/>
      </c>
      <c r="HO23" s="925"/>
      <c r="HP23" s="926"/>
      <c r="HQ23" s="924" t="str">
        <f t="shared" si="73"/>
        <v/>
      </c>
      <c r="HR23" s="927" t="str">
        <f t="shared" si="74"/>
        <v/>
      </c>
      <c r="HS23" s="879" t="str">
        <f t="shared" si="249"/>
        <v/>
      </c>
      <c r="HT23" s="889" t="str">
        <f t="shared" si="75"/>
        <v/>
      </c>
      <c r="HU23" s="890" t="str">
        <f t="shared" si="76"/>
        <v/>
      </c>
      <c r="HV23" s="886" t="str">
        <f t="shared" si="77"/>
        <v/>
      </c>
      <c r="HW23" s="880" t="str">
        <f t="shared" si="78"/>
        <v/>
      </c>
      <c r="HX23" s="881" t="str">
        <f t="shared" si="79"/>
        <v/>
      </c>
      <c r="HY23" s="880" t="str">
        <f t="shared" si="80"/>
        <v/>
      </c>
      <c r="HZ23" s="882" t="str">
        <f t="shared" si="81"/>
        <v/>
      </c>
      <c r="IA23" s="883" t="str">
        <f t="shared" si="82"/>
        <v/>
      </c>
      <c r="IB23" s="884" t="str">
        <f t="shared" si="83"/>
        <v/>
      </c>
      <c r="IC23" s="855" t="str">
        <f t="shared" si="84"/>
        <v/>
      </c>
      <c r="ID23" s="351" t="str">
        <f t="shared" si="85"/>
        <v/>
      </c>
      <c r="IE23" s="857" t="str">
        <f t="shared" si="86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5"/>
        <v>3.109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7"/>
        <v>1613</v>
      </c>
      <c r="IM23" s="482" t="str">
        <f t="shared" si="236"/>
        <v/>
      </c>
      <c r="IN23" s="670" t="str">
        <f t="shared" si="89"/>
        <v/>
      </c>
      <c r="IO23" s="702"/>
      <c r="IP23" s="5" t="str">
        <f t="shared" si="90"/>
        <v/>
      </c>
      <c r="IQ23" s="714"/>
      <c r="IR23" s="9" t="str">
        <f t="shared" si="137"/>
        <v/>
      </c>
      <c r="IS23" s="5" t="str">
        <f t="shared" si="91"/>
        <v/>
      </c>
      <c r="IT23" s="5" t="str">
        <f t="shared" si="92"/>
        <v/>
      </c>
      <c r="IU23" s="5" t="str">
        <f t="shared" si="93"/>
        <v/>
      </c>
      <c r="IV23" s="670" t="str">
        <f t="shared" si="94"/>
        <v/>
      </c>
      <c r="IW23" s="9" t="str">
        <f t="shared" si="95"/>
        <v/>
      </c>
      <c r="IX23" s="5" t="str">
        <f t="shared" si="96"/>
        <v/>
      </c>
      <c r="IY23" s="5" t="str">
        <f t="shared" si="97"/>
        <v/>
      </c>
      <c r="IZ23" s="5" t="str">
        <f t="shared" si="98"/>
        <v/>
      </c>
      <c r="JA23" s="705" t="str">
        <f t="shared" si="99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</v>
      </c>
      <c r="B24" s="578">
        <f t="shared" si="2"/>
        <v>2.4760574781498184</v>
      </c>
      <c r="C24" s="572">
        <f t="shared" si="3"/>
        <v>-1.753919065303106</v>
      </c>
      <c r="D24" s="576">
        <f t="shared" si="4"/>
        <v>-0.36610000000000009</v>
      </c>
      <c r="E24" s="580">
        <f t="shared" si="5"/>
        <v>0.71458454858824527</v>
      </c>
      <c r="F24" s="572">
        <f t="shared" si="6"/>
        <v>0.67207787586015122</v>
      </c>
      <c r="G24" s="579">
        <f t="shared" si="7"/>
        <v>0.1941140172636712</v>
      </c>
      <c r="H24" s="580">
        <f t="shared" si="8"/>
        <v>0.3125</v>
      </c>
      <c r="I24" s="572">
        <f t="shared" si="9"/>
        <v>0.52</v>
      </c>
      <c r="J24" s="483">
        <f t="shared" si="10"/>
        <v>3.1120000000000001</v>
      </c>
      <c r="K24" s="806">
        <f t="shared" si="11"/>
        <v>1613</v>
      </c>
      <c r="L24" s="82"/>
      <c r="M24" s="164">
        <f t="shared" si="12"/>
        <v>3.1120000000000001</v>
      </c>
      <c r="N24" s="575">
        <f t="shared" si="13"/>
        <v>2.4760574781498184</v>
      </c>
      <c r="O24" s="572">
        <f t="shared" si="14"/>
        <v>-1.753919065303106</v>
      </c>
      <c r="P24" s="576">
        <f t="shared" si="15"/>
        <v>-0.36610000000000009</v>
      </c>
      <c r="Q24" s="528">
        <f t="shared" si="138"/>
        <v>324.68809288948734</v>
      </c>
      <c r="R24" s="572">
        <f t="shared" si="100"/>
        <v>3.0343191530778957</v>
      </c>
      <c r="S24" s="577">
        <f t="shared" si="101"/>
        <v>-0.36610000000000009</v>
      </c>
      <c r="T24" s="578">
        <f t="shared" si="102"/>
        <v>-1.7279696471790633</v>
      </c>
      <c r="U24" s="572">
        <f t="shared" si="103"/>
        <v>-2.4942360796771466</v>
      </c>
      <c r="V24" s="579">
        <f t="shared" si="139"/>
        <v>-0.36610000000000009</v>
      </c>
      <c r="W24" s="528">
        <f t="shared" si="252"/>
        <v>235.28635881215178</v>
      </c>
      <c r="X24" s="572">
        <f t="shared" si="104"/>
        <v>3.0343191530778957</v>
      </c>
      <c r="Y24" s="573">
        <f t="shared" si="253"/>
        <v>-0.36610000000000009</v>
      </c>
      <c r="Z24" s="575">
        <f t="shared" si="18"/>
        <v>-0.71458454858824527</v>
      </c>
      <c r="AA24" s="572">
        <f t="shared" si="19"/>
        <v>-0.67207787586015122</v>
      </c>
      <c r="AB24" s="572">
        <f t="shared" si="20"/>
        <v>-0.1941140172636712</v>
      </c>
      <c r="AC24" s="579">
        <f t="shared" si="105"/>
        <v>1</v>
      </c>
      <c r="AD24" s="580">
        <f t="shared" si="140"/>
        <v>-0.71458454858824527</v>
      </c>
      <c r="AE24" s="572">
        <f t="shared" si="106"/>
        <v>-0.67207787586015122</v>
      </c>
      <c r="AF24" s="576">
        <f t="shared" si="107"/>
        <v>-0.1941140172636712</v>
      </c>
      <c r="AG24" s="545">
        <f t="shared" si="108"/>
        <v>-73.889871916035958</v>
      </c>
      <c r="AH24" s="546">
        <f t="shared" si="109"/>
        <v>135.60916175253004</v>
      </c>
      <c r="AI24" s="528">
        <f t="shared" si="110"/>
        <v>-78.807028398879254</v>
      </c>
      <c r="AJ24" s="529">
        <f t="shared" si="111"/>
        <v>-46.755791820179368</v>
      </c>
      <c r="AK24" s="578">
        <f>IF(M24="","",(COS(RADIANS((90-$Q$8)-W24))*AD24)+(-SIN(RADIANS((90-$Q$8)-W24))*AE24))</f>
        <v>0.96147661692185049</v>
      </c>
      <c r="AL24" s="572">
        <f t="shared" si="112"/>
        <v>-0.19463417843295766</v>
      </c>
      <c r="AM24" s="577">
        <f t="shared" si="113"/>
        <v>-0.1941140172636712</v>
      </c>
      <c r="AN24" s="524">
        <f t="shared" si="114"/>
        <v>-45.076664077700258</v>
      </c>
      <c r="AO24" s="525">
        <f t="shared" si="115"/>
        <v>15.955264211158095</v>
      </c>
      <c r="AP24" s="528">
        <f t="shared" si="116"/>
        <v>-11.443884709666705</v>
      </c>
      <c r="AQ24" s="529">
        <f t="shared" si="21"/>
        <v>0.75127099867411196</v>
      </c>
      <c r="AS24" s="946">
        <f t="shared" si="141"/>
        <v>-124.71364118784822</v>
      </c>
      <c r="AT24" s="942">
        <f t="shared" si="22"/>
        <v>-0.27521978880159326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2"/>
        <v/>
      </c>
      <c r="BA24" s="296" t="str">
        <f t="shared" si="24"/>
        <v/>
      </c>
      <c r="BB24" s="190" t="str">
        <f t="shared" si="143"/>
        <v/>
      </c>
      <c r="BC24" s="9"/>
      <c r="BD24" s="5" t="str">
        <f t="shared" si="144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5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6"/>
        <v/>
      </c>
      <c r="BP24" s="5" t="str">
        <f t="shared" si="147"/>
        <v/>
      </c>
      <c r="BQ24" s="5" t="str">
        <f t="shared" si="148"/>
        <v/>
      </c>
      <c r="BR24" s="6" t="str">
        <f t="shared" si="149"/>
        <v/>
      </c>
      <c r="BS24" s="4" t="str">
        <f t="shared" si="117"/>
        <v/>
      </c>
      <c r="BT24" s="5" t="str">
        <f t="shared" si="117"/>
        <v/>
      </c>
      <c r="BU24" s="10" t="str">
        <f t="shared" si="118"/>
        <v/>
      </c>
      <c r="BV24" s="9" t="str">
        <f t="shared" si="119"/>
        <v/>
      </c>
      <c r="BW24" s="5" t="str">
        <f t="shared" si="120"/>
        <v/>
      </c>
      <c r="BX24" s="8" t="str">
        <f t="shared" si="121"/>
        <v/>
      </c>
      <c r="BY24" s="173" t="str">
        <f t="shared" si="122"/>
        <v/>
      </c>
      <c r="BZ24" s="5" t="str">
        <f t="shared" si="123"/>
        <v/>
      </c>
      <c r="CA24" s="6" t="str">
        <f t="shared" si="124"/>
        <v/>
      </c>
      <c r="CB24" s="4" t="str">
        <f t="shared" si="150"/>
        <v/>
      </c>
      <c r="CC24" s="5" t="str">
        <f t="shared" si="151"/>
        <v/>
      </c>
      <c r="CD24" s="5" t="str">
        <f t="shared" si="152"/>
        <v/>
      </c>
      <c r="CE24" s="6" t="str">
        <f t="shared" si="153"/>
        <v/>
      </c>
      <c r="CF24" s="4" t="str">
        <f t="shared" si="154"/>
        <v/>
      </c>
      <c r="CG24" s="5" t="str">
        <f t="shared" si="155"/>
        <v/>
      </c>
      <c r="CH24" s="5" t="str">
        <f t="shared" si="156"/>
        <v/>
      </c>
      <c r="CI24" s="4" t="str">
        <f t="shared" si="125"/>
        <v/>
      </c>
      <c r="CJ24" s="5" t="str">
        <f t="shared" si="126"/>
        <v/>
      </c>
      <c r="CK24" s="8" t="str">
        <f t="shared" si="127"/>
        <v/>
      </c>
      <c r="CL24" s="173" t="str">
        <f t="shared" si="128"/>
        <v/>
      </c>
      <c r="CM24" s="5" t="str">
        <f t="shared" si="129"/>
        <v/>
      </c>
      <c r="CN24" s="6" t="str">
        <f t="shared" si="130"/>
        <v/>
      </c>
      <c r="CO24" s="167" t="str">
        <f t="shared" si="34"/>
        <v/>
      </c>
      <c r="CP24" s="4" t="str">
        <f t="shared" si="238"/>
        <v/>
      </c>
      <c r="CQ24" s="5" t="str">
        <f t="shared" si="239"/>
        <v/>
      </c>
      <c r="CR24" s="5" t="str">
        <f t="shared" si="157"/>
        <v/>
      </c>
      <c r="CS24" s="8" t="str">
        <f t="shared" si="158"/>
        <v/>
      </c>
      <c r="CT24" s="9" t="str">
        <f t="shared" si="159"/>
        <v/>
      </c>
      <c r="CU24" s="6" t="str">
        <f t="shared" si="160"/>
        <v/>
      </c>
      <c r="CV24" s="4" t="str">
        <f t="shared" si="240"/>
        <v/>
      </c>
      <c r="CW24" s="5" t="str">
        <f t="shared" si="161"/>
        <v/>
      </c>
      <c r="CX24" s="8" t="str">
        <f t="shared" si="162"/>
        <v/>
      </c>
      <c r="CY24" s="9" t="str">
        <f t="shared" si="163"/>
        <v/>
      </c>
      <c r="CZ24" s="5" t="str">
        <f t="shared" si="164"/>
        <v/>
      </c>
      <c r="DA24" s="6" t="str">
        <f t="shared" si="165"/>
        <v/>
      </c>
      <c r="DB24" s="4" t="str">
        <f t="shared" si="166"/>
        <v/>
      </c>
      <c r="DC24" s="5" t="str">
        <f t="shared" si="166"/>
        <v/>
      </c>
      <c r="DD24" s="10" t="str">
        <f t="shared" si="167"/>
        <v/>
      </c>
      <c r="DE24" s="9" t="str">
        <f t="shared" si="168"/>
        <v/>
      </c>
      <c r="DF24" s="5" t="str">
        <f t="shared" si="168"/>
        <v/>
      </c>
      <c r="DG24" s="10" t="str">
        <f t="shared" si="169"/>
        <v/>
      </c>
      <c r="DH24" s="70" t="str">
        <f t="shared" si="170"/>
        <v/>
      </c>
      <c r="DI24" s="4" t="str">
        <f t="shared" si="171"/>
        <v/>
      </c>
      <c r="DJ24" s="5" t="str">
        <f t="shared" si="172"/>
        <v/>
      </c>
      <c r="DK24" s="10" t="str">
        <f t="shared" si="173"/>
        <v/>
      </c>
      <c r="DL24" s="9" t="str">
        <f t="shared" si="174"/>
        <v/>
      </c>
      <c r="DM24" s="173" t="str">
        <f t="shared" si="175"/>
        <v/>
      </c>
      <c r="DN24" s="178" t="str">
        <f t="shared" si="176"/>
        <v/>
      </c>
      <c r="DO24" s="9" t="str">
        <f t="shared" si="177"/>
        <v/>
      </c>
      <c r="DP24" s="173" t="str">
        <f t="shared" si="178"/>
        <v/>
      </c>
      <c r="DQ24" s="11" t="str">
        <f t="shared" si="179"/>
        <v/>
      </c>
      <c r="DR24" s="173" t="str">
        <f t="shared" si="180"/>
        <v/>
      </c>
      <c r="DS24" s="5" t="str">
        <f t="shared" si="181"/>
        <v/>
      </c>
      <c r="DT24" s="5" t="str">
        <f t="shared" si="182"/>
        <v/>
      </c>
      <c r="DU24" s="5" t="str">
        <f t="shared" si="183"/>
        <v/>
      </c>
      <c r="DV24" s="5" t="str">
        <f t="shared" si="184"/>
        <v/>
      </c>
      <c r="DW24" s="5" t="str">
        <f t="shared" si="185"/>
        <v/>
      </c>
      <c r="DX24" s="167" t="str">
        <f t="shared" si="186"/>
        <v/>
      </c>
      <c r="DY24" s="9" t="str">
        <f t="shared" si="187"/>
        <v/>
      </c>
      <c r="DZ24" s="5" t="str">
        <f t="shared" si="188"/>
        <v/>
      </c>
      <c r="EA24" s="10" t="str">
        <f t="shared" si="189"/>
        <v/>
      </c>
      <c r="EB24" s="6" t="str">
        <f t="shared" si="190"/>
        <v/>
      </c>
      <c r="EC24" s="173" t="str">
        <f t="shared" si="191"/>
        <v/>
      </c>
      <c r="ED24" s="5" t="str">
        <f t="shared" si="192"/>
        <v/>
      </c>
      <c r="EE24" s="4" t="str">
        <f t="shared" si="193"/>
        <v/>
      </c>
      <c r="EF24" s="5" t="str">
        <f t="shared" si="194"/>
        <v/>
      </c>
      <c r="EG24" s="10" t="str">
        <f t="shared" si="195"/>
        <v/>
      </c>
      <c r="EH24" s="9" t="str">
        <f t="shared" si="196"/>
        <v/>
      </c>
      <c r="EI24" s="5" t="str">
        <f t="shared" si="197"/>
        <v/>
      </c>
      <c r="EJ24" s="6" t="str">
        <f t="shared" si="198"/>
        <v/>
      </c>
      <c r="EK24" s="236" t="str">
        <f t="shared" si="199"/>
        <v/>
      </c>
      <c r="EL24" s="238" t="str">
        <f t="shared" si="200"/>
        <v/>
      </c>
      <c r="EM24" s="4" t="str">
        <f t="shared" si="201"/>
        <v/>
      </c>
      <c r="EN24" s="5" t="str">
        <f t="shared" si="202"/>
        <v/>
      </c>
      <c r="EO24" s="10" t="str">
        <f t="shared" si="203"/>
        <v/>
      </c>
      <c r="EP24" s="9" t="str">
        <f t="shared" si="204"/>
        <v/>
      </c>
      <c r="EQ24" s="5" t="str">
        <f t="shared" si="205"/>
        <v/>
      </c>
      <c r="ER24" s="7" t="str">
        <f t="shared" si="206"/>
        <v/>
      </c>
      <c r="ES24" s="21" t="str">
        <f t="shared" si="131"/>
        <v/>
      </c>
      <c r="ET24" s="5" t="str">
        <f t="shared" si="43"/>
        <v/>
      </c>
      <c r="EU24" s="10" t="str">
        <f t="shared" si="44"/>
        <v/>
      </c>
      <c r="EV24" s="174" t="str">
        <f t="shared" si="250"/>
        <v/>
      </c>
      <c r="EW24" s="9" t="str">
        <f t="shared" si="132"/>
        <v/>
      </c>
      <c r="EX24" s="5" t="str">
        <f t="shared" si="45"/>
        <v/>
      </c>
      <c r="EY24" s="6" t="str">
        <f t="shared" si="207"/>
        <v/>
      </c>
      <c r="EZ24" s="51" t="str">
        <f t="shared" si="208"/>
        <v/>
      </c>
      <c r="FA24" s="266" t="str">
        <f t="shared" si="133"/>
        <v/>
      </c>
      <c r="FB24" s="267" t="str">
        <f t="shared" si="134"/>
        <v/>
      </c>
      <c r="FC24" s="269" t="str">
        <f t="shared" si="46"/>
        <v/>
      </c>
      <c r="FD24" s="4" t="str">
        <f t="shared" si="135"/>
        <v/>
      </c>
      <c r="FE24" s="5" t="str">
        <f t="shared" si="47"/>
        <v/>
      </c>
      <c r="FF24" s="7" t="str">
        <f t="shared" si="209"/>
        <v/>
      </c>
      <c r="FG24" s="173" t="str">
        <f t="shared" si="210"/>
        <v/>
      </c>
      <c r="FH24" s="5" t="str">
        <f t="shared" si="48"/>
        <v/>
      </c>
      <c r="FI24" s="10" t="str">
        <f t="shared" si="49"/>
        <v/>
      </c>
      <c r="FJ24" s="279" t="str">
        <f t="shared" si="211"/>
        <v/>
      </c>
      <c r="FK24" s="4" t="str">
        <f t="shared" si="50"/>
        <v/>
      </c>
      <c r="FL24" s="5" t="str">
        <f t="shared" si="212"/>
        <v/>
      </c>
      <c r="FM24" s="8" t="str">
        <f t="shared" si="213"/>
        <v/>
      </c>
      <c r="FN24" s="9" t="str">
        <f t="shared" si="214"/>
        <v/>
      </c>
      <c r="FO24" s="10" t="str">
        <f t="shared" si="51"/>
        <v/>
      </c>
      <c r="FP24" s="277" t="str">
        <f t="shared" si="52"/>
        <v/>
      </c>
      <c r="FQ24" s="173" t="str">
        <f t="shared" si="241"/>
        <v/>
      </c>
      <c r="FR24" s="10" t="str">
        <f t="shared" si="215"/>
        <v/>
      </c>
      <c r="FS24" s="9" t="str">
        <f t="shared" si="216"/>
        <v/>
      </c>
      <c r="FT24" s="6" t="str">
        <f t="shared" si="217"/>
        <v/>
      </c>
      <c r="FU24" s="4" t="str">
        <f t="shared" si="218"/>
        <v/>
      </c>
      <c r="FV24" s="5" t="str">
        <f t="shared" si="219"/>
        <v/>
      </c>
      <c r="FW24" s="8" t="str">
        <f t="shared" si="242"/>
        <v/>
      </c>
      <c r="FX24" s="9" t="str">
        <f t="shared" si="243"/>
        <v/>
      </c>
      <c r="FY24" s="10" t="str">
        <f t="shared" si="53"/>
        <v/>
      </c>
      <c r="FZ24" s="277" t="str">
        <f t="shared" si="244"/>
        <v/>
      </c>
      <c r="GA24" s="177" t="str">
        <f t="shared" si="220"/>
        <v/>
      </c>
      <c r="GB24" s="4" t="str">
        <f t="shared" si="221"/>
        <v/>
      </c>
      <c r="GC24" s="5" t="str">
        <f t="shared" si="222"/>
        <v/>
      </c>
      <c r="GD24" s="10" t="str">
        <f t="shared" si="223"/>
        <v/>
      </c>
      <c r="GE24" s="311" t="str">
        <f t="shared" si="224"/>
        <v/>
      </c>
      <c r="GF24" s="341" t="str">
        <f t="shared" si="245"/>
        <v/>
      </c>
      <c r="GG24" s="285" t="str">
        <f t="shared" si="54"/>
        <v/>
      </c>
      <c r="GH24" s="286" t="str">
        <f t="shared" si="55"/>
        <v/>
      </c>
      <c r="GI24" s="281" t="str">
        <f t="shared" si="56"/>
        <v/>
      </c>
      <c r="GJ24" s="167" t="str">
        <f t="shared" si="225"/>
        <v/>
      </c>
      <c r="GK24" s="174" t="str">
        <f t="shared" si="57"/>
        <v/>
      </c>
      <c r="GL24" s="174" t="str">
        <f t="shared" si="226"/>
        <v/>
      </c>
      <c r="GM24" s="177" t="str">
        <f t="shared" si="246"/>
        <v/>
      </c>
      <c r="GN24" s="280" t="str">
        <f t="shared" si="227"/>
        <v/>
      </c>
      <c r="GO24" s="4" t="str">
        <f t="shared" si="228"/>
        <v/>
      </c>
      <c r="GP24" s="8" t="str">
        <f t="shared" si="247"/>
        <v/>
      </c>
      <c r="GQ24" s="177" t="str">
        <f t="shared" si="229"/>
        <v/>
      </c>
      <c r="GR24" s="371" t="str">
        <f t="shared" si="248"/>
        <v/>
      </c>
      <c r="GS24" s="342" t="str">
        <f t="shared" si="59"/>
        <v/>
      </c>
      <c r="GT24" s="343" t="str">
        <f t="shared" si="60"/>
        <v/>
      </c>
      <c r="GU24" s="344" t="str">
        <f t="shared" si="61"/>
        <v/>
      </c>
      <c r="GV24" s="343" t="str">
        <f t="shared" si="251"/>
        <v/>
      </c>
      <c r="GW24" s="345" t="str">
        <f t="shared" si="62"/>
        <v/>
      </c>
      <c r="GX24" s="346" t="str">
        <f t="shared" si="63"/>
        <v/>
      </c>
      <c r="GY24" s="344" t="str">
        <f t="shared" si="64"/>
        <v/>
      </c>
      <c r="GZ24" s="345" t="str">
        <f t="shared" si="65"/>
        <v/>
      </c>
      <c r="HA24" s="342" t="str">
        <f t="shared" si="66"/>
        <v/>
      </c>
      <c r="HB24" s="5" t="str">
        <f t="shared" si="230"/>
        <v/>
      </c>
      <c r="HC24" s="343" t="str">
        <f t="shared" si="231"/>
        <v/>
      </c>
      <c r="HD24" s="363" t="str">
        <f t="shared" si="232"/>
        <v/>
      </c>
      <c r="HE24" s="344" t="str">
        <f t="shared" si="67"/>
        <v/>
      </c>
      <c r="HF24" s="5" t="str">
        <f t="shared" si="68"/>
        <v/>
      </c>
      <c r="HG24" s="343" t="str">
        <f t="shared" si="233"/>
        <v/>
      </c>
      <c r="HH24" s="349" t="str">
        <f t="shared" si="234"/>
        <v/>
      </c>
      <c r="HI24" s="317" t="str">
        <f t="shared" si="69"/>
        <v/>
      </c>
      <c r="HJ24" s="336"/>
      <c r="HK24" s="310" t="str">
        <f t="shared" si="136"/>
        <v/>
      </c>
      <c r="HL24" s="348" t="str">
        <f t="shared" si="70"/>
        <v/>
      </c>
      <c r="HM24" s="923" t="str">
        <f t="shared" si="71"/>
        <v/>
      </c>
      <c r="HN24" s="924" t="str">
        <f t="shared" si="72"/>
        <v/>
      </c>
      <c r="HO24" s="925"/>
      <c r="HP24" s="926"/>
      <c r="HQ24" s="924" t="str">
        <f t="shared" si="73"/>
        <v/>
      </c>
      <c r="HR24" s="927" t="str">
        <f t="shared" si="74"/>
        <v/>
      </c>
      <c r="HS24" s="879" t="str">
        <f t="shared" si="249"/>
        <v/>
      </c>
      <c r="HT24" s="889" t="str">
        <f t="shared" si="75"/>
        <v/>
      </c>
      <c r="HU24" s="890" t="str">
        <f t="shared" si="76"/>
        <v/>
      </c>
      <c r="HV24" s="886" t="str">
        <f t="shared" si="77"/>
        <v/>
      </c>
      <c r="HW24" s="880" t="str">
        <f t="shared" si="78"/>
        <v/>
      </c>
      <c r="HX24" s="881" t="str">
        <f t="shared" si="79"/>
        <v/>
      </c>
      <c r="HY24" s="880" t="str">
        <f t="shared" si="80"/>
        <v/>
      </c>
      <c r="HZ24" s="882" t="str">
        <f t="shared" si="81"/>
        <v/>
      </c>
      <c r="IA24" s="883" t="str">
        <f t="shared" si="82"/>
        <v/>
      </c>
      <c r="IB24" s="884" t="str">
        <f t="shared" si="83"/>
        <v/>
      </c>
      <c r="IC24" s="855" t="str">
        <f t="shared" si="84"/>
        <v/>
      </c>
      <c r="ID24" s="351" t="str">
        <f t="shared" si="85"/>
        <v/>
      </c>
      <c r="IE24" s="857" t="str">
        <f t="shared" si="86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5"/>
        <v>3.1120000000000001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7"/>
        <v>1613</v>
      </c>
      <c r="IM24" s="482" t="str">
        <f t="shared" si="236"/>
        <v/>
      </c>
      <c r="IN24" s="670" t="str">
        <f t="shared" si="89"/>
        <v/>
      </c>
      <c r="IO24" s="702"/>
      <c r="IP24" s="5" t="str">
        <f t="shared" si="90"/>
        <v/>
      </c>
      <c r="IQ24" s="714"/>
      <c r="IR24" s="9" t="str">
        <f t="shared" si="137"/>
        <v/>
      </c>
      <c r="IS24" s="5" t="str">
        <f t="shared" si="91"/>
        <v/>
      </c>
      <c r="IT24" s="5" t="str">
        <f t="shared" si="92"/>
        <v/>
      </c>
      <c r="IU24" s="5" t="str">
        <f t="shared" si="93"/>
        <v/>
      </c>
      <c r="IV24" s="670" t="str">
        <f t="shared" si="94"/>
        <v/>
      </c>
      <c r="IW24" s="9" t="str">
        <f t="shared" si="95"/>
        <v/>
      </c>
      <c r="IX24" s="5" t="str">
        <f t="shared" si="96"/>
        <v/>
      </c>
      <c r="IY24" s="5" t="str">
        <f t="shared" si="97"/>
        <v/>
      </c>
      <c r="IZ24" s="5" t="str">
        <f t="shared" si="98"/>
        <v/>
      </c>
      <c r="JA24" s="705" t="str">
        <f t="shared" si="99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2.8512048091440381</v>
      </c>
      <c r="C25" s="572">
        <f t="shared" si="3"/>
        <v>-2.0734881502407956</v>
      </c>
      <c r="D25" s="576">
        <f t="shared" si="4"/>
        <v>-0.95810000000000006</v>
      </c>
      <c r="E25" s="580">
        <f t="shared" si="5"/>
        <v>0.81096051266221358</v>
      </c>
      <c r="F25" s="572">
        <f t="shared" si="6"/>
        <v>0.56772633304069142</v>
      </c>
      <c r="G25" s="579">
        <f t="shared" si="7"/>
        <v>0.14152687969007821</v>
      </c>
      <c r="H25" s="580">
        <f t="shared" si="8"/>
        <v>0.3125</v>
      </c>
      <c r="I25" s="572">
        <f t="shared" si="9"/>
        <v>0.52</v>
      </c>
      <c r="J25" s="483">
        <f t="shared" si="10"/>
        <v>3.1150000000000002</v>
      </c>
      <c r="K25" s="806">
        <f t="shared" si="11"/>
        <v>1613</v>
      </c>
      <c r="L25" s="82"/>
      <c r="M25" s="164">
        <f t="shared" si="12"/>
        <v>3.1150000000000002</v>
      </c>
      <c r="N25" s="575">
        <f t="shared" si="13"/>
        <v>2.8512048091440381</v>
      </c>
      <c r="O25" s="572">
        <f t="shared" si="14"/>
        <v>-2.0734881502407956</v>
      </c>
      <c r="P25" s="576">
        <f t="shared" si="15"/>
        <v>-0.95810000000000006</v>
      </c>
      <c r="Q25" s="528">
        <f t="shared" si="138"/>
        <v>323.97414270048586</v>
      </c>
      <c r="R25" s="572">
        <f>IF(M25="","",SQRT(N25^2+O25^2))</f>
        <v>3.5254392595639894</v>
      </c>
      <c r="S25" s="577">
        <f>IF(M25="","",P25)</f>
        <v>-0.95810000000000006</v>
      </c>
      <c r="T25" s="578">
        <f>IF(M25="","",X25*COS(RADIANS(W25)))</f>
        <v>-2.0436042025624155</v>
      </c>
      <c r="U25" s="572">
        <f>IF(M25="","",X25*SIN(RADIANS(W25)))</f>
        <v>-2.8726997469530859</v>
      </c>
      <c r="V25" s="579">
        <f>IF(M25="","",Y25)</f>
        <v>-0.95810000000000006</v>
      </c>
      <c r="W25" s="528">
        <f t="shared" si="252"/>
        <v>234.5724086231503</v>
      </c>
      <c r="X25" s="572">
        <f>IF(M25="","",R25)</f>
        <v>3.5254392595639894</v>
      </c>
      <c r="Y25" s="573">
        <f t="shared" si="253"/>
        <v>-0.95810000000000006</v>
      </c>
      <c r="Z25" s="575">
        <f t="shared" si="18"/>
        <v>-0.81096051266221358</v>
      </c>
      <c r="AA25" s="572">
        <f t="shared" si="19"/>
        <v>-0.56772633304069142</v>
      </c>
      <c r="AB25" s="572">
        <f t="shared" si="20"/>
        <v>-0.14152687969007821</v>
      </c>
      <c r="AC25" s="579">
        <f>IF(M25="","",SQRT(Z25^2+AA25^2+AB25^2))</f>
        <v>1</v>
      </c>
      <c r="AD25" s="580">
        <f>IF(M25="","",Z25*(1/SQRT(Z25^2+AA25^2+AB25^2)))</f>
        <v>-0.81096051266221358</v>
      </c>
      <c r="AE25" s="572">
        <f>IF(M25="","",AA25*(1/SQRT(Z25^2+AA25^2+AB25^2)))</f>
        <v>-0.56772633304069142</v>
      </c>
      <c r="AF25" s="576">
        <f>IF(M25="","",AB25*(1/SQRT(Z25^2+AA25^2+AB25^2)))</f>
        <v>-0.14152687969007821</v>
      </c>
      <c r="AG25" s="545">
        <f>IF(M25="","",DEGREES(ATAN2(-AF25,AE25)))</f>
        <v>-76.002203710694388</v>
      </c>
      <c r="AH25" s="546">
        <f>IF(M25="","",DEGREES(ACOS(AD25)))</f>
        <v>144.18988252943555</v>
      </c>
      <c r="AI25" s="528">
        <f>IF(M25="","",DEGREES(-ACOS(-AF25)))</f>
        <v>-81.863790168070409</v>
      </c>
      <c r="AJ25" s="529">
        <f>IF(M25="","",DEGREES(ATAN2(-AE25,AD25)))</f>
        <v>-55.005420572687875</v>
      </c>
      <c r="AK25" s="578">
        <f>IF(M25="","",(COS(RADIANS((90-$Q$8)-W25))*AD25)+(-SIN(RADIANS((90-$Q$8)-W25))*AE25))</f>
        <v>0.93611627413764786</v>
      </c>
      <c r="AL25" s="572">
        <f>IF(M25="","",(SIN(RADIANS((90-$Q$8)-W25))*AD25)+(COS(RADIANS((90-$Q$8)-W25))*AE25))</f>
        <v>-0.32195723880639576</v>
      </c>
      <c r="AM25" s="577">
        <f>IF(M25="","",AF25)</f>
        <v>-0.14152687969007821</v>
      </c>
      <c r="AN25" s="524">
        <f>IF(M25="","",DEGREES(ATAN2(-AM25,AL25)))</f>
        <v>-66.270532964921799</v>
      </c>
      <c r="AO25" s="525">
        <f>IF(ROUND(IF(M25="",0,DEGREES(ACOS(AK25))),4)=90,0,IF(M25="","",DEGREES(ACOS(AK25))))</f>
        <v>20.590758432190892</v>
      </c>
      <c r="AP25" s="528">
        <f>IF(M25="","",DEGREES(ATAN2(AK25,AL25)))</f>
        <v>-18.979563273173728</v>
      </c>
      <c r="AQ25" s="529">
        <f t="shared" si="21"/>
        <v>0.6466229244001791</v>
      </c>
      <c r="AS25" s="946">
        <f t="shared" si="141"/>
        <v>-125.4275913768497</v>
      </c>
      <c r="AT25" s="942">
        <f t="shared" si="22"/>
        <v>-0.86672399005923106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2"/>
        <v/>
      </c>
      <c r="BA25" s="296" t="str">
        <f t="shared" si="24"/>
        <v/>
      </c>
      <c r="BB25" s="190" t="str">
        <f t="shared" si="143"/>
        <v/>
      </c>
      <c r="BC25" s="9"/>
      <c r="BD25" s="5" t="str">
        <f t="shared" si="144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5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6"/>
        <v/>
      </c>
      <c r="BP25" s="5" t="str">
        <f t="shared" si="147"/>
        <v/>
      </c>
      <c r="BQ25" s="5" t="str">
        <f t="shared" si="148"/>
        <v/>
      </c>
      <c r="BR25" s="6" t="str">
        <f t="shared" si="149"/>
        <v/>
      </c>
      <c r="BS25" s="4" t="str">
        <f t="shared" si="117"/>
        <v/>
      </c>
      <c r="BT25" s="5" t="str">
        <f t="shared" si="117"/>
        <v/>
      </c>
      <c r="BU25" s="10" t="str">
        <f t="shared" si="118"/>
        <v/>
      </c>
      <c r="BV25" s="9" t="str">
        <f t="shared" si="119"/>
        <v/>
      </c>
      <c r="BW25" s="5" t="str">
        <f t="shared" si="120"/>
        <v/>
      </c>
      <c r="BX25" s="8" t="str">
        <f t="shared" si="121"/>
        <v/>
      </c>
      <c r="BY25" s="173" t="str">
        <f t="shared" si="122"/>
        <v/>
      </c>
      <c r="BZ25" s="5" t="str">
        <f t="shared" si="123"/>
        <v/>
      </c>
      <c r="CA25" s="6" t="str">
        <f t="shared" si="124"/>
        <v/>
      </c>
      <c r="CB25" s="4" t="str">
        <f t="shared" si="150"/>
        <v/>
      </c>
      <c r="CC25" s="5" t="str">
        <f t="shared" si="151"/>
        <v/>
      </c>
      <c r="CD25" s="5" t="str">
        <f t="shared" si="152"/>
        <v/>
      </c>
      <c r="CE25" s="6" t="str">
        <f t="shared" si="153"/>
        <v/>
      </c>
      <c r="CF25" s="4" t="str">
        <f t="shared" si="154"/>
        <v/>
      </c>
      <c r="CG25" s="5" t="str">
        <f t="shared" si="155"/>
        <v/>
      </c>
      <c r="CH25" s="5" t="str">
        <f t="shared" si="156"/>
        <v/>
      </c>
      <c r="CI25" s="4" t="str">
        <f t="shared" si="125"/>
        <v/>
      </c>
      <c r="CJ25" s="5" t="str">
        <f t="shared" si="126"/>
        <v/>
      </c>
      <c r="CK25" s="8" t="str">
        <f t="shared" si="127"/>
        <v/>
      </c>
      <c r="CL25" s="173" t="str">
        <f t="shared" si="128"/>
        <v/>
      </c>
      <c r="CM25" s="5" t="str">
        <f t="shared" si="129"/>
        <v/>
      </c>
      <c r="CN25" s="6" t="str">
        <f t="shared" si="130"/>
        <v/>
      </c>
      <c r="CO25" s="167" t="str">
        <f t="shared" si="34"/>
        <v/>
      </c>
      <c r="CP25" s="4" t="str">
        <f t="shared" si="238"/>
        <v/>
      </c>
      <c r="CQ25" s="5" t="str">
        <f t="shared" si="239"/>
        <v/>
      </c>
      <c r="CR25" s="5" t="str">
        <f t="shared" si="157"/>
        <v/>
      </c>
      <c r="CS25" s="8" t="str">
        <f t="shared" si="158"/>
        <v/>
      </c>
      <c r="CT25" s="9" t="str">
        <f t="shared" si="159"/>
        <v/>
      </c>
      <c r="CU25" s="6" t="str">
        <f t="shared" si="160"/>
        <v/>
      </c>
      <c r="CV25" s="4" t="str">
        <f t="shared" si="240"/>
        <v/>
      </c>
      <c r="CW25" s="5" t="str">
        <f t="shared" si="161"/>
        <v/>
      </c>
      <c r="CX25" s="8" t="str">
        <f t="shared" si="162"/>
        <v/>
      </c>
      <c r="CY25" s="9" t="str">
        <f t="shared" si="163"/>
        <v/>
      </c>
      <c r="CZ25" s="5" t="str">
        <f t="shared" si="164"/>
        <v/>
      </c>
      <c r="DA25" s="6" t="str">
        <f t="shared" si="165"/>
        <v/>
      </c>
      <c r="DB25" s="4" t="str">
        <f t="shared" si="166"/>
        <v/>
      </c>
      <c r="DC25" s="5" t="str">
        <f t="shared" si="166"/>
        <v/>
      </c>
      <c r="DD25" s="10" t="str">
        <f t="shared" si="167"/>
        <v/>
      </c>
      <c r="DE25" s="9" t="str">
        <f t="shared" si="168"/>
        <v/>
      </c>
      <c r="DF25" s="5" t="str">
        <f t="shared" si="168"/>
        <v/>
      </c>
      <c r="DG25" s="10" t="str">
        <f t="shared" si="169"/>
        <v/>
      </c>
      <c r="DH25" s="70" t="str">
        <f t="shared" si="170"/>
        <v/>
      </c>
      <c r="DI25" s="4" t="str">
        <f t="shared" si="171"/>
        <v/>
      </c>
      <c r="DJ25" s="5" t="str">
        <f t="shared" si="172"/>
        <v/>
      </c>
      <c r="DK25" s="10" t="str">
        <f t="shared" si="173"/>
        <v/>
      </c>
      <c r="DL25" s="9" t="str">
        <f t="shared" si="174"/>
        <v/>
      </c>
      <c r="DM25" s="173" t="str">
        <f t="shared" si="175"/>
        <v/>
      </c>
      <c r="DN25" s="178" t="str">
        <f t="shared" si="176"/>
        <v/>
      </c>
      <c r="DO25" s="9" t="str">
        <f t="shared" si="177"/>
        <v/>
      </c>
      <c r="DP25" s="173" t="str">
        <f t="shared" si="178"/>
        <v/>
      </c>
      <c r="DQ25" s="11" t="str">
        <f t="shared" si="179"/>
        <v/>
      </c>
      <c r="DR25" s="173" t="str">
        <f t="shared" si="180"/>
        <v/>
      </c>
      <c r="DS25" s="5" t="str">
        <f t="shared" si="181"/>
        <v/>
      </c>
      <c r="DT25" s="5" t="str">
        <f t="shared" si="182"/>
        <v/>
      </c>
      <c r="DU25" s="5" t="str">
        <f t="shared" si="183"/>
        <v/>
      </c>
      <c r="DV25" s="5" t="str">
        <f t="shared" si="184"/>
        <v/>
      </c>
      <c r="DW25" s="5" t="str">
        <f t="shared" si="185"/>
        <v/>
      </c>
      <c r="DX25" s="167" t="str">
        <f t="shared" si="186"/>
        <v/>
      </c>
      <c r="DY25" s="9" t="str">
        <f t="shared" si="187"/>
        <v/>
      </c>
      <c r="DZ25" s="5" t="str">
        <f t="shared" si="188"/>
        <v/>
      </c>
      <c r="EA25" s="10" t="str">
        <f t="shared" si="189"/>
        <v/>
      </c>
      <c r="EB25" s="6" t="str">
        <f t="shared" si="190"/>
        <v/>
      </c>
      <c r="EC25" s="173" t="str">
        <f t="shared" si="191"/>
        <v/>
      </c>
      <c r="ED25" s="5" t="str">
        <f t="shared" si="192"/>
        <v/>
      </c>
      <c r="EE25" s="4" t="str">
        <f t="shared" si="193"/>
        <v/>
      </c>
      <c r="EF25" s="5" t="str">
        <f t="shared" si="194"/>
        <v/>
      </c>
      <c r="EG25" s="10" t="str">
        <f t="shared" si="195"/>
        <v/>
      </c>
      <c r="EH25" s="9" t="str">
        <f t="shared" si="196"/>
        <v/>
      </c>
      <c r="EI25" s="5" t="str">
        <f t="shared" si="197"/>
        <v/>
      </c>
      <c r="EJ25" s="6" t="str">
        <f t="shared" si="198"/>
        <v/>
      </c>
      <c r="EK25" s="236" t="str">
        <f t="shared" si="199"/>
        <v/>
      </c>
      <c r="EL25" s="238" t="str">
        <f t="shared" si="200"/>
        <v/>
      </c>
      <c r="EM25" s="4" t="str">
        <f t="shared" si="201"/>
        <v/>
      </c>
      <c r="EN25" s="5" t="str">
        <f t="shared" si="202"/>
        <v/>
      </c>
      <c r="EO25" s="10" t="str">
        <f t="shared" si="203"/>
        <v/>
      </c>
      <c r="EP25" s="9" t="str">
        <f t="shared" si="204"/>
        <v/>
      </c>
      <c r="EQ25" s="5" t="str">
        <f t="shared" si="205"/>
        <v/>
      </c>
      <c r="ER25" s="7" t="str">
        <f t="shared" si="206"/>
        <v/>
      </c>
      <c r="ES25" s="21" t="str">
        <f t="shared" si="131"/>
        <v/>
      </c>
      <c r="ET25" s="5" t="str">
        <f t="shared" si="43"/>
        <v/>
      </c>
      <c r="EU25" s="10" t="str">
        <f t="shared" si="44"/>
        <v/>
      </c>
      <c r="EV25" s="174" t="str">
        <f t="shared" si="250"/>
        <v/>
      </c>
      <c r="EW25" s="9" t="str">
        <f t="shared" si="132"/>
        <v/>
      </c>
      <c r="EX25" s="5" t="str">
        <f t="shared" si="45"/>
        <v/>
      </c>
      <c r="EY25" s="6" t="str">
        <f t="shared" si="207"/>
        <v/>
      </c>
      <c r="EZ25" s="51" t="str">
        <f t="shared" si="208"/>
        <v/>
      </c>
      <c r="FA25" s="266" t="str">
        <f t="shared" si="133"/>
        <v/>
      </c>
      <c r="FB25" s="267" t="str">
        <f t="shared" si="134"/>
        <v/>
      </c>
      <c r="FC25" s="269" t="str">
        <f t="shared" si="46"/>
        <v/>
      </c>
      <c r="FD25" s="4" t="str">
        <f t="shared" si="135"/>
        <v/>
      </c>
      <c r="FE25" s="5" t="str">
        <f t="shared" si="47"/>
        <v/>
      </c>
      <c r="FF25" s="7" t="str">
        <f t="shared" si="209"/>
        <v/>
      </c>
      <c r="FG25" s="173" t="str">
        <f t="shared" si="210"/>
        <v/>
      </c>
      <c r="FH25" s="5" t="str">
        <f t="shared" si="48"/>
        <v/>
      </c>
      <c r="FI25" s="10" t="str">
        <f t="shared" si="49"/>
        <v/>
      </c>
      <c r="FJ25" s="279" t="str">
        <f t="shared" si="211"/>
        <v/>
      </c>
      <c r="FK25" s="4" t="str">
        <f t="shared" si="50"/>
        <v/>
      </c>
      <c r="FL25" s="5" t="str">
        <f t="shared" si="212"/>
        <v/>
      </c>
      <c r="FM25" s="8" t="str">
        <f t="shared" si="213"/>
        <v/>
      </c>
      <c r="FN25" s="9" t="str">
        <f t="shared" si="214"/>
        <v/>
      </c>
      <c r="FO25" s="10" t="str">
        <f t="shared" si="51"/>
        <v/>
      </c>
      <c r="FP25" s="277" t="str">
        <f t="shared" si="52"/>
        <v/>
      </c>
      <c r="FQ25" s="173" t="str">
        <f t="shared" si="241"/>
        <v/>
      </c>
      <c r="FR25" s="10" t="str">
        <f t="shared" si="215"/>
        <v/>
      </c>
      <c r="FS25" s="9" t="str">
        <f t="shared" si="216"/>
        <v/>
      </c>
      <c r="FT25" s="6" t="str">
        <f t="shared" si="217"/>
        <v/>
      </c>
      <c r="FU25" s="4" t="str">
        <f t="shared" si="218"/>
        <v/>
      </c>
      <c r="FV25" s="5" t="str">
        <f t="shared" si="219"/>
        <v/>
      </c>
      <c r="FW25" s="8" t="str">
        <f t="shared" si="242"/>
        <v/>
      </c>
      <c r="FX25" s="9" t="str">
        <f t="shared" si="243"/>
        <v/>
      </c>
      <c r="FY25" s="10" t="str">
        <f t="shared" si="53"/>
        <v/>
      </c>
      <c r="FZ25" s="277" t="str">
        <f t="shared" si="244"/>
        <v/>
      </c>
      <c r="GA25" s="177" t="str">
        <f t="shared" si="220"/>
        <v/>
      </c>
      <c r="GB25" s="4" t="str">
        <f t="shared" si="221"/>
        <v/>
      </c>
      <c r="GC25" s="5" t="str">
        <f t="shared" si="222"/>
        <v/>
      </c>
      <c r="GD25" s="10" t="str">
        <f t="shared" si="223"/>
        <v/>
      </c>
      <c r="GE25" s="311" t="str">
        <f t="shared" si="224"/>
        <v/>
      </c>
      <c r="GF25" s="341" t="str">
        <f t="shared" si="245"/>
        <v/>
      </c>
      <c r="GG25" s="285" t="str">
        <f t="shared" si="54"/>
        <v/>
      </c>
      <c r="GH25" s="286" t="str">
        <f t="shared" si="55"/>
        <v/>
      </c>
      <c r="GI25" s="281" t="str">
        <f t="shared" si="56"/>
        <v/>
      </c>
      <c r="GJ25" s="167" t="str">
        <f t="shared" si="225"/>
        <v/>
      </c>
      <c r="GK25" s="174" t="str">
        <f t="shared" si="57"/>
        <v/>
      </c>
      <c r="GL25" s="174" t="str">
        <f t="shared" si="226"/>
        <v/>
      </c>
      <c r="GM25" s="177" t="str">
        <f t="shared" si="246"/>
        <v/>
      </c>
      <c r="GN25" s="280" t="str">
        <f t="shared" si="227"/>
        <v/>
      </c>
      <c r="GO25" s="4" t="str">
        <f t="shared" si="228"/>
        <v/>
      </c>
      <c r="GP25" s="8" t="str">
        <f t="shared" si="247"/>
        <v/>
      </c>
      <c r="GQ25" s="177" t="str">
        <f t="shared" si="229"/>
        <v/>
      </c>
      <c r="GR25" s="371" t="str">
        <f t="shared" si="248"/>
        <v/>
      </c>
      <c r="GS25" s="342" t="str">
        <f t="shared" si="59"/>
        <v/>
      </c>
      <c r="GT25" s="343" t="str">
        <f t="shared" si="60"/>
        <v/>
      </c>
      <c r="GU25" s="344" t="str">
        <f t="shared" si="61"/>
        <v/>
      </c>
      <c r="GV25" s="343" t="str">
        <f t="shared" si="251"/>
        <v/>
      </c>
      <c r="GW25" s="345" t="str">
        <f t="shared" si="62"/>
        <v/>
      </c>
      <c r="GX25" s="346" t="str">
        <f t="shared" si="63"/>
        <v/>
      </c>
      <c r="GY25" s="344" t="str">
        <f t="shared" si="64"/>
        <v/>
      </c>
      <c r="GZ25" s="345" t="str">
        <f t="shared" si="65"/>
        <v/>
      </c>
      <c r="HA25" s="342" t="str">
        <f t="shared" si="66"/>
        <v/>
      </c>
      <c r="HB25" s="5" t="str">
        <f t="shared" si="230"/>
        <v/>
      </c>
      <c r="HC25" s="343" t="str">
        <f t="shared" si="231"/>
        <v/>
      </c>
      <c r="HD25" s="363" t="str">
        <f t="shared" si="232"/>
        <v/>
      </c>
      <c r="HE25" s="344" t="str">
        <f t="shared" si="67"/>
        <v/>
      </c>
      <c r="HF25" s="5" t="str">
        <f t="shared" si="68"/>
        <v/>
      </c>
      <c r="HG25" s="343" t="str">
        <f t="shared" si="233"/>
        <v/>
      </c>
      <c r="HH25" s="349" t="str">
        <f t="shared" si="234"/>
        <v/>
      </c>
      <c r="HI25" s="317" t="str">
        <f t="shared" si="69"/>
        <v/>
      </c>
      <c r="HJ25" s="336"/>
      <c r="HK25" s="310" t="str">
        <f t="shared" si="136"/>
        <v/>
      </c>
      <c r="HL25" s="348" t="str">
        <f t="shared" si="70"/>
        <v/>
      </c>
      <c r="HM25" s="923" t="str">
        <f t="shared" si="71"/>
        <v/>
      </c>
      <c r="HN25" s="924" t="str">
        <f t="shared" si="72"/>
        <v/>
      </c>
      <c r="HO25" s="925"/>
      <c r="HP25" s="926"/>
      <c r="HQ25" s="924" t="str">
        <f t="shared" si="73"/>
        <v/>
      </c>
      <c r="HR25" s="927" t="str">
        <f t="shared" si="74"/>
        <v/>
      </c>
      <c r="HS25" s="879" t="str">
        <f t="shared" si="249"/>
        <v/>
      </c>
      <c r="HT25" s="889" t="str">
        <f t="shared" si="75"/>
        <v/>
      </c>
      <c r="HU25" s="890" t="str">
        <f t="shared" si="76"/>
        <v/>
      </c>
      <c r="HV25" s="886" t="str">
        <f t="shared" si="77"/>
        <v/>
      </c>
      <c r="HW25" s="880" t="str">
        <f t="shared" si="78"/>
        <v/>
      </c>
      <c r="HX25" s="881" t="str">
        <f t="shared" si="79"/>
        <v/>
      </c>
      <c r="HY25" s="880" t="str">
        <f t="shared" si="80"/>
        <v/>
      </c>
      <c r="HZ25" s="882" t="str">
        <f t="shared" si="81"/>
        <v/>
      </c>
      <c r="IA25" s="883" t="str">
        <f t="shared" si="82"/>
        <v/>
      </c>
      <c r="IB25" s="884" t="str">
        <f t="shared" si="83"/>
        <v/>
      </c>
      <c r="IC25" s="855" t="str">
        <f t="shared" si="84"/>
        <v/>
      </c>
      <c r="ID25" s="351" t="str">
        <f t="shared" si="85"/>
        <v/>
      </c>
      <c r="IE25" s="857" t="str">
        <f t="shared" si="86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5"/>
        <v>3.1150000000000002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7"/>
        <v>1613</v>
      </c>
      <c r="IM25" s="482" t="str">
        <f t="shared" si="236"/>
        <v/>
      </c>
      <c r="IN25" s="670" t="str">
        <f t="shared" si="89"/>
        <v/>
      </c>
      <c r="IO25" s="702"/>
      <c r="IP25" s="5" t="str">
        <f t="shared" si="90"/>
        <v/>
      </c>
      <c r="IQ25" s="714"/>
      <c r="IR25" s="9" t="str">
        <f t="shared" si="137"/>
        <v/>
      </c>
      <c r="IS25" s="5" t="str">
        <f t="shared" si="91"/>
        <v/>
      </c>
      <c r="IT25" s="5" t="str">
        <f t="shared" si="92"/>
        <v/>
      </c>
      <c r="IU25" s="5" t="str">
        <f t="shared" si="93"/>
        <v/>
      </c>
      <c r="IV25" s="670" t="str">
        <f t="shared" si="94"/>
        <v/>
      </c>
      <c r="IW25" s="9" t="str">
        <f t="shared" si="95"/>
        <v/>
      </c>
      <c r="IX25" s="5" t="str">
        <f t="shared" si="96"/>
        <v/>
      </c>
      <c r="IY25" s="5" t="str">
        <f t="shared" si="97"/>
        <v/>
      </c>
      <c r="IZ25" s="5" t="str">
        <f t="shared" si="98"/>
        <v/>
      </c>
      <c r="JA25" s="705" t="str">
        <f t="shared" si="99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3.0270053727053452</v>
      </c>
      <c r="C26" s="572">
        <f t="shared" si="3"/>
        <v>-2.2385796759213319</v>
      </c>
      <c r="D26" s="576">
        <f t="shared" si="4"/>
        <v>-1.6296999999999999</v>
      </c>
      <c r="E26" s="580">
        <f t="shared" si="5"/>
        <v>0.91257605466996394</v>
      </c>
      <c r="F26" s="572">
        <f t="shared" si="6"/>
        <v>0.40424314982034115</v>
      </c>
      <c r="G26" s="579">
        <f t="shared" si="7"/>
        <v>6.1582629582798941E-2</v>
      </c>
      <c r="H26" s="580">
        <f t="shared" si="8"/>
        <v>0.26450000000000001</v>
      </c>
      <c r="I26" s="572">
        <f t="shared" si="9"/>
        <v>0.52</v>
      </c>
      <c r="J26" s="483">
        <f t="shared" si="10"/>
        <v>3.1179999999999999</v>
      </c>
      <c r="K26" s="806">
        <f t="shared" si="11"/>
        <v>1313</v>
      </c>
      <c r="L26" s="309"/>
      <c r="M26" s="164">
        <f t="shared" si="12"/>
        <v>3.1179999999999999</v>
      </c>
      <c r="N26" s="575">
        <f t="shared" si="13"/>
        <v>3.0270053727053452</v>
      </c>
      <c r="O26" s="572">
        <f t="shared" si="14"/>
        <v>-2.2385796759213319</v>
      </c>
      <c r="P26" s="576">
        <f t="shared" si="15"/>
        <v>-1.6296999999999999</v>
      </c>
      <c r="Q26" s="528">
        <f t="shared" si="138"/>
        <v>323.51573823692195</v>
      </c>
      <c r="R26" s="572">
        <f>IF(M26="","",SQRT(N26^2+O26^2))</f>
        <v>3.7648373792018002</v>
      </c>
      <c r="S26" s="577">
        <f>IF(M26="","",P26)</f>
        <v>-1.6296999999999999</v>
      </c>
      <c r="T26" s="578">
        <f>IF(M26="","",X26*COS(RADIANS(W26)))</f>
        <v>-2.2068511032442268</v>
      </c>
      <c r="U26" s="572">
        <f>IF(M26="","",X26*SIN(RADIANS(W26)))</f>
        <v>-3.050214533429545</v>
      </c>
      <c r="V26" s="579">
        <f>IF(M26="","",Y26)</f>
        <v>-1.6296999999999999</v>
      </c>
      <c r="W26" s="528">
        <f t="shared" si="252"/>
        <v>234.11400415958639</v>
      </c>
      <c r="X26" s="572">
        <f>IF(M26="","",R26)</f>
        <v>3.7648373792018002</v>
      </c>
      <c r="Y26" s="573">
        <f t="shared" si="253"/>
        <v>-1.6296999999999999</v>
      </c>
      <c r="Z26" s="575">
        <f t="shared" si="18"/>
        <v>-0.91257605466996394</v>
      </c>
      <c r="AA26" s="572">
        <f t="shared" si="19"/>
        <v>-0.40424314982034115</v>
      </c>
      <c r="AB26" s="572">
        <f t="shared" si="20"/>
        <v>-6.1582629582798941E-2</v>
      </c>
      <c r="AC26" s="579">
        <f>IF(M26="","",SQRT(Z26^2+AA26^2+AB26^2))</f>
        <v>1</v>
      </c>
      <c r="AD26" s="580">
        <f>IF(M26="","",Z26*(1/SQRT(Z26^2+AA26^2+AB26^2)))</f>
        <v>-0.91257605466996394</v>
      </c>
      <c r="AE26" s="572">
        <f>IF(M26="","",AA26*(1/SQRT(Z26^2+AA26^2+AB26^2)))</f>
        <v>-0.40424314982034115</v>
      </c>
      <c r="AF26" s="576">
        <f>IF(M26="","",AB26*(1/SQRT(Z26^2+AA26^2+AB26^2)))</f>
        <v>-6.1582629582798941E-2</v>
      </c>
      <c r="AG26" s="545">
        <f>IF(M26="","",DEGREES(ATAN2(-AF26,AE26)))</f>
        <v>-81.338126130477335</v>
      </c>
      <c r="AH26" s="546">
        <f>IF(M26="","",DEGREES(ACOS(AD26)))</f>
        <v>155.8638065226572</v>
      </c>
      <c r="AI26" s="528">
        <f>IF(M26="","",DEGREES(-ACOS(-AF26)))</f>
        <v>-86.469341207320554</v>
      </c>
      <c r="AJ26" s="529">
        <f>IF(M26="","",DEGREES(ATAN2(-AE26,AD26)))</f>
        <v>-66.10812921342945</v>
      </c>
      <c r="AK26" s="578">
        <f>IF(M26="","",(COS(RADIANS((90-$Q$8)-W26))*AD26)+(-SIN(RADIANS((90-$Q$8)-W26))*AE26))</f>
        <v>0.86763917431002291</v>
      </c>
      <c r="AL26" s="572">
        <f>IF(M26="","",(SIN(RADIANS((90-$Q$8)-W26))*AD26)+(COS(RADIANS((90-$Q$8)-W26))*AE26))</f>
        <v>-0.49336583073444579</v>
      </c>
      <c r="AM26" s="577">
        <f>IF(M26="","",AF26)</f>
        <v>-6.1582629582798941E-2</v>
      </c>
      <c r="AN26" s="524">
        <f>IF(M26="","",DEGREES(ATAN2(-AM26,AL26)))</f>
        <v>-82.885057651821043</v>
      </c>
      <c r="AO26" s="525">
        <f t="shared" si="115"/>
        <v>29.814555396089474</v>
      </c>
      <c r="AP26" s="528">
        <f>IF(M26="","",DEGREES(ATAN2(AK26,AL26)))</f>
        <v>-29.623867450351366</v>
      </c>
      <c r="AQ26" s="529">
        <f t="shared" si="21"/>
        <v>0.60550869298203147</v>
      </c>
      <c r="AS26" s="946">
        <f t="shared" si="141"/>
        <v>-125.88599584041361</v>
      </c>
      <c r="AT26" s="942">
        <f t="shared" si="22"/>
        <v>-1.5380056536262006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2"/>
        <v/>
      </c>
      <c r="BA26" s="296" t="str">
        <f t="shared" si="24"/>
        <v/>
      </c>
      <c r="BB26" s="190" t="str">
        <f t="shared" si="143"/>
        <v/>
      </c>
      <c r="BC26" s="9"/>
      <c r="BD26" s="5" t="str">
        <f t="shared" si="144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5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6"/>
        <v/>
      </c>
      <c r="BP26" s="5" t="str">
        <f t="shared" si="147"/>
        <v/>
      </c>
      <c r="BQ26" s="5" t="str">
        <f t="shared" si="148"/>
        <v/>
      </c>
      <c r="BR26" s="6" t="str">
        <f t="shared" si="149"/>
        <v/>
      </c>
      <c r="BS26" s="4" t="str">
        <f t="shared" si="117"/>
        <v/>
      </c>
      <c r="BT26" s="5" t="str">
        <f t="shared" si="117"/>
        <v/>
      </c>
      <c r="BU26" s="10" t="str">
        <f t="shared" si="118"/>
        <v/>
      </c>
      <c r="BV26" s="9" t="str">
        <f t="shared" si="119"/>
        <v/>
      </c>
      <c r="BW26" s="5" t="str">
        <f t="shared" si="120"/>
        <v/>
      </c>
      <c r="BX26" s="8" t="str">
        <f t="shared" si="121"/>
        <v/>
      </c>
      <c r="BY26" s="173" t="str">
        <f t="shared" si="122"/>
        <v/>
      </c>
      <c r="BZ26" s="5" t="str">
        <f t="shared" si="123"/>
        <v/>
      </c>
      <c r="CA26" s="6" t="str">
        <f t="shared" si="124"/>
        <v/>
      </c>
      <c r="CB26" s="4" t="str">
        <f t="shared" si="150"/>
        <v/>
      </c>
      <c r="CC26" s="5" t="str">
        <f t="shared" si="151"/>
        <v/>
      </c>
      <c r="CD26" s="5" t="str">
        <f t="shared" si="152"/>
        <v/>
      </c>
      <c r="CE26" s="6" t="str">
        <f t="shared" si="153"/>
        <v/>
      </c>
      <c r="CF26" s="4" t="str">
        <f t="shared" si="154"/>
        <v/>
      </c>
      <c r="CG26" s="5" t="str">
        <f t="shared" si="155"/>
        <v/>
      </c>
      <c r="CH26" s="5" t="str">
        <f t="shared" si="156"/>
        <v/>
      </c>
      <c r="CI26" s="4" t="str">
        <f t="shared" si="125"/>
        <v/>
      </c>
      <c r="CJ26" s="5" t="str">
        <f t="shared" si="126"/>
        <v/>
      </c>
      <c r="CK26" s="8" t="str">
        <f t="shared" si="127"/>
        <v/>
      </c>
      <c r="CL26" s="173" t="str">
        <f t="shared" si="128"/>
        <v/>
      </c>
      <c r="CM26" s="5" t="str">
        <f t="shared" si="129"/>
        <v/>
      </c>
      <c r="CN26" s="6" t="str">
        <f t="shared" si="130"/>
        <v/>
      </c>
      <c r="CO26" s="167" t="str">
        <f t="shared" si="34"/>
        <v/>
      </c>
      <c r="CP26" s="4" t="str">
        <f t="shared" si="238"/>
        <v/>
      </c>
      <c r="CQ26" s="5" t="str">
        <f t="shared" si="239"/>
        <v/>
      </c>
      <c r="CR26" s="5" t="str">
        <f t="shared" si="157"/>
        <v/>
      </c>
      <c r="CS26" s="8" t="str">
        <f t="shared" si="158"/>
        <v/>
      </c>
      <c r="CT26" s="9" t="str">
        <f t="shared" si="159"/>
        <v/>
      </c>
      <c r="CU26" s="6" t="str">
        <f t="shared" si="160"/>
        <v/>
      </c>
      <c r="CV26" s="4" t="str">
        <f t="shared" si="240"/>
        <v/>
      </c>
      <c r="CW26" s="5" t="str">
        <f t="shared" si="161"/>
        <v/>
      </c>
      <c r="CX26" s="8" t="str">
        <f t="shared" si="162"/>
        <v/>
      </c>
      <c r="CY26" s="9" t="str">
        <f t="shared" si="163"/>
        <v/>
      </c>
      <c r="CZ26" s="5" t="str">
        <f t="shared" si="164"/>
        <v/>
      </c>
      <c r="DA26" s="6" t="str">
        <f t="shared" si="165"/>
        <v/>
      </c>
      <c r="DB26" s="4" t="str">
        <f t="shared" si="166"/>
        <v/>
      </c>
      <c r="DC26" s="5" t="str">
        <f t="shared" si="166"/>
        <v/>
      </c>
      <c r="DD26" s="10" t="str">
        <f t="shared" si="167"/>
        <v/>
      </c>
      <c r="DE26" s="9" t="str">
        <f t="shared" si="168"/>
        <v/>
      </c>
      <c r="DF26" s="5" t="str">
        <f t="shared" si="168"/>
        <v/>
      </c>
      <c r="DG26" s="10" t="str">
        <f t="shared" si="169"/>
        <v/>
      </c>
      <c r="DH26" s="70" t="str">
        <f t="shared" si="170"/>
        <v/>
      </c>
      <c r="DI26" s="4" t="str">
        <f t="shared" si="171"/>
        <v/>
      </c>
      <c r="DJ26" s="5" t="str">
        <f t="shared" si="172"/>
        <v/>
      </c>
      <c r="DK26" s="10" t="str">
        <f t="shared" si="173"/>
        <v/>
      </c>
      <c r="DL26" s="9" t="str">
        <f t="shared" si="174"/>
        <v/>
      </c>
      <c r="DM26" s="173" t="str">
        <f t="shared" si="175"/>
        <v/>
      </c>
      <c r="DN26" s="178" t="str">
        <f t="shared" si="176"/>
        <v/>
      </c>
      <c r="DO26" s="9" t="str">
        <f t="shared" si="177"/>
        <v/>
      </c>
      <c r="DP26" s="173" t="str">
        <f t="shared" si="178"/>
        <v/>
      </c>
      <c r="DQ26" s="11" t="str">
        <f t="shared" si="179"/>
        <v/>
      </c>
      <c r="DR26" s="173" t="str">
        <f t="shared" si="180"/>
        <v/>
      </c>
      <c r="DS26" s="5" t="str">
        <f t="shared" si="181"/>
        <v/>
      </c>
      <c r="DT26" s="5" t="str">
        <f t="shared" si="182"/>
        <v/>
      </c>
      <c r="DU26" s="5" t="str">
        <f t="shared" si="183"/>
        <v/>
      </c>
      <c r="DV26" s="5" t="str">
        <f t="shared" si="184"/>
        <v/>
      </c>
      <c r="DW26" s="5" t="str">
        <f t="shared" si="185"/>
        <v/>
      </c>
      <c r="DX26" s="167" t="str">
        <f t="shared" si="186"/>
        <v/>
      </c>
      <c r="DY26" s="9" t="str">
        <f t="shared" si="187"/>
        <v/>
      </c>
      <c r="DZ26" s="5" t="str">
        <f t="shared" si="188"/>
        <v/>
      </c>
      <c r="EA26" s="10" t="str">
        <f t="shared" si="189"/>
        <v/>
      </c>
      <c r="EB26" s="6" t="str">
        <f t="shared" si="190"/>
        <v/>
      </c>
      <c r="EC26" s="173" t="str">
        <f t="shared" si="191"/>
        <v/>
      </c>
      <c r="ED26" s="5" t="str">
        <f t="shared" si="192"/>
        <v/>
      </c>
      <c r="EE26" s="4" t="str">
        <f t="shared" si="193"/>
        <v/>
      </c>
      <c r="EF26" s="5" t="str">
        <f t="shared" si="194"/>
        <v/>
      </c>
      <c r="EG26" s="10" t="str">
        <f t="shared" si="195"/>
        <v/>
      </c>
      <c r="EH26" s="9" t="str">
        <f t="shared" si="196"/>
        <v/>
      </c>
      <c r="EI26" s="5" t="str">
        <f t="shared" si="197"/>
        <v/>
      </c>
      <c r="EJ26" s="6" t="str">
        <f t="shared" si="198"/>
        <v/>
      </c>
      <c r="EK26" s="236" t="str">
        <f t="shared" si="199"/>
        <v/>
      </c>
      <c r="EL26" s="238" t="str">
        <f t="shared" si="200"/>
        <v/>
      </c>
      <c r="EM26" s="4" t="str">
        <f t="shared" si="201"/>
        <v/>
      </c>
      <c r="EN26" s="5" t="str">
        <f t="shared" si="202"/>
        <v/>
      </c>
      <c r="EO26" s="10" t="str">
        <f t="shared" si="203"/>
        <v/>
      </c>
      <c r="EP26" s="9" t="str">
        <f t="shared" si="204"/>
        <v/>
      </c>
      <c r="EQ26" s="5" t="str">
        <f t="shared" si="205"/>
        <v/>
      </c>
      <c r="ER26" s="7" t="str">
        <f t="shared" si="206"/>
        <v/>
      </c>
      <c r="ES26" s="21" t="str">
        <f t="shared" si="131"/>
        <v/>
      </c>
      <c r="ET26" s="5" t="str">
        <f t="shared" si="43"/>
        <v/>
      </c>
      <c r="EU26" s="10" t="str">
        <f t="shared" si="44"/>
        <v/>
      </c>
      <c r="EV26" s="174" t="str">
        <f t="shared" si="250"/>
        <v/>
      </c>
      <c r="EW26" s="9" t="str">
        <f t="shared" si="132"/>
        <v/>
      </c>
      <c r="EX26" s="5" t="str">
        <f t="shared" si="45"/>
        <v/>
      </c>
      <c r="EY26" s="6" t="str">
        <f t="shared" si="207"/>
        <v/>
      </c>
      <c r="EZ26" s="51" t="str">
        <f t="shared" si="208"/>
        <v/>
      </c>
      <c r="FA26" s="266" t="str">
        <f t="shared" si="133"/>
        <v/>
      </c>
      <c r="FB26" s="267" t="str">
        <f t="shared" si="134"/>
        <v/>
      </c>
      <c r="FC26" s="269" t="str">
        <f t="shared" si="46"/>
        <v/>
      </c>
      <c r="FD26" s="4" t="str">
        <f t="shared" si="135"/>
        <v/>
      </c>
      <c r="FE26" s="5" t="str">
        <f t="shared" si="47"/>
        <v/>
      </c>
      <c r="FF26" s="7" t="str">
        <f t="shared" si="209"/>
        <v/>
      </c>
      <c r="FG26" s="173" t="str">
        <f t="shared" si="210"/>
        <v/>
      </c>
      <c r="FH26" s="5" t="str">
        <f t="shared" si="48"/>
        <v/>
      </c>
      <c r="FI26" s="10" t="str">
        <f t="shared" si="49"/>
        <v/>
      </c>
      <c r="FJ26" s="279" t="str">
        <f t="shared" si="211"/>
        <v/>
      </c>
      <c r="FK26" s="4" t="str">
        <f t="shared" si="50"/>
        <v/>
      </c>
      <c r="FL26" s="5" t="str">
        <f t="shared" si="212"/>
        <v/>
      </c>
      <c r="FM26" s="8" t="str">
        <f t="shared" si="213"/>
        <v/>
      </c>
      <c r="FN26" s="9" t="str">
        <f t="shared" si="214"/>
        <v/>
      </c>
      <c r="FO26" s="10" t="str">
        <f t="shared" si="51"/>
        <v/>
      </c>
      <c r="FP26" s="277" t="str">
        <f t="shared" si="52"/>
        <v/>
      </c>
      <c r="FQ26" s="173" t="str">
        <f t="shared" si="241"/>
        <v/>
      </c>
      <c r="FR26" s="10" t="str">
        <f t="shared" si="215"/>
        <v/>
      </c>
      <c r="FS26" s="9" t="str">
        <f>IF(ISNUMBER($AV26),FQ26/(FQ26+FR26),"")</f>
        <v/>
      </c>
      <c r="FT26" s="6" t="str">
        <f t="shared" si="217"/>
        <v/>
      </c>
      <c r="FU26" s="4" t="str">
        <f t="shared" si="218"/>
        <v/>
      </c>
      <c r="FV26" s="5" t="str">
        <f t="shared" si="219"/>
        <v/>
      </c>
      <c r="FW26" s="8" t="str">
        <f t="shared" si="242"/>
        <v/>
      </c>
      <c r="FX26" s="9" t="str">
        <f t="shared" si="243"/>
        <v/>
      </c>
      <c r="FY26" s="10" t="str">
        <f t="shared" si="53"/>
        <v/>
      </c>
      <c r="FZ26" s="277" t="str">
        <f t="shared" si="244"/>
        <v/>
      </c>
      <c r="GA26" s="177" t="str">
        <f t="shared" si="220"/>
        <v/>
      </c>
      <c r="GB26" s="4" t="str">
        <f t="shared" si="221"/>
        <v/>
      </c>
      <c r="GC26" s="5" t="str">
        <f t="shared" si="222"/>
        <v/>
      </c>
      <c r="GD26" s="10" t="str">
        <f t="shared" si="223"/>
        <v/>
      </c>
      <c r="GE26" s="311" t="str">
        <f t="shared" si="224"/>
        <v/>
      </c>
      <c r="GF26" s="341" t="str">
        <f>IF(ISNUMBER($AV26),1/GE26,"")</f>
        <v/>
      </c>
      <c r="GG26" s="285" t="str">
        <f t="shared" si="54"/>
        <v/>
      </c>
      <c r="GH26" s="286" t="str">
        <f t="shared" si="55"/>
        <v/>
      </c>
      <c r="GI26" s="281" t="str">
        <f t="shared" si="56"/>
        <v/>
      </c>
      <c r="GJ26" s="167" t="str">
        <f t="shared" si="225"/>
        <v/>
      </c>
      <c r="GK26" s="174" t="str">
        <f t="shared" si="57"/>
        <v/>
      </c>
      <c r="GL26" s="174" t="str">
        <f t="shared" si="226"/>
        <v/>
      </c>
      <c r="GM26" s="177" t="str">
        <f t="shared" si="246"/>
        <v/>
      </c>
      <c r="GN26" s="280" t="str">
        <f t="shared" si="227"/>
        <v/>
      </c>
      <c r="GO26" s="4" t="str">
        <f t="shared" si="228"/>
        <v/>
      </c>
      <c r="GP26" s="8" t="str">
        <f t="shared" si="247"/>
        <v/>
      </c>
      <c r="GQ26" s="177" t="str">
        <f t="shared" si="229"/>
        <v/>
      </c>
      <c r="GR26" s="371" t="str">
        <f t="shared" si="248"/>
        <v/>
      </c>
      <c r="GS26" s="342" t="str">
        <f t="shared" si="59"/>
        <v/>
      </c>
      <c r="GT26" s="343" t="str">
        <f t="shared" si="60"/>
        <v/>
      </c>
      <c r="GU26" s="344" t="str">
        <f t="shared" si="61"/>
        <v/>
      </c>
      <c r="GV26" s="343" t="str">
        <f t="shared" si="251"/>
        <v/>
      </c>
      <c r="GW26" s="345" t="str">
        <f t="shared" si="62"/>
        <v/>
      </c>
      <c r="GX26" s="346" t="str">
        <f t="shared" si="63"/>
        <v/>
      </c>
      <c r="GY26" s="344" t="str">
        <f t="shared" si="64"/>
        <v/>
      </c>
      <c r="GZ26" s="345" t="str">
        <f t="shared" si="65"/>
        <v/>
      </c>
      <c r="HA26" s="342" t="str">
        <f t="shared" si="66"/>
        <v/>
      </c>
      <c r="HB26" s="5" t="str">
        <f t="shared" si="230"/>
        <v/>
      </c>
      <c r="HC26" s="343" t="str">
        <f t="shared" si="231"/>
        <v/>
      </c>
      <c r="HD26" s="363" t="str">
        <f t="shared" si="232"/>
        <v/>
      </c>
      <c r="HE26" s="344" t="str">
        <f t="shared" si="67"/>
        <v/>
      </c>
      <c r="HF26" s="5" t="str">
        <f t="shared" si="68"/>
        <v/>
      </c>
      <c r="HG26" s="343" t="str">
        <f t="shared" si="233"/>
        <v/>
      </c>
      <c r="HH26" s="349" t="str">
        <f t="shared" si="234"/>
        <v/>
      </c>
      <c r="HI26" s="317" t="str">
        <f t="shared" si="69"/>
        <v/>
      </c>
      <c r="HJ26" s="336"/>
      <c r="HK26" s="310" t="str">
        <f t="shared" si="136"/>
        <v/>
      </c>
      <c r="HL26" s="348" t="str">
        <f t="shared" si="70"/>
        <v/>
      </c>
      <c r="HM26" s="923" t="str">
        <f t="shared" si="71"/>
        <v/>
      </c>
      <c r="HN26" s="924" t="str">
        <f t="shared" si="72"/>
        <v/>
      </c>
      <c r="HO26" s="925"/>
      <c r="HP26" s="926"/>
      <c r="HQ26" s="924" t="str">
        <f t="shared" si="73"/>
        <v/>
      </c>
      <c r="HR26" s="927" t="str">
        <f t="shared" si="74"/>
        <v/>
      </c>
      <c r="HS26" s="879" t="str">
        <f t="shared" si="249"/>
        <v/>
      </c>
      <c r="HT26" s="889" t="str">
        <f t="shared" si="75"/>
        <v/>
      </c>
      <c r="HU26" s="890" t="str">
        <f t="shared" si="76"/>
        <v/>
      </c>
      <c r="HV26" s="886" t="str">
        <f t="shared" si="77"/>
        <v/>
      </c>
      <c r="HW26" s="880" t="str">
        <f t="shared" si="78"/>
        <v/>
      </c>
      <c r="HX26" s="881" t="str">
        <f t="shared" si="79"/>
        <v/>
      </c>
      <c r="HY26" s="880" t="str">
        <f t="shared" si="80"/>
        <v/>
      </c>
      <c r="HZ26" s="882" t="str">
        <f t="shared" si="81"/>
        <v/>
      </c>
      <c r="IA26" s="883" t="str">
        <f t="shared" si="82"/>
        <v/>
      </c>
      <c r="IB26" s="884" t="str">
        <f t="shared" si="83"/>
        <v/>
      </c>
      <c r="IC26" s="855" t="str">
        <f t="shared" si="84"/>
        <v/>
      </c>
      <c r="ID26" s="351" t="str">
        <f t="shared" si="85"/>
        <v/>
      </c>
      <c r="IE26" s="857" t="str">
        <f t="shared" si="86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5"/>
        <v>3.1179999999999999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7"/>
        <v>1313</v>
      </c>
      <c r="IM26" s="482" t="str">
        <f t="shared" si="236"/>
        <v/>
      </c>
      <c r="IN26" s="670" t="str">
        <f t="shared" si="89"/>
        <v/>
      </c>
      <c r="IO26" s="702"/>
      <c r="IP26" s="5" t="str">
        <f t="shared" si="90"/>
        <v/>
      </c>
      <c r="IQ26" s="714"/>
      <c r="IR26" s="9" t="str">
        <f t="shared" si="137"/>
        <v/>
      </c>
      <c r="IS26" s="5" t="str">
        <f t="shared" si="91"/>
        <v/>
      </c>
      <c r="IT26" s="5" t="str">
        <f t="shared" si="92"/>
        <v/>
      </c>
      <c r="IU26" s="5" t="str">
        <f t="shared" si="93"/>
        <v/>
      </c>
      <c r="IV26" s="670" t="str">
        <f t="shared" si="94"/>
        <v/>
      </c>
      <c r="IW26" s="9" t="str">
        <f t="shared" si="95"/>
        <v/>
      </c>
      <c r="IX26" s="5" t="str">
        <f t="shared" si="96"/>
        <v/>
      </c>
      <c r="IY26" s="5" t="str">
        <f t="shared" si="97"/>
        <v/>
      </c>
      <c r="IZ26" s="5" t="str">
        <f t="shared" si="98"/>
        <v/>
      </c>
      <c r="JA26" s="705" t="str">
        <f t="shared" si="99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1.3999999999999967E-2</v>
      </c>
      <c r="C27" s="572">
        <f t="shared" si="3"/>
        <v>-2.5526</v>
      </c>
      <c r="D27" s="576">
        <f t="shared" si="4"/>
        <v>-0.16470000000000001</v>
      </c>
      <c r="E27" s="580">
        <f t="shared" si="5"/>
        <v>0.96339317828794302</v>
      </c>
      <c r="F27" s="572">
        <f t="shared" si="6"/>
        <v>-0.1058728565084552</v>
      </c>
      <c r="G27" s="579">
        <f t="shared" si="7"/>
        <v>0.24630168956585693</v>
      </c>
      <c r="H27" s="580">
        <f t="shared" si="8"/>
        <v>0.3125</v>
      </c>
      <c r="I27" s="572">
        <f t="shared" si="9"/>
        <v>0.52</v>
      </c>
      <c r="J27" s="483">
        <f t="shared" si="10"/>
        <v>4.1100000000000003</v>
      </c>
      <c r="K27" s="806">
        <f t="shared" si="11"/>
        <v>1613</v>
      </c>
      <c r="L27" s="309"/>
      <c r="M27" s="164">
        <f t="shared" si="12"/>
        <v>4.1100000000000003</v>
      </c>
      <c r="N27" s="575">
        <f t="shared" si="13"/>
        <v>1.3999999999999967E-2</v>
      </c>
      <c r="O27" s="572">
        <f t="shared" si="14"/>
        <v>-2.5526</v>
      </c>
      <c r="P27" s="576">
        <f t="shared" si="15"/>
        <v>-0.16470000000000001</v>
      </c>
      <c r="Q27" s="528">
        <f t="shared" si="138"/>
        <v>270.31424150681397</v>
      </c>
      <c r="R27" s="572">
        <f t="shared" si="100"/>
        <v>2.5526383919388191</v>
      </c>
      <c r="S27" s="577">
        <f t="shared" si="101"/>
        <v>-0.16470000000000001</v>
      </c>
      <c r="T27" s="578">
        <f t="shared" si="102"/>
        <v>-2.5523146658690257</v>
      </c>
      <c r="U27" s="572">
        <f t="shared" si="103"/>
        <v>-4.0652261805258862E-2</v>
      </c>
      <c r="V27" s="579">
        <f t="shared" si="139"/>
        <v>-0.16470000000000001</v>
      </c>
      <c r="W27" s="528">
        <f t="shared" si="252"/>
        <v>180.91250742947841</v>
      </c>
      <c r="X27" s="572">
        <f t="shared" si="104"/>
        <v>2.5526383919388191</v>
      </c>
      <c r="Y27" s="573">
        <f t="shared" si="253"/>
        <v>-0.16470000000000001</v>
      </c>
      <c r="Z27" s="575">
        <f t="shared" si="18"/>
        <v>-0.96339317828794302</v>
      </c>
      <c r="AA27" s="572">
        <f t="shared" si="19"/>
        <v>0.1058728565084552</v>
      </c>
      <c r="AB27" s="572">
        <f t="shared" si="20"/>
        <v>-0.24630168956585693</v>
      </c>
      <c r="AC27" s="579">
        <f t="shared" si="105"/>
        <v>1</v>
      </c>
      <c r="AD27" s="580">
        <f t="shared" si="140"/>
        <v>-0.96339317828794302</v>
      </c>
      <c r="AE27" s="572">
        <f t="shared" si="106"/>
        <v>0.1058728565084552</v>
      </c>
      <c r="AF27" s="576">
        <f t="shared" si="107"/>
        <v>-0.24630168956585693</v>
      </c>
      <c r="AG27" s="545">
        <f t="shared" si="108"/>
        <v>23.260465947550284</v>
      </c>
      <c r="AH27" s="546">
        <f t="shared" si="109"/>
        <v>164.44920953947931</v>
      </c>
      <c r="AI27" s="528">
        <f t="shared" si="110"/>
        <v>-75.741227414934698</v>
      </c>
      <c r="AJ27" s="529">
        <f t="shared" si="111"/>
        <v>-96.27139913587871</v>
      </c>
      <c r="AK27" s="578">
        <f t="shared" si="237"/>
        <v>0.96279802680550997</v>
      </c>
      <c r="AL27" s="572">
        <f t="shared" si="112"/>
        <v>-0.11115501471557955</v>
      </c>
      <c r="AM27" s="577">
        <f t="shared" si="113"/>
        <v>-0.24630168956585693</v>
      </c>
      <c r="AN27" s="524">
        <f t="shared" si="114"/>
        <v>-24.289475319261033</v>
      </c>
      <c r="AO27" s="525">
        <f t="shared" si="115"/>
        <v>15.677480903393381</v>
      </c>
      <c r="AP27" s="528">
        <f t="shared" si="116"/>
        <v>-6.5856406426926695</v>
      </c>
      <c r="AQ27" s="529">
        <f t="shared" si="21"/>
        <v>0.8930140812988373</v>
      </c>
      <c r="AS27" s="946">
        <f t="shared" si="141"/>
        <v>-179.08749257052159</v>
      </c>
      <c r="AT27" s="942">
        <f t="shared" si="22"/>
        <v>-3.6060169785847807E-2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2"/>
        <v/>
      </c>
      <c r="BA27" s="296" t="str">
        <f t="shared" si="24"/>
        <v/>
      </c>
      <c r="BB27" s="190" t="str">
        <f t="shared" si="143"/>
        <v/>
      </c>
      <c r="BC27" s="9"/>
      <c r="BD27" s="5" t="str">
        <f t="shared" si="144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6"/>
        <v/>
      </c>
      <c r="BP27" s="5" t="str">
        <f t="shared" si="147"/>
        <v/>
      </c>
      <c r="BQ27" s="5" t="str">
        <f t="shared" si="148"/>
        <v/>
      </c>
      <c r="BR27" s="6" t="str">
        <f t="shared" si="149"/>
        <v/>
      </c>
      <c r="BS27" s="4" t="str">
        <f t="shared" si="117"/>
        <v/>
      </c>
      <c r="BT27" s="5" t="str">
        <f t="shared" si="117"/>
        <v/>
      </c>
      <c r="BU27" s="10" t="str">
        <f t="shared" si="118"/>
        <v/>
      </c>
      <c r="BV27" s="9" t="str">
        <f t="shared" si="119"/>
        <v/>
      </c>
      <c r="BW27" s="5" t="str">
        <f t="shared" si="120"/>
        <v/>
      </c>
      <c r="BX27" s="8" t="str">
        <f t="shared" si="121"/>
        <v/>
      </c>
      <c r="BY27" s="173" t="str">
        <f t="shared" si="122"/>
        <v/>
      </c>
      <c r="BZ27" s="5" t="str">
        <f t="shared" si="123"/>
        <v/>
      </c>
      <c r="CA27" s="6" t="str">
        <f t="shared" si="124"/>
        <v/>
      </c>
      <c r="CB27" s="4" t="str">
        <f t="shared" si="150"/>
        <v/>
      </c>
      <c r="CC27" s="5" t="str">
        <f t="shared" si="151"/>
        <v/>
      </c>
      <c r="CD27" s="5" t="str">
        <f t="shared" si="152"/>
        <v/>
      </c>
      <c r="CE27" s="6" t="str">
        <f t="shared" si="153"/>
        <v/>
      </c>
      <c r="CF27" s="4" t="str">
        <f t="shared" si="154"/>
        <v/>
      </c>
      <c r="CG27" s="5" t="str">
        <f t="shared" si="155"/>
        <v/>
      </c>
      <c r="CH27" s="5" t="str">
        <f t="shared" si="156"/>
        <v/>
      </c>
      <c r="CI27" s="4" t="str">
        <f t="shared" si="125"/>
        <v/>
      </c>
      <c r="CJ27" s="5" t="str">
        <f t="shared" si="126"/>
        <v/>
      </c>
      <c r="CK27" s="8" t="str">
        <f t="shared" si="127"/>
        <v/>
      </c>
      <c r="CL27" s="173" t="str">
        <f t="shared" si="128"/>
        <v/>
      </c>
      <c r="CM27" s="5" t="str">
        <f t="shared" si="129"/>
        <v/>
      </c>
      <c r="CN27" s="6" t="str">
        <f t="shared" si="130"/>
        <v/>
      </c>
      <c r="CO27" s="167" t="str">
        <f t="shared" si="34"/>
        <v/>
      </c>
      <c r="CP27" s="4" t="str">
        <f t="shared" si="238"/>
        <v/>
      </c>
      <c r="CQ27" s="5" t="str">
        <f t="shared" si="239"/>
        <v/>
      </c>
      <c r="CR27" s="5" t="str">
        <f t="shared" si="157"/>
        <v/>
      </c>
      <c r="CS27" s="8" t="str">
        <f>IF(ISNUMBER($AV27),CQ27^2-(4*CP27*CR27),"")</f>
        <v/>
      </c>
      <c r="CT27" s="9" t="str">
        <f t="shared" si="159"/>
        <v/>
      </c>
      <c r="CU27" s="6" t="str">
        <f t="shared" si="160"/>
        <v/>
      </c>
      <c r="CV27" s="4" t="str">
        <f t="shared" si="240"/>
        <v/>
      </c>
      <c r="CW27" s="5" t="str">
        <f t="shared" si="161"/>
        <v/>
      </c>
      <c r="CX27" s="8" t="str">
        <f t="shared" si="162"/>
        <v/>
      </c>
      <c r="CY27" s="9" t="str">
        <f t="shared" si="163"/>
        <v/>
      </c>
      <c r="CZ27" s="5" t="str">
        <f t="shared" si="164"/>
        <v/>
      </c>
      <c r="DA27" s="6" t="str">
        <f t="shared" si="165"/>
        <v/>
      </c>
      <c r="DB27" s="4" t="str">
        <f t="shared" si="166"/>
        <v/>
      </c>
      <c r="DC27" s="5" t="str">
        <f t="shared" si="166"/>
        <v/>
      </c>
      <c r="DD27" s="10" t="str">
        <f t="shared" si="167"/>
        <v/>
      </c>
      <c r="DE27" s="9" t="str">
        <f t="shared" si="168"/>
        <v/>
      </c>
      <c r="DF27" s="5" t="str">
        <f t="shared" si="168"/>
        <v/>
      </c>
      <c r="DG27" s="10" t="str">
        <f t="shared" si="169"/>
        <v/>
      </c>
      <c r="DH27" s="70" t="str">
        <f t="shared" si="170"/>
        <v/>
      </c>
      <c r="DI27" s="4" t="str">
        <f t="shared" si="171"/>
        <v/>
      </c>
      <c r="DJ27" s="5" t="str">
        <f t="shared" si="172"/>
        <v/>
      </c>
      <c r="DK27" s="10" t="str">
        <f t="shared" si="173"/>
        <v/>
      </c>
      <c r="DL27" s="9" t="str">
        <f t="shared" si="174"/>
        <v/>
      </c>
      <c r="DM27" s="173" t="str">
        <f t="shared" si="175"/>
        <v/>
      </c>
      <c r="DN27" s="178" t="str">
        <f t="shared" si="176"/>
        <v/>
      </c>
      <c r="DO27" s="9" t="str">
        <f t="shared" si="177"/>
        <v/>
      </c>
      <c r="DP27" s="173" t="str">
        <f t="shared" si="178"/>
        <v/>
      </c>
      <c r="DQ27" s="11" t="str">
        <f t="shared" si="179"/>
        <v/>
      </c>
      <c r="DR27" s="173" t="str">
        <f t="shared" si="180"/>
        <v/>
      </c>
      <c r="DS27" s="5" t="str">
        <f t="shared" si="181"/>
        <v/>
      </c>
      <c r="DT27" s="5" t="str">
        <f t="shared" si="182"/>
        <v/>
      </c>
      <c r="DU27" s="5" t="str">
        <f t="shared" si="183"/>
        <v/>
      </c>
      <c r="DV27" s="5" t="str">
        <f t="shared" si="184"/>
        <v/>
      </c>
      <c r="DW27" s="5" t="str">
        <f t="shared" si="185"/>
        <v/>
      </c>
      <c r="DX27" s="167" t="str">
        <f t="shared" si="186"/>
        <v/>
      </c>
      <c r="DY27" s="9" t="str">
        <f t="shared" si="187"/>
        <v/>
      </c>
      <c r="DZ27" s="5" t="str">
        <f t="shared" si="188"/>
        <v/>
      </c>
      <c r="EA27" s="10" t="str">
        <f t="shared" si="189"/>
        <v/>
      </c>
      <c r="EB27" s="6" t="str">
        <f t="shared" si="190"/>
        <v/>
      </c>
      <c r="EC27" s="173" t="str">
        <f t="shared" si="191"/>
        <v/>
      </c>
      <c r="ED27" s="5" t="str">
        <f t="shared" si="192"/>
        <v/>
      </c>
      <c r="EE27" s="4" t="str">
        <f t="shared" si="193"/>
        <v/>
      </c>
      <c r="EF27" s="5" t="str">
        <f t="shared" si="194"/>
        <v/>
      </c>
      <c r="EG27" s="10" t="str">
        <f t="shared" si="195"/>
        <v/>
      </c>
      <c r="EH27" s="9" t="str">
        <f t="shared" si="196"/>
        <v/>
      </c>
      <c r="EI27" s="5" t="str">
        <f t="shared" si="197"/>
        <v/>
      </c>
      <c r="EJ27" s="6" t="str">
        <f t="shared" si="198"/>
        <v/>
      </c>
      <c r="EK27" s="236" t="str">
        <f t="shared" si="199"/>
        <v/>
      </c>
      <c r="EL27" s="238" t="str">
        <f t="shared" si="200"/>
        <v/>
      </c>
      <c r="EM27" s="4" t="str">
        <f t="shared" si="201"/>
        <v/>
      </c>
      <c r="EN27" s="5" t="str">
        <f t="shared" si="202"/>
        <v/>
      </c>
      <c r="EO27" s="10" t="str">
        <f t="shared" si="203"/>
        <v/>
      </c>
      <c r="EP27" s="9" t="str">
        <f t="shared" si="204"/>
        <v/>
      </c>
      <c r="EQ27" s="5" t="str">
        <f t="shared" si="205"/>
        <v/>
      </c>
      <c r="ER27" s="7" t="str">
        <f t="shared" si="206"/>
        <v/>
      </c>
      <c r="ES27" s="21" t="str">
        <f t="shared" si="131"/>
        <v/>
      </c>
      <c r="ET27" s="5" t="str">
        <f t="shared" si="43"/>
        <v/>
      </c>
      <c r="EU27" s="10" t="str">
        <f t="shared" si="44"/>
        <v/>
      </c>
      <c r="EV27" s="174" t="str">
        <f t="shared" si="250"/>
        <v/>
      </c>
      <c r="EW27" s="9" t="str">
        <f t="shared" si="132"/>
        <v/>
      </c>
      <c r="EX27" s="5" t="str">
        <f t="shared" si="45"/>
        <v/>
      </c>
      <c r="EY27" s="6" t="str">
        <f t="shared" si="207"/>
        <v/>
      </c>
      <c r="EZ27" s="51" t="str">
        <f t="shared" si="208"/>
        <v/>
      </c>
      <c r="FA27" s="266" t="str">
        <f t="shared" si="133"/>
        <v/>
      </c>
      <c r="FB27" s="267" t="str">
        <f t="shared" si="134"/>
        <v/>
      </c>
      <c r="FC27" s="269" t="str">
        <f t="shared" si="46"/>
        <v/>
      </c>
      <c r="FD27" s="4" t="str">
        <f t="shared" si="135"/>
        <v/>
      </c>
      <c r="FE27" s="5" t="str">
        <f t="shared" si="47"/>
        <v/>
      </c>
      <c r="FF27" s="7" t="str">
        <f t="shared" si="209"/>
        <v/>
      </c>
      <c r="FG27" s="173" t="str">
        <f t="shared" si="210"/>
        <v/>
      </c>
      <c r="FH27" s="5" t="str">
        <f t="shared" si="48"/>
        <v/>
      </c>
      <c r="FI27" s="10" t="str">
        <f t="shared" si="49"/>
        <v/>
      </c>
      <c r="FJ27" s="279" t="str">
        <f t="shared" si="211"/>
        <v/>
      </c>
      <c r="FK27" s="4" t="str">
        <f t="shared" si="50"/>
        <v/>
      </c>
      <c r="FL27" s="5" t="str">
        <f t="shared" si="212"/>
        <v/>
      </c>
      <c r="FM27" s="8" t="str">
        <f t="shared" si="213"/>
        <v/>
      </c>
      <c r="FN27" s="9" t="str">
        <f t="shared" si="214"/>
        <v/>
      </c>
      <c r="FO27" s="10" t="str">
        <f t="shared" si="51"/>
        <v/>
      </c>
      <c r="FP27" s="277" t="str">
        <f t="shared" si="52"/>
        <v/>
      </c>
      <c r="FQ27" s="173" t="str">
        <f t="shared" si="241"/>
        <v/>
      </c>
      <c r="FR27" s="10" t="str">
        <f t="shared" si="215"/>
        <v/>
      </c>
      <c r="FS27" s="9" t="str">
        <f t="shared" si="216"/>
        <v/>
      </c>
      <c r="FT27" s="6" t="str">
        <f t="shared" si="217"/>
        <v/>
      </c>
      <c r="FU27" s="4" t="str">
        <f t="shared" si="218"/>
        <v/>
      </c>
      <c r="FV27" s="5" t="str">
        <f t="shared" si="219"/>
        <v/>
      </c>
      <c r="FW27" s="8" t="str">
        <f t="shared" si="242"/>
        <v/>
      </c>
      <c r="FX27" s="9" t="str">
        <f t="shared" si="243"/>
        <v/>
      </c>
      <c r="FY27" s="10" t="str">
        <f t="shared" si="53"/>
        <v/>
      </c>
      <c r="FZ27" s="277" t="str">
        <f t="shared" si="244"/>
        <v/>
      </c>
      <c r="GA27" s="177" t="str">
        <f t="shared" si="220"/>
        <v/>
      </c>
      <c r="GB27" s="4" t="str">
        <f t="shared" si="221"/>
        <v/>
      </c>
      <c r="GC27" s="5" t="str">
        <f t="shared" si="222"/>
        <v/>
      </c>
      <c r="GD27" s="10" t="str">
        <f t="shared" si="223"/>
        <v/>
      </c>
      <c r="GE27" s="311" t="str">
        <f t="shared" si="224"/>
        <v/>
      </c>
      <c r="GF27" s="341" t="str">
        <f t="shared" si="245"/>
        <v/>
      </c>
      <c r="GG27" s="285" t="str">
        <f t="shared" si="54"/>
        <v/>
      </c>
      <c r="GH27" s="286" t="str">
        <f t="shared" si="55"/>
        <v/>
      </c>
      <c r="GI27" s="281" t="str">
        <f t="shared" si="56"/>
        <v/>
      </c>
      <c r="GJ27" s="167" t="str">
        <f t="shared" si="225"/>
        <v/>
      </c>
      <c r="GK27" s="174" t="str">
        <f t="shared" si="57"/>
        <v/>
      </c>
      <c r="GL27" s="174" t="str">
        <f t="shared" si="226"/>
        <v/>
      </c>
      <c r="GM27" s="177" t="str">
        <f t="shared" si="246"/>
        <v/>
      </c>
      <c r="GN27" s="280" t="str">
        <f t="shared" si="227"/>
        <v/>
      </c>
      <c r="GO27" s="4" t="str">
        <f t="shared" si="228"/>
        <v/>
      </c>
      <c r="GP27" s="8" t="str">
        <f t="shared" si="247"/>
        <v/>
      </c>
      <c r="GQ27" s="177" t="str">
        <f t="shared" si="229"/>
        <v/>
      </c>
      <c r="GR27" s="371" t="str">
        <f t="shared" si="248"/>
        <v/>
      </c>
      <c r="GS27" s="342" t="str">
        <f t="shared" si="59"/>
        <v/>
      </c>
      <c r="GT27" s="343" t="str">
        <f t="shared" si="60"/>
        <v/>
      </c>
      <c r="GU27" s="344" t="str">
        <f t="shared" si="61"/>
        <v/>
      </c>
      <c r="GV27" s="343" t="str">
        <f t="shared" si="251"/>
        <v/>
      </c>
      <c r="GW27" s="345" t="str">
        <f t="shared" si="62"/>
        <v/>
      </c>
      <c r="GX27" s="346" t="str">
        <f t="shared" si="63"/>
        <v/>
      </c>
      <c r="GY27" s="344" t="str">
        <f t="shared" si="64"/>
        <v/>
      </c>
      <c r="GZ27" s="345" t="str">
        <f t="shared" si="65"/>
        <v/>
      </c>
      <c r="HA27" s="342" t="str">
        <f t="shared" si="66"/>
        <v/>
      </c>
      <c r="HB27" s="5" t="str">
        <f t="shared" si="230"/>
        <v/>
      </c>
      <c r="HC27" s="343" t="str">
        <f t="shared" si="231"/>
        <v/>
      </c>
      <c r="HD27" s="363" t="str">
        <f t="shared" si="232"/>
        <v/>
      </c>
      <c r="HE27" s="344" t="str">
        <f t="shared" si="67"/>
        <v/>
      </c>
      <c r="HF27" s="5" t="str">
        <f t="shared" si="68"/>
        <v/>
      </c>
      <c r="HG27" s="343" t="str">
        <f t="shared" si="233"/>
        <v/>
      </c>
      <c r="HH27" s="349" t="str">
        <f t="shared" si="234"/>
        <v/>
      </c>
      <c r="HI27" s="317" t="str">
        <f t="shared" si="69"/>
        <v/>
      </c>
      <c r="HJ27" s="336"/>
      <c r="HK27" s="310" t="str">
        <f t="shared" si="136"/>
        <v/>
      </c>
      <c r="HL27" s="348" t="str">
        <f t="shared" si="70"/>
        <v/>
      </c>
      <c r="HM27" s="923" t="str">
        <f t="shared" si="71"/>
        <v/>
      </c>
      <c r="HN27" s="924" t="str">
        <f t="shared" si="72"/>
        <v/>
      </c>
      <c r="HO27" s="925"/>
      <c r="HP27" s="926"/>
      <c r="HQ27" s="924" t="str">
        <f t="shared" si="73"/>
        <v/>
      </c>
      <c r="HR27" s="927" t="str">
        <f t="shared" si="74"/>
        <v/>
      </c>
      <c r="HS27" s="879" t="str">
        <f t="shared" si="249"/>
        <v/>
      </c>
      <c r="HT27" s="889" t="str">
        <f t="shared" si="75"/>
        <v/>
      </c>
      <c r="HU27" s="890" t="str">
        <f t="shared" si="76"/>
        <v/>
      </c>
      <c r="HV27" s="886" t="str">
        <f t="shared" si="77"/>
        <v/>
      </c>
      <c r="HW27" s="880" t="str">
        <f t="shared" si="78"/>
        <v/>
      </c>
      <c r="HX27" s="881" t="str">
        <f t="shared" si="79"/>
        <v/>
      </c>
      <c r="HY27" s="880" t="str">
        <f t="shared" si="80"/>
        <v/>
      </c>
      <c r="HZ27" s="882" t="str">
        <f t="shared" si="81"/>
        <v/>
      </c>
      <c r="IA27" s="883" t="str">
        <f t="shared" si="82"/>
        <v/>
      </c>
      <c r="IB27" s="884" t="str">
        <f t="shared" si="83"/>
        <v/>
      </c>
      <c r="IC27" s="855" t="str">
        <f t="shared" si="84"/>
        <v/>
      </c>
      <c r="ID27" s="351" t="str">
        <f t="shared" si="85"/>
        <v/>
      </c>
      <c r="IE27" s="857" t="str">
        <f t="shared" si="86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5"/>
        <v>4.1100000000000003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7"/>
        <v>1613</v>
      </c>
      <c r="IM27" s="482" t="str">
        <f t="shared" si="236"/>
        <v/>
      </c>
      <c r="IN27" s="670" t="str">
        <f t="shared" si="89"/>
        <v/>
      </c>
      <c r="IO27" s="702"/>
      <c r="IP27" s="5" t="str">
        <f t="shared" si="90"/>
        <v/>
      </c>
      <c r="IQ27" s="714"/>
      <c r="IR27" s="9" t="str">
        <f t="shared" si="137"/>
        <v/>
      </c>
      <c r="IS27" s="5" t="str">
        <f t="shared" si="91"/>
        <v/>
      </c>
      <c r="IT27" s="5" t="str">
        <f t="shared" si="92"/>
        <v/>
      </c>
      <c r="IU27" s="5" t="str">
        <f t="shared" si="93"/>
        <v/>
      </c>
      <c r="IV27" s="670" t="str">
        <f t="shared" si="94"/>
        <v/>
      </c>
      <c r="IW27" s="9" t="str">
        <f t="shared" si="95"/>
        <v/>
      </c>
      <c r="IX27" s="5" t="str">
        <f t="shared" si="96"/>
        <v/>
      </c>
      <c r="IY27" s="5" t="str">
        <f t="shared" si="97"/>
        <v/>
      </c>
      <c r="IZ27" s="5" t="str">
        <f t="shared" si="98"/>
        <v/>
      </c>
      <c r="JA27" s="705" t="str">
        <f t="shared" si="99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-3.3800000000000122E-2</v>
      </c>
      <c r="C28" s="572">
        <f t="shared" si="3"/>
        <v>-3.2368999999999994</v>
      </c>
      <c r="D28" s="576">
        <f t="shared" si="4"/>
        <v>-0.53249999999999997</v>
      </c>
      <c r="E28" s="580">
        <f t="shared" si="5"/>
        <v>0.95880790980406616</v>
      </c>
      <c r="F28" s="572">
        <f t="shared" si="6"/>
        <v>-0.23283115881656075</v>
      </c>
      <c r="G28" s="579">
        <f t="shared" si="7"/>
        <v>0.16271768060446049</v>
      </c>
      <c r="H28" s="580">
        <f t="shared" si="8"/>
        <v>0.3125</v>
      </c>
      <c r="I28" s="572">
        <f t="shared" si="9"/>
        <v>0.52</v>
      </c>
      <c r="J28" s="483">
        <f t="shared" si="10"/>
        <v>4.1130000000000004</v>
      </c>
      <c r="K28" s="806">
        <f t="shared" si="11"/>
        <v>1613</v>
      </c>
      <c r="L28" s="309"/>
      <c r="M28" s="164">
        <f t="shared" si="12"/>
        <v>4.1130000000000004</v>
      </c>
      <c r="N28" s="575">
        <f t="shared" si="13"/>
        <v>-3.3800000000000122E-2</v>
      </c>
      <c r="O28" s="572">
        <f t="shared" si="14"/>
        <v>-3.2368999999999994</v>
      </c>
      <c r="P28" s="576">
        <f t="shared" si="15"/>
        <v>-0.53249999999999997</v>
      </c>
      <c r="Q28" s="528">
        <f t="shared" si="138"/>
        <v>269.40173407733556</v>
      </c>
      <c r="R28" s="572">
        <f t="shared" si="100"/>
        <v>3.2370764665049228</v>
      </c>
      <c r="S28" s="577">
        <f t="shared" si="101"/>
        <v>-0.53249999999999997</v>
      </c>
      <c r="T28" s="578">
        <f t="shared" si="102"/>
        <v>-3.2370764665049228</v>
      </c>
      <c r="U28" s="572">
        <f t="shared" si="103"/>
        <v>3.9658992313595616E-16</v>
      </c>
      <c r="V28" s="579">
        <f t="shared" si="139"/>
        <v>-0.53249999999999997</v>
      </c>
      <c r="W28" s="528">
        <f t="shared" si="252"/>
        <v>180</v>
      </c>
      <c r="X28" s="572">
        <f t="shared" si="104"/>
        <v>3.2370764665049228</v>
      </c>
      <c r="Y28" s="573">
        <f t="shared" si="253"/>
        <v>-0.53249999999999997</v>
      </c>
      <c r="Z28" s="575">
        <f t="shared" si="18"/>
        <v>-0.95880790980406616</v>
      </c>
      <c r="AA28" s="572">
        <f t="shared" si="19"/>
        <v>0.23283115881656075</v>
      </c>
      <c r="AB28" s="572">
        <f t="shared" si="20"/>
        <v>-0.16271768060446049</v>
      </c>
      <c r="AC28" s="579">
        <f t="shared" si="105"/>
        <v>1</v>
      </c>
      <c r="AD28" s="580">
        <f t="shared" si="140"/>
        <v>-0.95880790980406616</v>
      </c>
      <c r="AE28" s="572">
        <f t="shared" si="106"/>
        <v>0.23283115881656075</v>
      </c>
      <c r="AF28" s="576">
        <f t="shared" si="107"/>
        <v>-0.16271768060446049</v>
      </c>
      <c r="AG28" s="545">
        <f t="shared" si="108"/>
        <v>55.051625893531373</v>
      </c>
      <c r="AH28" s="546">
        <f t="shared" si="109"/>
        <v>163.49761464065071</v>
      </c>
      <c r="AI28" s="528">
        <f t="shared" si="110"/>
        <v>-80.635324526297154</v>
      </c>
      <c r="AJ28" s="529">
        <f t="shared" si="111"/>
        <v>-103.64916692557686</v>
      </c>
      <c r="AK28" s="578">
        <f t="shared" si="237"/>
        <v>0.96118675249343211</v>
      </c>
      <c r="AL28" s="572">
        <f t="shared" si="112"/>
        <v>-0.22280705386013794</v>
      </c>
      <c r="AM28" s="577">
        <f t="shared" si="113"/>
        <v>-0.16271768060446049</v>
      </c>
      <c r="AN28" s="524">
        <f t="shared" si="114"/>
        <v>-53.859060958229826</v>
      </c>
      <c r="AO28" s="525">
        <f t="shared" si="115"/>
        <v>16.015570855073868</v>
      </c>
      <c r="AP28" s="528">
        <f t="shared" si="116"/>
        <v>-13.050901002912434</v>
      </c>
      <c r="AQ28" s="529">
        <f t="shared" si="21"/>
        <v>0.70421933400728098</v>
      </c>
      <c r="AS28" s="946">
        <f t="shared" si="141"/>
        <v>-180</v>
      </c>
      <c r="AT28" s="942">
        <f t="shared" si="22"/>
        <v>-0.4032264840709322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2"/>
        <v/>
      </c>
      <c r="BA28" s="296" t="str">
        <f t="shared" si="24"/>
        <v/>
      </c>
      <c r="BB28" s="190" t="str">
        <f t="shared" si="143"/>
        <v/>
      </c>
      <c r="BC28" s="9"/>
      <c r="BD28" s="5" t="str">
        <f t="shared" si="144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5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6"/>
        <v/>
      </c>
      <c r="BP28" s="5" t="str">
        <f t="shared" si="147"/>
        <v/>
      </c>
      <c r="BQ28" s="5" t="str">
        <f t="shared" si="148"/>
        <v/>
      </c>
      <c r="BR28" s="6" t="str">
        <f t="shared" si="149"/>
        <v/>
      </c>
      <c r="BS28" s="4" t="str">
        <f t="shared" si="117"/>
        <v/>
      </c>
      <c r="BT28" s="5" t="str">
        <f t="shared" si="117"/>
        <v/>
      </c>
      <c r="BU28" s="10" t="str">
        <f t="shared" si="118"/>
        <v/>
      </c>
      <c r="BV28" s="9" t="str">
        <f t="shared" si="119"/>
        <v/>
      </c>
      <c r="BW28" s="5" t="str">
        <f t="shared" si="120"/>
        <v/>
      </c>
      <c r="BX28" s="8" t="str">
        <f t="shared" si="121"/>
        <v/>
      </c>
      <c r="BY28" s="173" t="str">
        <f t="shared" si="122"/>
        <v/>
      </c>
      <c r="BZ28" s="5" t="str">
        <f t="shared" si="123"/>
        <v/>
      </c>
      <c r="CA28" s="6" t="str">
        <f t="shared" si="124"/>
        <v/>
      </c>
      <c r="CB28" s="4" t="str">
        <f t="shared" si="150"/>
        <v/>
      </c>
      <c r="CC28" s="5" t="str">
        <f t="shared" si="151"/>
        <v/>
      </c>
      <c r="CD28" s="5" t="str">
        <f t="shared" si="152"/>
        <v/>
      </c>
      <c r="CE28" s="6" t="str">
        <f t="shared" si="153"/>
        <v/>
      </c>
      <c r="CF28" s="4" t="str">
        <f t="shared" si="154"/>
        <v/>
      </c>
      <c r="CG28" s="5" t="str">
        <f t="shared" si="155"/>
        <v/>
      </c>
      <c r="CH28" s="5" t="str">
        <f t="shared" si="156"/>
        <v/>
      </c>
      <c r="CI28" s="4" t="str">
        <f t="shared" si="125"/>
        <v/>
      </c>
      <c r="CJ28" s="5" t="str">
        <f t="shared" si="126"/>
        <v/>
      </c>
      <c r="CK28" s="8" t="str">
        <f t="shared" si="127"/>
        <v/>
      </c>
      <c r="CL28" s="173" t="str">
        <f t="shared" si="128"/>
        <v/>
      </c>
      <c r="CM28" s="5" t="str">
        <f t="shared" si="129"/>
        <v/>
      </c>
      <c r="CN28" s="6" t="str">
        <f t="shared" si="130"/>
        <v/>
      </c>
      <c r="CO28" s="167" t="str">
        <f t="shared" si="34"/>
        <v/>
      </c>
      <c r="CP28" s="4" t="str">
        <f t="shared" si="238"/>
        <v/>
      </c>
      <c r="CQ28" s="5" t="str">
        <f t="shared" si="239"/>
        <v/>
      </c>
      <c r="CR28" s="5" t="str">
        <f t="shared" si="157"/>
        <v/>
      </c>
      <c r="CS28" s="8" t="str">
        <f t="shared" si="158"/>
        <v/>
      </c>
      <c r="CT28" s="9" t="str">
        <f t="shared" si="159"/>
        <v/>
      </c>
      <c r="CU28" s="6" t="str">
        <f t="shared" si="160"/>
        <v/>
      </c>
      <c r="CV28" s="4" t="str">
        <f t="shared" si="240"/>
        <v/>
      </c>
      <c r="CW28" s="5" t="str">
        <f t="shared" si="161"/>
        <v/>
      </c>
      <c r="CX28" s="8" t="str">
        <f t="shared" si="162"/>
        <v/>
      </c>
      <c r="CY28" s="9" t="str">
        <f t="shared" si="163"/>
        <v/>
      </c>
      <c r="CZ28" s="5" t="str">
        <f t="shared" si="164"/>
        <v/>
      </c>
      <c r="DA28" s="6" t="str">
        <f t="shared" si="165"/>
        <v/>
      </c>
      <c r="DB28" s="4" t="str">
        <f t="shared" si="166"/>
        <v/>
      </c>
      <c r="DC28" s="5" t="str">
        <f t="shared" si="166"/>
        <v/>
      </c>
      <c r="DD28" s="10" t="str">
        <f t="shared" si="167"/>
        <v/>
      </c>
      <c r="DE28" s="9" t="str">
        <f t="shared" si="168"/>
        <v/>
      </c>
      <c r="DF28" s="5" t="str">
        <f t="shared" si="168"/>
        <v/>
      </c>
      <c r="DG28" s="10" t="str">
        <f t="shared" si="169"/>
        <v/>
      </c>
      <c r="DH28" s="70" t="str">
        <f t="shared" si="170"/>
        <v/>
      </c>
      <c r="DI28" s="4" t="str">
        <f t="shared" si="171"/>
        <v/>
      </c>
      <c r="DJ28" s="5" t="str">
        <f t="shared" si="172"/>
        <v/>
      </c>
      <c r="DK28" s="10" t="str">
        <f t="shared" si="173"/>
        <v/>
      </c>
      <c r="DL28" s="9" t="str">
        <f t="shared" si="174"/>
        <v/>
      </c>
      <c r="DM28" s="173" t="str">
        <f t="shared" si="175"/>
        <v/>
      </c>
      <c r="DN28" s="178" t="str">
        <f t="shared" si="176"/>
        <v/>
      </c>
      <c r="DO28" s="9" t="str">
        <f t="shared" si="177"/>
        <v/>
      </c>
      <c r="DP28" s="173" t="str">
        <f t="shared" si="178"/>
        <v/>
      </c>
      <c r="DQ28" s="11" t="str">
        <f t="shared" si="179"/>
        <v/>
      </c>
      <c r="DR28" s="173" t="str">
        <f t="shared" si="180"/>
        <v/>
      </c>
      <c r="DS28" s="5" t="str">
        <f t="shared" si="181"/>
        <v/>
      </c>
      <c r="DT28" s="5" t="str">
        <f t="shared" si="182"/>
        <v/>
      </c>
      <c r="DU28" s="5" t="str">
        <f t="shared" si="183"/>
        <v/>
      </c>
      <c r="DV28" s="5" t="str">
        <f t="shared" si="184"/>
        <v/>
      </c>
      <c r="DW28" s="5" t="str">
        <f t="shared" si="185"/>
        <v/>
      </c>
      <c r="DX28" s="167" t="str">
        <f t="shared" si="186"/>
        <v/>
      </c>
      <c r="DY28" s="9" t="str">
        <f t="shared" si="187"/>
        <v/>
      </c>
      <c r="DZ28" s="5" t="str">
        <f t="shared" si="188"/>
        <v/>
      </c>
      <c r="EA28" s="10" t="str">
        <f t="shared" si="189"/>
        <v/>
      </c>
      <c r="EB28" s="6" t="str">
        <f t="shared" si="190"/>
        <v/>
      </c>
      <c r="EC28" s="173" t="str">
        <f t="shared" si="191"/>
        <v/>
      </c>
      <c r="ED28" s="5" t="str">
        <f t="shared" si="192"/>
        <v/>
      </c>
      <c r="EE28" s="4" t="str">
        <f t="shared" si="193"/>
        <v/>
      </c>
      <c r="EF28" s="5" t="str">
        <f t="shared" si="194"/>
        <v/>
      </c>
      <c r="EG28" s="10" t="str">
        <f t="shared" si="195"/>
        <v/>
      </c>
      <c r="EH28" s="9" t="str">
        <f t="shared" si="196"/>
        <v/>
      </c>
      <c r="EI28" s="5" t="str">
        <f t="shared" si="197"/>
        <v/>
      </c>
      <c r="EJ28" s="6" t="str">
        <f t="shared" si="198"/>
        <v/>
      </c>
      <c r="EK28" s="236" t="str">
        <f t="shared" si="199"/>
        <v/>
      </c>
      <c r="EL28" s="238" t="str">
        <f t="shared" si="200"/>
        <v/>
      </c>
      <c r="EM28" s="4" t="str">
        <f t="shared" si="201"/>
        <v/>
      </c>
      <c r="EN28" s="5" t="str">
        <f t="shared" si="202"/>
        <v/>
      </c>
      <c r="EO28" s="10" t="str">
        <f t="shared" si="203"/>
        <v/>
      </c>
      <c r="EP28" s="9" t="str">
        <f t="shared" si="204"/>
        <v/>
      </c>
      <c r="EQ28" s="5" t="str">
        <f t="shared" si="205"/>
        <v/>
      </c>
      <c r="ER28" s="7" t="str">
        <f t="shared" si="206"/>
        <v/>
      </c>
      <c r="ES28" s="21" t="str">
        <f t="shared" si="131"/>
        <v/>
      </c>
      <c r="ET28" s="5" t="str">
        <f t="shared" si="43"/>
        <v/>
      </c>
      <c r="EU28" s="10" t="str">
        <f t="shared" si="44"/>
        <v/>
      </c>
      <c r="EV28" s="174" t="str">
        <f t="shared" si="250"/>
        <v/>
      </c>
      <c r="EW28" s="9" t="str">
        <f t="shared" si="132"/>
        <v/>
      </c>
      <c r="EX28" s="5" t="str">
        <f t="shared" si="45"/>
        <v/>
      </c>
      <c r="EY28" s="6" t="str">
        <f t="shared" si="207"/>
        <v/>
      </c>
      <c r="EZ28" s="51" t="str">
        <f t="shared" si="208"/>
        <v/>
      </c>
      <c r="FA28" s="266" t="str">
        <f t="shared" si="133"/>
        <v/>
      </c>
      <c r="FB28" s="267" t="str">
        <f t="shared" si="134"/>
        <v/>
      </c>
      <c r="FC28" s="269" t="str">
        <f t="shared" si="46"/>
        <v/>
      </c>
      <c r="FD28" s="4" t="str">
        <f t="shared" si="135"/>
        <v/>
      </c>
      <c r="FE28" s="5" t="str">
        <f t="shared" si="47"/>
        <v/>
      </c>
      <c r="FF28" s="7" t="str">
        <f t="shared" si="209"/>
        <v/>
      </c>
      <c r="FG28" s="173" t="str">
        <f t="shared" si="210"/>
        <v/>
      </c>
      <c r="FH28" s="5" t="str">
        <f t="shared" si="48"/>
        <v/>
      </c>
      <c r="FI28" s="10" t="str">
        <f t="shared" si="49"/>
        <v/>
      </c>
      <c r="FJ28" s="279" t="str">
        <f t="shared" si="211"/>
        <v/>
      </c>
      <c r="FK28" s="4" t="str">
        <f t="shared" si="50"/>
        <v/>
      </c>
      <c r="FL28" s="5" t="str">
        <f t="shared" si="212"/>
        <v/>
      </c>
      <c r="FM28" s="8" t="str">
        <f t="shared" si="213"/>
        <v/>
      </c>
      <c r="FN28" s="9" t="str">
        <f t="shared" si="214"/>
        <v/>
      </c>
      <c r="FO28" s="10" t="str">
        <f t="shared" si="51"/>
        <v/>
      </c>
      <c r="FP28" s="277" t="str">
        <f t="shared" si="52"/>
        <v/>
      </c>
      <c r="FQ28" s="173" t="str">
        <f t="shared" si="241"/>
        <v/>
      </c>
      <c r="FR28" s="10" t="str">
        <f t="shared" si="215"/>
        <v/>
      </c>
      <c r="FS28" s="9" t="str">
        <f t="shared" si="216"/>
        <v/>
      </c>
      <c r="FT28" s="6" t="str">
        <f t="shared" si="217"/>
        <v/>
      </c>
      <c r="FU28" s="4" t="str">
        <f t="shared" si="218"/>
        <v/>
      </c>
      <c r="FV28" s="5" t="str">
        <f t="shared" si="219"/>
        <v/>
      </c>
      <c r="FW28" s="8" t="str">
        <f t="shared" si="242"/>
        <v/>
      </c>
      <c r="FX28" s="9" t="str">
        <f t="shared" si="243"/>
        <v/>
      </c>
      <c r="FY28" s="10" t="str">
        <f t="shared" si="53"/>
        <v/>
      </c>
      <c r="FZ28" s="277" t="str">
        <f t="shared" si="244"/>
        <v/>
      </c>
      <c r="GA28" s="177" t="str">
        <f t="shared" si="220"/>
        <v/>
      </c>
      <c r="GB28" s="4" t="str">
        <f t="shared" si="221"/>
        <v/>
      </c>
      <c r="GC28" s="5" t="str">
        <f t="shared" si="222"/>
        <v/>
      </c>
      <c r="GD28" s="10" t="str">
        <f t="shared" si="223"/>
        <v/>
      </c>
      <c r="GE28" s="311" t="str">
        <f t="shared" si="224"/>
        <v/>
      </c>
      <c r="GF28" s="341" t="str">
        <f t="shared" si="245"/>
        <v/>
      </c>
      <c r="GG28" s="285" t="str">
        <f t="shared" si="54"/>
        <v/>
      </c>
      <c r="GH28" s="286" t="str">
        <f t="shared" si="55"/>
        <v/>
      </c>
      <c r="GI28" s="281" t="str">
        <f t="shared" si="56"/>
        <v/>
      </c>
      <c r="GJ28" s="167" t="str">
        <f t="shared" si="225"/>
        <v/>
      </c>
      <c r="GK28" s="174" t="str">
        <f t="shared" si="57"/>
        <v/>
      </c>
      <c r="GL28" s="174" t="str">
        <f t="shared" si="226"/>
        <v/>
      </c>
      <c r="GM28" s="177" t="str">
        <f t="shared" si="246"/>
        <v/>
      </c>
      <c r="GN28" s="280" t="str">
        <f t="shared" si="227"/>
        <v/>
      </c>
      <c r="GO28" s="4" t="str">
        <f t="shared" si="228"/>
        <v/>
      </c>
      <c r="GP28" s="8" t="str">
        <f t="shared" si="247"/>
        <v/>
      </c>
      <c r="GQ28" s="177" t="str">
        <f t="shared" si="229"/>
        <v/>
      </c>
      <c r="GR28" s="371" t="str">
        <f t="shared" si="248"/>
        <v/>
      </c>
      <c r="GS28" s="342" t="str">
        <f t="shared" si="59"/>
        <v/>
      </c>
      <c r="GT28" s="343" t="str">
        <f t="shared" si="60"/>
        <v/>
      </c>
      <c r="GU28" s="344" t="str">
        <f t="shared" si="61"/>
        <v/>
      </c>
      <c r="GV28" s="343" t="str">
        <f t="shared" si="251"/>
        <v/>
      </c>
      <c r="GW28" s="345" t="str">
        <f t="shared" si="62"/>
        <v/>
      </c>
      <c r="GX28" s="346" t="str">
        <f t="shared" si="63"/>
        <v/>
      </c>
      <c r="GY28" s="344" t="str">
        <f t="shared" si="64"/>
        <v/>
      </c>
      <c r="GZ28" s="345" t="str">
        <f t="shared" si="65"/>
        <v/>
      </c>
      <c r="HA28" s="342" t="str">
        <f t="shared" si="66"/>
        <v/>
      </c>
      <c r="HB28" s="5" t="str">
        <f t="shared" si="230"/>
        <v/>
      </c>
      <c r="HC28" s="343" t="str">
        <f t="shared" si="231"/>
        <v/>
      </c>
      <c r="HD28" s="363" t="str">
        <f t="shared" si="232"/>
        <v/>
      </c>
      <c r="HE28" s="344" t="str">
        <f t="shared" si="67"/>
        <v/>
      </c>
      <c r="HF28" s="5" t="str">
        <f t="shared" si="68"/>
        <v/>
      </c>
      <c r="HG28" s="343" t="str">
        <f t="shared" si="233"/>
        <v/>
      </c>
      <c r="HH28" s="349" t="str">
        <f t="shared" si="234"/>
        <v/>
      </c>
      <c r="HI28" s="317" t="str">
        <f t="shared" si="69"/>
        <v/>
      </c>
      <c r="HJ28" s="336"/>
      <c r="HK28" s="310" t="str">
        <f t="shared" si="136"/>
        <v/>
      </c>
      <c r="HL28" s="348" t="str">
        <f t="shared" si="70"/>
        <v/>
      </c>
      <c r="HM28" s="923" t="str">
        <f t="shared" si="71"/>
        <v/>
      </c>
      <c r="HN28" s="924" t="str">
        <f t="shared" si="72"/>
        <v/>
      </c>
      <c r="HO28" s="925"/>
      <c r="HP28" s="926"/>
      <c r="HQ28" s="924" t="str">
        <f t="shared" si="73"/>
        <v/>
      </c>
      <c r="HR28" s="927" t="str">
        <f t="shared" si="74"/>
        <v/>
      </c>
      <c r="HS28" s="879" t="str">
        <f t="shared" si="249"/>
        <v/>
      </c>
      <c r="HT28" s="889" t="str">
        <f t="shared" si="75"/>
        <v/>
      </c>
      <c r="HU28" s="890" t="str">
        <f t="shared" si="76"/>
        <v/>
      </c>
      <c r="HV28" s="886" t="str">
        <f t="shared" si="77"/>
        <v/>
      </c>
      <c r="HW28" s="880" t="str">
        <f t="shared" si="78"/>
        <v/>
      </c>
      <c r="HX28" s="881" t="str">
        <f t="shared" si="79"/>
        <v/>
      </c>
      <c r="HY28" s="880" t="str">
        <f t="shared" si="80"/>
        <v/>
      </c>
      <c r="HZ28" s="882" t="str">
        <f t="shared" si="81"/>
        <v/>
      </c>
      <c r="IA28" s="883" t="str">
        <f t="shared" si="82"/>
        <v/>
      </c>
      <c r="IB28" s="884" t="str">
        <f t="shared" si="83"/>
        <v/>
      </c>
      <c r="IC28" s="855" t="str">
        <f t="shared" si="84"/>
        <v/>
      </c>
      <c r="ID28" s="351" t="str">
        <f t="shared" si="85"/>
        <v/>
      </c>
      <c r="IE28" s="857" t="str">
        <f t="shared" si="86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5"/>
        <v>4.1130000000000004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7"/>
        <v>1613</v>
      </c>
      <c r="IM28" s="482" t="str">
        <f t="shared" si="236"/>
        <v/>
      </c>
      <c r="IN28" s="670" t="str">
        <f t="shared" si="89"/>
        <v/>
      </c>
      <c r="IO28" s="702"/>
      <c r="IP28" s="5" t="str">
        <f t="shared" si="90"/>
        <v/>
      </c>
      <c r="IQ28" s="714"/>
      <c r="IR28" s="9" t="str">
        <f t="shared" si="137"/>
        <v/>
      </c>
      <c r="IS28" s="5" t="str">
        <f t="shared" si="91"/>
        <v/>
      </c>
      <c r="IT28" s="5" t="str">
        <f t="shared" si="92"/>
        <v/>
      </c>
      <c r="IU28" s="5" t="str">
        <f t="shared" si="93"/>
        <v/>
      </c>
      <c r="IV28" s="670" t="str">
        <f t="shared" si="94"/>
        <v/>
      </c>
      <c r="IW28" s="9" t="str">
        <f t="shared" si="95"/>
        <v/>
      </c>
      <c r="IX28" s="5" t="str">
        <f t="shared" si="96"/>
        <v/>
      </c>
      <c r="IY28" s="5" t="str">
        <f t="shared" si="97"/>
        <v/>
      </c>
      <c r="IZ28" s="5" t="str">
        <f t="shared" si="98"/>
        <v/>
      </c>
      <c r="JA28" s="705" t="str">
        <f t="shared" si="99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-7.2000000000000064E-2</v>
      </c>
      <c r="C29" s="572">
        <f t="shared" si="3"/>
        <v>-3.6032999999999999</v>
      </c>
      <c r="D29" s="576">
        <f t="shared" si="4"/>
        <v>-1.2041000000000002</v>
      </c>
      <c r="E29" s="580">
        <f t="shared" si="5"/>
        <v>0.92944350671006348</v>
      </c>
      <c r="F29" s="572">
        <f t="shared" si="6"/>
        <v>-0.35773558925588733</v>
      </c>
      <c r="G29" s="579">
        <f t="shared" si="7"/>
        <v>9.0332806965372658E-2</v>
      </c>
      <c r="H29" s="580">
        <f t="shared" si="8"/>
        <v>0.3125</v>
      </c>
      <c r="I29" s="572">
        <f t="shared" si="9"/>
        <v>0.52</v>
      </c>
      <c r="J29" s="483">
        <f t="shared" si="10"/>
        <v>4.1159999999999997</v>
      </c>
      <c r="K29" s="806">
        <f t="shared" si="11"/>
        <v>1613</v>
      </c>
      <c r="L29" s="82"/>
      <c r="M29" s="164">
        <f t="shared" si="12"/>
        <v>4.1159999999999997</v>
      </c>
      <c r="N29" s="575">
        <f t="shared" si="13"/>
        <v>-7.2000000000000064E-2</v>
      </c>
      <c r="O29" s="572">
        <f t="shared" si="14"/>
        <v>-3.6032999999999999</v>
      </c>
      <c r="P29" s="576">
        <f t="shared" si="15"/>
        <v>-1.2041000000000002</v>
      </c>
      <c r="Q29" s="528">
        <f t="shared" si="138"/>
        <v>268.85528620321134</v>
      </c>
      <c r="R29" s="572">
        <f>IF(M29="","",SQRT(N29^2+O29^2))</f>
        <v>3.6040192688164141</v>
      </c>
      <c r="S29" s="577">
        <f>IF(M29="","",P29)</f>
        <v>-1.2041000000000002</v>
      </c>
      <c r="T29" s="578">
        <f>IF(M29="","",X29*COS(RADIANS(W29)))</f>
        <v>-3.6038553585963791</v>
      </c>
      <c r="U29" s="572">
        <f>IF(M29="","",X29*SIN(RADIANS(W29)))</f>
        <v>3.4372144480150919E-2</v>
      </c>
      <c r="V29" s="579">
        <f>IF(M29="","",Y29)</f>
        <v>-1.2041000000000002</v>
      </c>
      <c r="W29" s="528">
        <f t="shared" si="252"/>
        <v>179.45355212587577</v>
      </c>
      <c r="X29" s="572">
        <f>IF(M29="","",R29)</f>
        <v>3.6040192688164141</v>
      </c>
      <c r="Y29" s="573">
        <f t="shared" si="253"/>
        <v>-1.2041000000000002</v>
      </c>
      <c r="Z29" s="575">
        <f t="shared" si="18"/>
        <v>-0.92944350671006348</v>
      </c>
      <c r="AA29" s="572">
        <f t="shared" si="19"/>
        <v>0.35773558925588733</v>
      </c>
      <c r="AB29" s="572">
        <f t="shared" si="20"/>
        <v>-9.0332806965372658E-2</v>
      </c>
      <c r="AC29" s="579">
        <f>IF(M29="","",SQRT(Z29^2+AA29^2+AB29^2))</f>
        <v>1</v>
      </c>
      <c r="AD29" s="580">
        <f>IF(M29="","",Z29*(1/SQRT(Z29^2+AA29^2+AB29^2)))</f>
        <v>-0.92944350671006348</v>
      </c>
      <c r="AE29" s="572">
        <f>IF(M29="","",AA29*(1/SQRT(Z29^2+AA29^2+AB29^2)))</f>
        <v>0.35773558925588733</v>
      </c>
      <c r="AF29" s="576">
        <f>IF(M29="","",AB29*(1/SQRT(Z29^2+AA29^2+AB29^2)))</f>
        <v>-9.0332806965372658E-2</v>
      </c>
      <c r="AG29" s="545">
        <f>IF(M29="","",DEGREES(ATAN2(-AF29,AE29)))</f>
        <v>75.828334263964408</v>
      </c>
      <c r="AH29" s="546">
        <f>IF(M29="","",DEGREES(ACOS(AD29)))</f>
        <v>158.34823338803881</v>
      </c>
      <c r="AI29" s="528">
        <f>IF(M29="","",DEGREES(-ACOS(-AF29)))</f>
        <v>-84.817246485695918</v>
      </c>
      <c r="AJ29" s="529">
        <f>IF(M29="","",DEGREES(ATAN2(-AE29,AD29)))</f>
        <v>-111.0513280187315</v>
      </c>
      <c r="AK29" s="578">
        <f>IF(M29="","",(COS(RADIANS((90-$Q$8)-W29))*AD29)+(-SIN(RADIANS((90-$Q$8)-W29))*AE29))</f>
        <v>0.93640474659923545</v>
      </c>
      <c r="AL29" s="572">
        <f>IF(M29="","",(SIN(RADIANS((90-$Q$8)-W29))*AD29)+(COS(RADIANS((90-$Q$8)-W29))*AE29))</f>
        <v>-0.33909605502302492</v>
      </c>
      <c r="AM29" s="577">
        <f>IF(M29="","",AF29)</f>
        <v>-9.0332806965372658E-2</v>
      </c>
      <c r="AN29" s="524">
        <f>IF(M29="","",DEGREES(ATAN2(-AM29,AL29)))</f>
        <v>-75.083224100282081</v>
      </c>
      <c r="AO29" s="525">
        <f t="shared" si="115"/>
        <v>20.543710441538337</v>
      </c>
      <c r="AP29" s="528">
        <f>IF(M29="","",DEGREES(ATAN2(AK29,AL29)))</f>
        <v>-19.906614221942839</v>
      </c>
      <c r="AQ29" s="529">
        <f t="shared" si="21"/>
        <v>0.63252548005216858</v>
      </c>
      <c r="AS29" s="946">
        <f t="shared" si="141"/>
        <v>-180.54644787412423</v>
      </c>
      <c r="AT29" s="942">
        <f t="shared" si="22"/>
        <v>-1.0744470063805684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2"/>
        <v/>
      </c>
      <c r="BA29" s="296" t="str">
        <f t="shared" si="24"/>
        <v/>
      </c>
      <c r="BB29" s="190" t="str">
        <f t="shared" si="143"/>
        <v/>
      </c>
      <c r="BC29" s="9"/>
      <c r="BD29" s="5" t="str">
        <f t="shared" si="144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5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6"/>
        <v/>
      </c>
      <c r="BP29" s="5" t="str">
        <f t="shared" si="147"/>
        <v/>
      </c>
      <c r="BQ29" s="5" t="str">
        <f t="shared" si="148"/>
        <v/>
      </c>
      <c r="BR29" s="6" t="str">
        <f t="shared" si="149"/>
        <v/>
      </c>
      <c r="BS29" s="4" t="str">
        <f t="shared" si="117"/>
        <v/>
      </c>
      <c r="BT29" s="5" t="str">
        <f t="shared" si="117"/>
        <v/>
      </c>
      <c r="BU29" s="10" t="str">
        <f t="shared" si="118"/>
        <v/>
      </c>
      <c r="BV29" s="9" t="str">
        <f t="shared" si="119"/>
        <v/>
      </c>
      <c r="BW29" s="5" t="str">
        <f t="shared" si="120"/>
        <v/>
      </c>
      <c r="BX29" s="8" t="str">
        <f t="shared" si="121"/>
        <v/>
      </c>
      <c r="BY29" s="173" t="str">
        <f t="shared" si="122"/>
        <v/>
      </c>
      <c r="BZ29" s="5" t="str">
        <f t="shared" si="123"/>
        <v/>
      </c>
      <c r="CA29" s="6" t="str">
        <f t="shared" si="124"/>
        <v/>
      </c>
      <c r="CB29" s="4" t="str">
        <f t="shared" si="150"/>
        <v/>
      </c>
      <c r="CC29" s="5" t="str">
        <f t="shared" si="151"/>
        <v/>
      </c>
      <c r="CD29" s="5" t="str">
        <f t="shared" si="152"/>
        <v/>
      </c>
      <c r="CE29" s="6" t="str">
        <f t="shared" si="153"/>
        <v/>
      </c>
      <c r="CF29" s="4" t="str">
        <f t="shared" si="154"/>
        <v/>
      </c>
      <c r="CG29" s="5" t="str">
        <f t="shared" si="155"/>
        <v/>
      </c>
      <c r="CH29" s="5" t="str">
        <f t="shared" si="156"/>
        <v/>
      </c>
      <c r="CI29" s="4" t="str">
        <f t="shared" si="125"/>
        <v/>
      </c>
      <c r="CJ29" s="5" t="str">
        <f t="shared" si="126"/>
        <v/>
      </c>
      <c r="CK29" s="8" t="str">
        <f t="shared" si="127"/>
        <v/>
      </c>
      <c r="CL29" s="173" t="str">
        <f t="shared" si="128"/>
        <v/>
      </c>
      <c r="CM29" s="5" t="str">
        <f t="shared" si="129"/>
        <v/>
      </c>
      <c r="CN29" s="6" t="str">
        <f t="shared" si="130"/>
        <v/>
      </c>
      <c r="CO29" s="167" t="str">
        <f t="shared" si="34"/>
        <v/>
      </c>
      <c r="CP29" s="4" t="str">
        <f t="shared" si="238"/>
        <v/>
      </c>
      <c r="CQ29" s="5" t="str">
        <f t="shared" si="239"/>
        <v/>
      </c>
      <c r="CR29" s="5" t="str">
        <f t="shared" si="157"/>
        <v/>
      </c>
      <c r="CS29" s="8" t="str">
        <f t="shared" si="158"/>
        <v/>
      </c>
      <c r="CT29" s="9" t="str">
        <f t="shared" si="159"/>
        <v/>
      </c>
      <c r="CU29" s="6" t="str">
        <f t="shared" si="160"/>
        <v/>
      </c>
      <c r="CV29" s="4" t="str">
        <f t="shared" si="240"/>
        <v/>
      </c>
      <c r="CW29" s="5" t="str">
        <f t="shared" si="161"/>
        <v/>
      </c>
      <c r="CX29" s="8" t="str">
        <f t="shared" si="162"/>
        <v/>
      </c>
      <c r="CY29" s="9" t="str">
        <f t="shared" si="163"/>
        <v/>
      </c>
      <c r="CZ29" s="5" t="str">
        <f t="shared" si="164"/>
        <v/>
      </c>
      <c r="DA29" s="6" t="str">
        <f t="shared" si="165"/>
        <v/>
      </c>
      <c r="DB29" s="4" t="str">
        <f t="shared" si="166"/>
        <v/>
      </c>
      <c r="DC29" s="5" t="str">
        <f t="shared" si="166"/>
        <v/>
      </c>
      <c r="DD29" s="10" t="str">
        <f t="shared" si="167"/>
        <v/>
      </c>
      <c r="DE29" s="9" t="str">
        <f t="shared" si="168"/>
        <v/>
      </c>
      <c r="DF29" s="5" t="str">
        <f t="shared" si="168"/>
        <v/>
      </c>
      <c r="DG29" s="10" t="str">
        <f t="shared" si="169"/>
        <v/>
      </c>
      <c r="DH29" s="70" t="str">
        <f t="shared" si="170"/>
        <v/>
      </c>
      <c r="DI29" s="4" t="str">
        <f t="shared" si="171"/>
        <v/>
      </c>
      <c r="DJ29" s="5" t="str">
        <f t="shared" si="172"/>
        <v/>
      </c>
      <c r="DK29" s="10" t="str">
        <f t="shared" si="173"/>
        <v/>
      </c>
      <c r="DL29" s="9" t="str">
        <f t="shared" si="174"/>
        <v/>
      </c>
      <c r="DM29" s="173" t="str">
        <f t="shared" si="175"/>
        <v/>
      </c>
      <c r="DN29" s="178" t="str">
        <f t="shared" si="176"/>
        <v/>
      </c>
      <c r="DO29" s="9" t="str">
        <f t="shared" si="177"/>
        <v/>
      </c>
      <c r="DP29" s="173" t="str">
        <f t="shared" si="178"/>
        <v/>
      </c>
      <c r="DQ29" s="11" t="str">
        <f t="shared" si="179"/>
        <v/>
      </c>
      <c r="DR29" s="173" t="str">
        <f t="shared" si="180"/>
        <v/>
      </c>
      <c r="DS29" s="5" t="str">
        <f t="shared" si="181"/>
        <v/>
      </c>
      <c r="DT29" s="5" t="str">
        <f t="shared" si="182"/>
        <v/>
      </c>
      <c r="DU29" s="5" t="str">
        <f t="shared" si="183"/>
        <v/>
      </c>
      <c r="DV29" s="5" t="str">
        <f t="shared" si="184"/>
        <v/>
      </c>
      <c r="DW29" s="5" t="str">
        <f t="shared" si="185"/>
        <v/>
      </c>
      <c r="DX29" s="167" t="str">
        <f t="shared" si="186"/>
        <v/>
      </c>
      <c r="DY29" s="9" t="str">
        <f t="shared" si="187"/>
        <v/>
      </c>
      <c r="DZ29" s="5" t="str">
        <f t="shared" si="188"/>
        <v/>
      </c>
      <c r="EA29" s="10" t="str">
        <f t="shared" si="189"/>
        <v/>
      </c>
      <c r="EB29" s="6" t="str">
        <f t="shared" si="190"/>
        <v/>
      </c>
      <c r="EC29" s="173" t="str">
        <f t="shared" si="191"/>
        <v/>
      </c>
      <c r="ED29" s="5" t="str">
        <f t="shared" si="192"/>
        <v/>
      </c>
      <c r="EE29" s="4" t="str">
        <f t="shared" si="193"/>
        <v/>
      </c>
      <c r="EF29" s="5" t="str">
        <f t="shared" si="194"/>
        <v/>
      </c>
      <c r="EG29" s="10" t="str">
        <f t="shared" si="195"/>
        <v/>
      </c>
      <c r="EH29" s="9" t="str">
        <f t="shared" si="196"/>
        <v/>
      </c>
      <c r="EI29" s="5" t="str">
        <f t="shared" si="197"/>
        <v/>
      </c>
      <c r="EJ29" s="6" t="str">
        <f t="shared" si="198"/>
        <v/>
      </c>
      <c r="EK29" s="236" t="str">
        <f t="shared" si="199"/>
        <v/>
      </c>
      <c r="EL29" s="238" t="str">
        <f t="shared" si="200"/>
        <v/>
      </c>
      <c r="EM29" s="4" t="str">
        <f t="shared" si="201"/>
        <v/>
      </c>
      <c r="EN29" s="5" t="str">
        <f t="shared" si="202"/>
        <v/>
      </c>
      <c r="EO29" s="10" t="str">
        <f t="shared" si="203"/>
        <v/>
      </c>
      <c r="EP29" s="9" t="str">
        <f t="shared" si="204"/>
        <v/>
      </c>
      <c r="EQ29" s="5" t="str">
        <f t="shared" si="205"/>
        <v/>
      </c>
      <c r="ER29" s="7" t="str">
        <f t="shared" si="206"/>
        <v/>
      </c>
      <c r="ES29" s="21" t="str">
        <f t="shared" si="131"/>
        <v/>
      </c>
      <c r="ET29" s="5" t="str">
        <f t="shared" si="43"/>
        <v/>
      </c>
      <c r="EU29" s="10" t="str">
        <f t="shared" si="44"/>
        <v/>
      </c>
      <c r="EV29" s="174" t="str">
        <f t="shared" si="250"/>
        <v/>
      </c>
      <c r="EW29" s="9" t="str">
        <f t="shared" si="132"/>
        <v/>
      </c>
      <c r="EX29" s="5" t="str">
        <f t="shared" si="45"/>
        <v/>
      </c>
      <c r="EY29" s="6" t="str">
        <f t="shared" si="207"/>
        <v/>
      </c>
      <c r="EZ29" s="51" t="str">
        <f t="shared" si="208"/>
        <v/>
      </c>
      <c r="FA29" s="266" t="str">
        <f t="shared" si="133"/>
        <v/>
      </c>
      <c r="FB29" s="267" t="str">
        <f t="shared" si="134"/>
        <v/>
      </c>
      <c r="FC29" s="269" t="str">
        <f t="shared" si="46"/>
        <v/>
      </c>
      <c r="FD29" s="4" t="str">
        <f t="shared" si="135"/>
        <v/>
      </c>
      <c r="FE29" s="5" t="str">
        <f t="shared" si="47"/>
        <v/>
      </c>
      <c r="FF29" s="7" t="str">
        <f t="shared" si="209"/>
        <v/>
      </c>
      <c r="FG29" s="173" t="str">
        <f t="shared" si="210"/>
        <v/>
      </c>
      <c r="FH29" s="5" t="str">
        <f t="shared" si="48"/>
        <v/>
      </c>
      <c r="FI29" s="10" t="str">
        <f t="shared" si="49"/>
        <v/>
      </c>
      <c r="FJ29" s="279" t="str">
        <f t="shared" si="211"/>
        <v/>
      </c>
      <c r="FK29" s="4" t="str">
        <f t="shared" si="50"/>
        <v/>
      </c>
      <c r="FL29" s="5" t="str">
        <f t="shared" si="212"/>
        <v/>
      </c>
      <c r="FM29" s="8" t="str">
        <f t="shared" si="213"/>
        <v/>
      </c>
      <c r="FN29" s="9" t="str">
        <f t="shared" si="214"/>
        <v/>
      </c>
      <c r="FO29" s="10" t="str">
        <f t="shared" si="51"/>
        <v/>
      </c>
      <c r="FP29" s="277" t="str">
        <f t="shared" si="52"/>
        <v/>
      </c>
      <c r="FQ29" s="173" t="str">
        <f t="shared" si="241"/>
        <v/>
      </c>
      <c r="FR29" s="10" t="str">
        <f t="shared" si="215"/>
        <v/>
      </c>
      <c r="FS29" s="9" t="str">
        <f t="shared" si="216"/>
        <v/>
      </c>
      <c r="FT29" s="6" t="str">
        <f t="shared" si="217"/>
        <v/>
      </c>
      <c r="FU29" s="4" t="str">
        <f t="shared" si="218"/>
        <v/>
      </c>
      <c r="FV29" s="5" t="str">
        <f t="shared" si="219"/>
        <v/>
      </c>
      <c r="FW29" s="8" t="str">
        <f t="shared" si="242"/>
        <v/>
      </c>
      <c r="FX29" s="9" t="str">
        <f t="shared" si="243"/>
        <v/>
      </c>
      <c r="FY29" s="10" t="str">
        <f t="shared" si="53"/>
        <v/>
      </c>
      <c r="FZ29" s="277" t="str">
        <f t="shared" si="244"/>
        <v/>
      </c>
      <c r="GA29" s="177" t="str">
        <f t="shared" si="220"/>
        <v/>
      </c>
      <c r="GB29" s="4" t="str">
        <f t="shared" si="221"/>
        <v/>
      </c>
      <c r="GC29" s="5" t="str">
        <f t="shared" si="222"/>
        <v/>
      </c>
      <c r="GD29" s="10" t="str">
        <f t="shared" si="223"/>
        <v/>
      </c>
      <c r="GE29" s="311" t="str">
        <f t="shared" si="224"/>
        <v/>
      </c>
      <c r="GF29" s="341" t="str">
        <f t="shared" si="245"/>
        <v/>
      </c>
      <c r="GG29" s="285" t="str">
        <f t="shared" si="54"/>
        <v/>
      </c>
      <c r="GH29" s="286" t="str">
        <f t="shared" si="55"/>
        <v/>
      </c>
      <c r="GI29" s="281" t="str">
        <f t="shared" si="56"/>
        <v/>
      </c>
      <c r="GJ29" s="167" t="str">
        <f t="shared" si="225"/>
        <v/>
      </c>
      <c r="GK29" s="174" t="str">
        <f t="shared" si="57"/>
        <v/>
      </c>
      <c r="GL29" s="174" t="str">
        <f t="shared" si="226"/>
        <v/>
      </c>
      <c r="GM29" s="177" t="str">
        <f t="shared" si="246"/>
        <v/>
      </c>
      <c r="GN29" s="280" t="str">
        <f t="shared" si="227"/>
        <v/>
      </c>
      <c r="GO29" s="4" t="str">
        <f t="shared" si="228"/>
        <v/>
      </c>
      <c r="GP29" s="8" t="str">
        <f t="shared" si="247"/>
        <v/>
      </c>
      <c r="GQ29" s="177" t="str">
        <f t="shared" si="229"/>
        <v/>
      </c>
      <c r="GR29" s="371" t="str">
        <f t="shared" si="248"/>
        <v/>
      </c>
      <c r="GS29" s="342" t="str">
        <f t="shared" si="59"/>
        <v/>
      </c>
      <c r="GT29" s="343" t="str">
        <f t="shared" si="60"/>
        <v/>
      </c>
      <c r="GU29" s="344" t="str">
        <f t="shared" si="61"/>
        <v/>
      </c>
      <c r="GV29" s="343" t="str">
        <f t="shared" si="251"/>
        <v/>
      </c>
      <c r="GW29" s="345" t="str">
        <f t="shared" si="62"/>
        <v/>
      </c>
      <c r="GX29" s="346" t="str">
        <f t="shared" si="63"/>
        <v/>
      </c>
      <c r="GY29" s="344" t="str">
        <f t="shared" si="64"/>
        <v/>
      </c>
      <c r="GZ29" s="345" t="str">
        <f t="shared" si="65"/>
        <v/>
      </c>
      <c r="HA29" s="342" t="str">
        <f t="shared" si="66"/>
        <v/>
      </c>
      <c r="HB29" s="5" t="str">
        <f t="shared" si="230"/>
        <v/>
      </c>
      <c r="HC29" s="343" t="str">
        <f t="shared" si="231"/>
        <v/>
      </c>
      <c r="HD29" s="363" t="str">
        <f t="shared" si="232"/>
        <v/>
      </c>
      <c r="HE29" s="344" t="str">
        <f t="shared" si="67"/>
        <v/>
      </c>
      <c r="HF29" s="5" t="str">
        <f t="shared" si="68"/>
        <v/>
      </c>
      <c r="HG29" s="343" t="str">
        <f t="shared" si="233"/>
        <v/>
      </c>
      <c r="HH29" s="349" t="str">
        <f t="shared" si="234"/>
        <v/>
      </c>
      <c r="HI29" s="317" t="str">
        <f t="shared" si="69"/>
        <v/>
      </c>
      <c r="HJ29" s="336"/>
      <c r="HK29" s="310" t="str">
        <f t="shared" si="136"/>
        <v/>
      </c>
      <c r="HL29" s="348" t="str">
        <f t="shared" si="70"/>
        <v/>
      </c>
      <c r="HM29" s="923" t="str">
        <f t="shared" si="71"/>
        <v/>
      </c>
      <c r="HN29" s="924" t="str">
        <f t="shared" si="72"/>
        <v/>
      </c>
      <c r="HO29" s="925"/>
      <c r="HP29" s="926"/>
      <c r="HQ29" s="924" t="str">
        <f t="shared" si="73"/>
        <v/>
      </c>
      <c r="HR29" s="927" t="str">
        <f t="shared" si="74"/>
        <v/>
      </c>
      <c r="HS29" s="879" t="str">
        <f t="shared" si="249"/>
        <v/>
      </c>
      <c r="HT29" s="889" t="str">
        <f t="shared" si="75"/>
        <v/>
      </c>
      <c r="HU29" s="890" t="str">
        <f t="shared" si="76"/>
        <v/>
      </c>
      <c r="HV29" s="886" t="str">
        <f t="shared" si="77"/>
        <v/>
      </c>
      <c r="HW29" s="880" t="str">
        <f t="shared" si="78"/>
        <v/>
      </c>
      <c r="HX29" s="881" t="str">
        <f t="shared" si="79"/>
        <v/>
      </c>
      <c r="HY29" s="880" t="str">
        <f t="shared" si="80"/>
        <v/>
      </c>
      <c r="HZ29" s="882" t="str">
        <f t="shared" si="81"/>
        <v/>
      </c>
      <c r="IA29" s="883" t="str">
        <f t="shared" si="82"/>
        <v/>
      </c>
      <c r="IB29" s="884" t="str">
        <f t="shared" si="83"/>
        <v/>
      </c>
      <c r="IC29" s="855" t="str">
        <f t="shared" si="84"/>
        <v/>
      </c>
      <c r="ID29" s="351" t="str">
        <f t="shared" si="85"/>
        <v/>
      </c>
      <c r="IE29" s="857" t="str">
        <f t="shared" si="86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5"/>
        <v>4.1159999999999997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7"/>
        <v>1613</v>
      </c>
      <c r="IM29" s="482" t="str">
        <f t="shared" si="236"/>
        <v/>
      </c>
      <c r="IN29" s="670" t="str">
        <f t="shared" si="89"/>
        <v/>
      </c>
      <c r="IO29" s="702"/>
      <c r="IP29" s="5" t="str">
        <f t="shared" si="90"/>
        <v/>
      </c>
      <c r="IQ29" s="714"/>
      <c r="IR29" s="9" t="str">
        <f t="shared" si="137"/>
        <v/>
      </c>
      <c r="IS29" s="5" t="str">
        <f t="shared" si="91"/>
        <v/>
      </c>
      <c r="IT29" s="5" t="str">
        <f t="shared" si="92"/>
        <v/>
      </c>
      <c r="IU29" s="5" t="str">
        <f t="shared" si="93"/>
        <v/>
      </c>
      <c r="IV29" s="670" t="str">
        <f t="shared" si="94"/>
        <v/>
      </c>
      <c r="IW29" s="9" t="str">
        <f t="shared" si="95"/>
        <v/>
      </c>
      <c r="IX29" s="5" t="str">
        <f t="shared" si="96"/>
        <v/>
      </c>
      <c r="IY29" s="5" t="str">
        <f t="shared" si="97"/>
        <v/>
      </c>
      <c r="IZ29" s="5" t="str">
        <f t="shared" si="98"/>
        <v/>
      </c>
      <c r="JA29" s="705" t="str">
        <f t="shared" si="99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-9.7500000000000211E-2</v>
      </c>
      <c r="C30" s="572">
        <f t="shared" si="3"/>
        <v>-3.7636000000000003</v>
      </c>
      <c r="D30" s="576">
        <f t="shared" si="4"/>
        <v>-1.8642000000000003</v>
      </c>
      <c r="E30" s="580">
        <f t="shared" si="5"/>
        <v>0.85456872390204919</v>
      </c>
      <c r="F30" s="572">
        <f t="shared" si="6"/>
        <v>-0.51567419545881021</v>
      </c>
      <c r="G30" s="579">
        <f t="shared" si="7"/>
        <v>6.1582629582798941E-2</v>
      </c>
      <c r="H30" s="580">
        <f t="shared" si="8"/>
        <v>0.26450000000000001</v>
      </c>
      <c r="I30" s="572">
        <f t="shared" si="9"/>
        <v>0.52</v>
      </c>
      <c r="J30" s="483">
        <f t="shared" si="10"/>
        <v>4.1189999999999998</v>
      </c>
      <c r="K30" s="806">
        <f t="shared" si="11"/>
        <v>1313</v>
      </c>
      <c r="L30" s="82"/>
      <c r="M30" s="164">
        <f t="shared" si="12"/>
        <v>4.1189999999999998</v>
      </c>
      <c r="N30" s="575">
        <f t="shared" si="13"/>
        <v>-9.7500000000000211E-2</v>
      </c>
      <c r="O30" s="572">
        <f t="shared" si="14"/>
        <v>-3.7636000000000003</v>
      </c>
      <c r="P30" s="576">
        <f t="shared" si="15"/>
        <v>-1.8642000000000003</v>
      </c>
      <c r="Q30" s="528">
        <f t="shared" si="138"/>
        <v>268.51602473742861</v>
      </c>
      <c r="R30" s="572">
        <f>IF(M30="","",SQRT(N30^2+O30^2))</f>
        <v>3.764862707988168</v>
      </c>
      <c r="S30" s="577">
        <f>IF(M30="","",P30)</f>
        <v>-1.8642000000000003</v>
      </c>
      <c r="T30" s="578">
        <f>IF(M30="","",X30*COS(RADIANS(W30)))</f>
        <v>-3.7644128787470112</v>
      </c>
      <c r="U30" s="572">
        <f>IF(M30="","",X30*SIN(RADIANS(W30)))</f>
        <v>5.8196978647031494E-2</v>
      </c>
      <c r="V30" s="579">
        <f>IF(M30="","",Y30)</f>
        <v>-1.8642000000000003</v>
      </c>
      <c r="W30" s="528">
        <f t="shared" si="252"/>
        <v>179.11429066009305</v>
      </c>
      <c r="X30" s="572">
        <f>IF(M30="","",R30)</f>
        <v>3.764862707988168</v>
      </c>
      <c r="Y30" s="573">
        <f t="shared" si="253"/>
        <v>-1.8642000000000003</v>
      </c>
      <c r="Z30" s="575">
        <f t="shared" si="18"/>
        <v>-0.85456872390204919</v>
      </c>
      <c r="AA30" s="572">
        <f t="shared" si="19"/>
        <v>0.51567419545881021</v>
      </c>
      <c r="AB30" s="572">
        <f t="shared" si="20"/>
        <v>-6.1582629582798941E-2</v>
      </c>
      <c r="AC30" s="579">
        <f>IF(M30="","",SQRT(Z30^2+AA30^2+AB30^2))</f>
        <v>1</v>
      </c>
      <c r="AD30" s="580">
        <f>IF(M30="","",Z30*(1/SQRT(Z30^2+AA30^2+AB30^2)))</f>
        <v>-0.85456872390204919</v>
      </c>
      <c r="AE30" s="572">
        <f>IF(M30="","",AA30*(1/SQRT(Z30^2+AA30^2+AB30^2)))</f>
        <v>0.51567419545881021</v>
      </c>
      <c r="AF30" s="576">
        <f>IF(M30="","",AB30*(1/SQRT(Z30^2+AA30^2+AB30^2)))</f>
        <v>-6.1582629582798941E-2</v>
      </c>
      <c r="AG30" s="545">
        <f>IF(M30="","",DEGREES(ATAN2(-AF30,AE30)))</f>
        <v>83.18989912560545</v>
      </c>
      <c r="AH30" s="546">
        <f>IF(M30="","",DEGREES(ACOS(AD30)))</f>
        <v>148.71212187336491</v>
      </c>
      <c r="AI30" s="528">
        <f>IF(M30="","",DEGREES(-ACOS(-AF30)))</f>
        <v>-86.469341207320554</v>
      </c>
      <c r="AJ30" s="529">
        <f>IF(M30="","",DEGREES(ATAN2(-AE30,AD30)))</f>
        <v>-121.10812921342942</v>
      </c>
      <c r="AK30" s="578">
        <f>IF(M30="","",(COS(RADIANS((90-$Q$8)-W30))*AD30)+(-SIN(RADIANS((90-$Q$8)-W30))*AE30))</f>
        <v>0.86763670728394904</v>
      </c>
      <c r="AL30" s="572">
        <f>IF(M30="","",(SIN(RADIANS((90-$Q$8)-W30))*AD30)+(COS(RADIANS((90-$Q$8)-W30))*AE30))</f>
        <v>-0.49337016925137944</v>
      </c>
      <c r="AM30" s="577">
        <f>IF(M30="","",AF30)</f>
        <v>-6.1582629582798941E-2</v>
      </c>
      <c r="AN30" s="524">
        <f>IF(M30="","",DEGREES(ATAN2(-AM30,AL30)))</f>
        <v>-82.885119576812542</v>
      </c>
      <c r="AO30" s="525">
        <f>IF(ROUND(IF(M30="",0,DEGREES(ACOS(AK30))),4)=90,0,IF(M30="","",DEGREES(ACOS(AK30))))</f>
        <v>29.814839690466808</v>
      </c>
      <c r="AP30" s="528">
        <f>IF(M30="","",DEGREES(ATAN2(AK30,AL30)))</f>
        <v>-29.624153950858034</v>
      </c>
      <c r="AQ30" s="529">
        <f t="shared" si="21"/>
        <v>0.60550461961744262</v>
      </c>
      <c r="AS30" s="946">
        <f t="shared" si="141"/>
        <v>-180.88570933990695</v>
      </c>
      <c r="AT30" s="942">
        <f t="shared" si="22"/>
        <v>-1.7343114081404416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2"/>
        <v/>
      </c>
      <c r="BA30" s="296" t="str">
        <f t="shared" si="24"/>
        <v/>
      </c>
      <c r="BB30" s="177" t="str">
        <f t="shared" si="143"/>
        <v/>
      </c>
      <c r="BC30" s="9"/>
      <c r="BD30" s="5" t="str">
        <f t="shared" si="144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5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6"/>
        <v/>
      </c>
      <c r="BP30" s="5" t="str">
        <f t="shared" si="147"/>
        <v/>
      </c>
      <c r="BQ30" s="5" t="str">
        <f t="shared" si="148"/>
        <v/>
      </c>
      <c r="BR30" s="6" t="str">
        <f t="shared" si="149"/>
        <v/>
      </c>
      <c r="BS30" s="4" t="str">
        <f t="shared" si="117"/>
        <v/>
      </c>
      <c r="BT30" s="5" t="str">
        <f t="shared" si="117"/>
        <v/>
      </c>
      <c r="BU30" s="10" t="str">
        <f t="shared" si="118"/>
        <v/>
      </c>
      <c r="BV30" s="9" t="str">
        <f t="shared" si="119"/>
        <v/>
      </c>
      <c r="BW30" s="5" t="str">
        <f t="shared" si="120"/>
        <v/>
      </c>
      <c r="BX30" s="8" t="str">
        <f t="shared" si="121"/>
        <v/>
      </c>
      <c r="BY30" s="173" t="str">
        <f t="shared" si="122"/>
        <v/>
      </c>
      <c r="BZ30" s="5" t="str">
        <f t="shared" si="123"/>
        <v/>
      </c>
      <c r="CA30" s="6" t="str">
        <f t="shared" si="124"/>
        <v/>
      </c>
      <c r="CB30" s="4" t="str">
        <f t="shared" si="150"/>
        <v/>
      </c>
      <c r="CC30" s="5" t="str">
        <f t="shared" si="151"/>
        <v/>
      </c>
      <c r="CD30" s="5" t="str">
        <f t="shared" si="152"/>
        <v/>
      </c>
      <c r="CE30" s="6" t="str">
        <f t="shared" si="153"/>
        <v/>
      </c>
      <c r="CF30" s="4" t="str">
        <f t="shared" si="154"/>
        <v/>
      </c>
      <c r="CG30" s="5" t="str">
        <f t="shared" si="155"/>
        <v/>
      </c>
      <c r="CH30" s="5" t="str">
        <f t="shared" si="156"/>
        <v/>
      </c>
      <c r="CI30" s="4" t="str">
        <f t="shared" si="125"/>
        <v/>
      </c>
      <c r="CJ30" s="5" t="str">
        <f t="shared" si="126"/>
        <v/>
      </c>
      <c r="CK30" s="8" t="str">
        <f t="shared" si="127"/>
        <v/>
      </c>
      <c r="CL30" s="173" t="str">
        <f t="shared" si="128"/>
        <v/>
      </c>
      <c r="CM30" s="5" t="str">
        <f t="shared" si="129"/>
        <v/>
      </c>
      <c r="CN30" s="6" t="str">
        <f t="shared" si="130"/>
        <v/>
      </c>
      <c r="CO30" s="167" t="str">
        <f t="shared" si="34"/>
        <v/>
      </c>
      <c r="CP30" s="4" t="str">
        <f t="shared" si="238"/>
        <v/>
      </c>
      <c r="CQ30" s="5" t="str">
        <f t="shared" si="239"/>
        <v/>
      </c>
      <c r="CR30" s="5" t="str">
        <f t="shared" si="157"/>
        <v/>
      </c>
      <c r="CS30" s="8" t="str">
        <f t="shared" si="158"/>
        <v/>
      </c>
      <c r="CT30" s="9" t="str">
        <f t="shared" si="159"/>
        <v/>
      </c>
      <c r="CU30" s="6" t="str">
        <f t="shared" si="160"/>
        <v/>
      </c>
      <c r="CV30" s="4" t="str">
        <f t="shared" si="240"/>
        <v/>
      </c>
      <c r="CW30" s="5" t="str">
        <f t="shared" si="161"/>
        <v/>
      </c>
      <c r="CX30" s="8" t="str">
        <f t="shared" si="162"/>
        <v/>
      </c>
      <c r="CY30" s="9" t="str">
        <f t="shared" si="163"/>
        <v/>
      </c>
      <c r="CZ30" s="5" t="str">
        <f t="shared" si="164"/>
        <v/>
      </c>
      <c r="DA30" s="6" t="str">
        <f t="shared" si="165"/>
        <v/>
      </c>
      <c r="DB30" s="4" t="str">
        <f t="shared" si="166"/>
        <v/>
      </c>
      <c r="DC30" s="5" t="str">
        <f t="shared" si="166"/>
        <v/>
      </c>
      <c r="DD30" s="10" t="str">
        <f t="shared" si="167"/>
        <v/>
      </c>
      <c r="DE30" s="9" t="str">
        <f t="shared" si="168"/>
        <v/>
      </c>
      <c r="DF30" s="5" t="str">
        <f t="shared" si="168"/>
        <v/>
      </c>
      <c r="DG30" s="10" t="str">
        <f t="shared" si="169"/>
        <v/>
      </c>
      <c r="DH30" s="70" t="str">
        <f t="shared" si="170"/>
        <v/>
      </c>
      <c r="DI30" s="4" t="str">
        <f t="shared" si="171"/>
        <v/>
      </c>
      <c r="DJ30" s="5" t="str">
        <f t="shared" si="172"/>
        <v/>
      </c>
      <c r="DK30" s="10" t="str">
        <f t="shared" si="173"/>
        <v/>
      </c>
      <c r="DL30" s="9" t="str">
        <f t="shared" si="174"/>
        <v/>
      </c>
      <c r="DM30" s="173" t="str">
        <f t="shared" si="175"/>
        <v/>
      </c>
      <c r="DN30" s="178" t="str">
        <f t="shared" si="176"/>
        <v/>
      </c>
      <c r="DO30" s="9" t="str">
        <f t="shared" si="177"/>
        <v/>
      </c>
      <c r="DP30" s="173" t="str">
        <f t="shared" si="178"/>
        <v/>
      </c>
      <c r="DQ30" s="11" t="str">
        <f t="shared" si="179"/>
        <v/>
      </c>
      <c r="DR30" s="173" t="str">
        <f t="shared" si="180"/>
        <v/>
      </c>
      <c r="DS30" s="5" t="str">
        <f t="shared" si="181"/>
        <v/>
      </c>
      <c r="DT30" s="5" t="str">
        <f t="shared" si="182"/>
        <v/>
      </c>
      <c r="DU30" s="5" t="str">
        <f t="shared" si="183"/>
        <v/>
      </c>
      <c r="DV30" s="5" t="str">
        <f t="shared" si="184"/>
        <v/>
      </c>
      <c r="DW30" s="5" t="str">
        <f t="shared" si="185"/>
        <v/>
      </c>
      <c r="DX30" s="167" t="str">
        <f t="shared" si="186"/>
        <v/>
      </c>
      <c r="DY30" s="9" t="str">
        <f t="shared" si="187"/>
        <v/>
      </c>
      <c r="DZ30" s="5" t="str">
        <f t="shared" si="188"/>
        <v/>
      </c>
      <c r="EA30" s="10" t="str">
        <f t="shared" si="189"/>
        <v/>
      </c>
      <c r="EB30" s="6" t="str">
        <f t="shared" si="190"/>
        <v/>
      </c>
      <c r="EC30" s="173" t="str">
        <f t="shared" si="191"/>
        <v/>
      </c>
      <c r="ED30" s="5" t="str">
        <f t="shared" si="192"/>
        <v/>
      </c>
      <c r="EE30" s="4" t="str">
        <f t="shared" si="193"/>
        <v/>
      </c>
      <c r="EF30" s="5" t="str">
        <f t="shared" si="194"/>
        <v/>
      </c>
      <c r="EG30" s="10" t="str">
        <f t="shared" si="195"/>
        <v/>
      </c>
      <c r="EH30" s="9" t="str">
        <f t="shared" si="196"/>
        <v/>
      </c>
      <c r="EI30" s="5" t="str">
        <f t="shared" si="197"/>
        <v/>
      </c>
      <c r="EJ30" s="6" t="str">
        <f t="shared" si="198"/>
        <v/>
      </c>
      <c r="EK30" s="236" t="str">
        <f t="shared" si="199"/>
        <v/>
      </c>
      <c r="EL30" s="238" t="str">
        <f t="shared" si="200"/>
        <v/>
      </c>
      <c r="EM30" s="4" t="str">
        <f t="shared" si="201"/>
        <v/>
      </c>
      <c r="EN30" s="5" t="str">
        <f t="shared" si="202"/>
        <v/>
      </c>
      <c r="EO30" s="10" t="str">
        <f t="shared" si="203"/>
        <v/>
      </c>
      <c r="EP30" s="9" t="str">
        <f t="shared" si="204"/>
        <v/>
      </c>
      <c r="EQ30" s="5" t="str">
        <f t="shared" si="205"/>
        <v/>
      </c>
      <c r="ER30" s="7" t="str">
        <f t="shared" si="206"/>
        <v/>
      </c>
      <c r="ES30" s="21" t="str">
        <f t="shared" si="131"/>
        <v/>
      </c>
      <c r="ET30" s="5" t="str">
        <f t="shared" si="43"/>
        <v/>
      </c>
      <c r="EU30" s="10" t="str">
        <f t="shared" si="44"/>
        <v/>
      </c>
      <c r="EV30" s="174" t="str">
        <f t="shared" si="250"/>
        <v/>
      </c>
      <c r="EW30" s="9" t="str">
        <f t="shared" si="132"/>
        <v/>
      </c>
      <c r="EX30" s="5" t="str">
        <f t="shared" si="45"/>
        <v/>
      </c>
      <c r="EY30" s="6" t="str">
        <f t="shared" si="207"/>
        <v/>
      </c>
      <c r="EZ30" s="51" t="str">
        <f t="shared" si="208"/>
        <v/>
      </c>
      <c r="FA30" s="266" t="str">
        <f t="shared" si="133"/>
        <v/>
      </c>
      <c r="FB30" s="267" t="str">
        <f t="shared" si="134"/>
        <v/>
      </c>
      <c r="FC30" s="269" t="str">
        <f t="shared" si="46"/>
        <v/>
      </c>
      <c r="FD30" s="4" t="str">
        <f t="shared" si="135"/>
        <v/>
      </c>
      <c r="FE30" s="5" t="str">
        <f t="shared" si="47"/>
        <v/>
      </c>
      <c r="FF30" s="7" t="str">
        <f t="shared" si="209"/>
        <v/>
      </c>
      <c r="FG30" s="173" t="str">
        <f t="shared" si="210"/>
        <v/>
      </c>
      <c r="FH30" s="5" t="str">
        <f t="shared" si="48"/>
        <v/>
      </c>
      <c r="FI30" s="10" t="str">
        <f t="shared" si="49"/>
        <v/>
      </c>
      <c r="FJ30" s="279" t="str">
        <f t="shared" si="211"/>
        <v/>
      </c>
      <c r="FK30" s="4" t="str">
        <f t="shared" si="50"/>
        <v/>
      </c>
      <c r="FL30" s="5" t="str">
        <f t="shared" si="212"/>
        <v/>
      </c>
      <c r="FM30" s="8" t="str">
        <f t="shared" si="213"/>
        <v/>
      </c>
      <c r="FN30" s="9" t="str">
        <f t="shared" si="214"/>
        <v/>
      </c>
      <c r="FO30" s="10" t="str">
        <f t="shared" si="51"/>
        <v/>
      </c>
      <c r="FP30" s="277" t="str">
        <f t="shared" si="52"/>
        <v/>
      </c>
      <c r="FQ30" s="173" t="str">
        <f t="shared" si="241"/>
        <v/>
      </c>
      <c r="FR30" s="10" t="str">
        <f t="shared" si="215"/>
        <v/>
      </c>
      <c r="FS30" s="9" t="str">
        <f t="shared" si="216"/>
        <v/>
      </c>
      <c r="FT30" s="6" t="str">
        <f t="shared" si="217"/>
        <v/>
      </c>
      <c r="FU30" s="4" t="str">
        <f t="shared" si="218"/>
        <v/>
      </c>
      <c r="FV30" s="5" t="str">
        <f t="shared" si="219"/>
        <v/>
      </c>
      <c r="FW30" s="8" t="str">
        <f t="shared" si="242"/>
        <v/>
      </c>
      <c r="FX30" s="9" t="str">
        <f t="shared" si="243"/>
        <v/>
      </c>
      <c r="FY30" s="10" t="str">
        <f t="shared" si="53"/>
        <v/>
      </c>
      <c r="FZ30" s="277" t="str">
        <f t="shared" si="244"/>
        <v/>
      </c>
      <c r="GA30" s="177" t="str">
        <f t="shared" si="220"/>
        <v/>
      </c>
      <c r="GB30" s="4" t="str">
        <f t="shared" si="221"/>
        <v/>
      </c>
      <c r="GC30" s="5" t="str">
        <f t="shared" si="222"/>
        <v/>
      </c>
      <c r="GD30" s="10" t="str">
        <f t="shared" si="223"/>
        <v/>
      </c>
      <c r="GE30" s="311" t="str">
        <f t="shared" si="224"/>
        <v/>
      </c>
      <c r="GF30" s="341" t="str">
        <f t="shared" si="245"/>
        <v/>
      </c>
      <c r="GG30" s="285" t="str">
        <f t="shared" si="54"/>
        <v/>
      </c>
      <c r="GH30" s="286" t="str">
        <f t="shared" si="55"/>
        <v/>
      </c>
      <c r="GI30" s="281" t="str">
        <f t="shared" si="56"/>
        <v/>
      </c>
      <c r="GJ30" s="167" t="str">
        <f t="shared" si="225"/>
        <v/>
      </c>
      <c r="GK30" s="174" t="str">
        <f t="shared" si="57"/>
        <v/>
      </c>
      <c r="GL30" s="174" t="str">
        <f t="shared" si="226"/>
        <v/>
      </c>
      <c r="GM30" s="177" t="str">
        <f t="shared" si="246"/>
        <v/>
      </c>
      <c r="GN30" s="280" t="str">
        <f t="shared" si="227"/>
        <v/>
      </c>
      <c r="GO30" s="4" t="str">
        <f t="shared" si="228"/>
        <v/>
      </c>
      <c r="GP30" s="8" t="str">
        <f t="shared" si="247"/>
        <v/>
      </c>
      <c r="GQ30" s="177" t="str">
        <f t="shared" si="229"/>
        <v/>
      </c>
      <c r="GR30" s="371" t="str">
        <f t="shared" si="248"/>
        <v/>
      </c>
      <c r="GS30" s="342" t="str">
        <f t="shared" si="59"/>
        <v/>
      </c>
      <c r="GT30" s="343" t="str">
        <f t="shared" si="60"/>
        <v/>
      </c>
      <c r="GU30" s="344" t="str">
        <f t="shared" si="61"/>
        <v/>
      </c>
      <c r="GV30" s="343" t="str">
        <f t="shared" si="251"/>
        <v/>
      </c>
      <c r="GW30" s="345" t="str">
        <f t="shared" si="62"/>
        <v/>
      </c>
      <c r="GX30" s="346" t="str">
        <f t="shared" si="63"/>
        <v/>
      </c>
      <c r="GY30" s="344" t="str">
        <f t="shared" si="64"/>
        <v/>
      </c>
      <c r="GZ30" s="345" t="str">
        <f t="shared" si="65"/>
        <v/>
      </c>
      <c r="HA30" s="342" t="str">
        <f t="shared" si="66"/>
        <v/>
      </c>
      <c r="HB30" s="5" t="str">
        <f t="shared" si="230"/>
        <v/>
      </c>
      <c r="HC30" s="343" t="str">
        <f t="shared" si="231"/>
        <v/>
      </c>
      <c r="HD30" s="363" t="str">
        <f t="shared" si="232"/>
        <v/>
      </c>
      <c r="HE30" s="344" t="str">
        <f t="shared" si="67"/>
        <v/>
      </c>
      <c r="HF30" s="5" t="str">
        <f t="shared" si="68"/>
        <v/>
      </c>
      <c r="HG30" s="343" t="str">
        <f t="shared" si="233"/>
        <v/>
      </c>
      <c r="HH30" s="349" t="str">
        <f t="shared" si="234"/>
        <v/>
      </c>
      <c r="HI30" s="317" t="str">
        <f t="shared" si="69"/>
        <v/>
      </c>
      <c r="HJ30" s="336"/>
      <c r="HK30" s="310" t="str">
        <f t="shared" si="136"/>
        <v/>
      </c>
      <c r="HL30" s="348" t="str">
        <f t="shared" si="70"/>
        <v/>
      </c>
      <c r="HM30" s="923" t="str">
        <f t="shared" si="71"/>
        <v/>
      </c>
      <c r="HN30" s="924" t="str">
        <f t="shared" si="72"/>
        <v/>
      </c>
      <c r="HO30" s="925"/>
      <c r="HP30" s="926"/>
      <c r="HQ30" s="924" t="str">
        <f t="shared" si="73"/>
        <v/>
      </c>
      <c r="HR30" s="927" t="str">
        <f t="shared" si="74"/>
        <v/>
      </c>
      <c r="HS30" s="879" t="str">
        <f t="shared" si="249"/>
        <v/>
      </c>
      <c r="HT30" s="889" t="str">
        <f t="shared" si="75"/>
        <v/>
      </c>
      <c r="HU30" s="890" t="str">
        <f t="shared" si="76"/>
        <v/>
      </c>
      <c r="HV30" s="886" t="str">
        <f t="shared" si="77"/>
        <v/>
      </c>
      <c r="HW30" s="880" t="str">
        <f t="shared" si="78"/>
        <v/>
      </c>
      <c r="HX30" s="881" t="str">
        <f t="shared" si="79"/>
        <v/>
      </c>
      <c r="HY30" s="880" t="str">
        <f t="shared" si="80"/>
        <v/>
      </c>
      <c r="HZ30" s="882" t="str">
        <f t="shared" si="81"/>
        <v/>
      </c>
      <c r="IA30" s="883" t="str">
        <f t="shared" si="82"/>
        <v/>
      </c>
      <c r="IB30" s="884" t="str">
        <f t="shared" si="83"/>
        <v/>
      </c>
      <c r="IC30" s="855" t="str">
        <f t="shared" si="84"/>
        <v/>
      </c>
      <c r="ID30" s="351" t="str">
        <f t="shared" si="85"/>
        <v/>
      </c>
      <c r="IE30" s="857" t="str">
        <f t="shared" si="86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5"/>
        <v>4.1189999999999998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7"/>
        <v>1313</v>
      </c>
      <c r="IM30" s="482" t="str">
        <f t="shared" si="236"/>
        <v/>
      </c>
      <c r="IN30" s="670" t="str">
        <f t="shared" si="89"/>
        <v/>
      </c>
      <c r="IO30" s="702">
        <v>9.5470788157282702E-3</v>
      </c>
      <c r="IP30" s="5" t="str">
        <f t="shared" si="90"/>
        <v/>
      </c>
      <c r="IQ30" s="714">
        <v>280</v>
      </c>
      <c r="IR30" s="9" t="str">
        <f t="shared" si="137"/>
        <v/>
      </c>
      <c r="IS30" s="5" t="str">
        <f t="shared" si="91"/>
        <v/>
      </c>
      <c r="IT30" s="5" t="str">
        <f t="shared" si="92"/>
        <v/>
      </c>
      <c r="IU30" s="5" t="str">
        <f t="shared" si="93"/>
        <v/>
      </c>
      <c r="IV30" s="670" t="str">
        <f t="shared" si="94"/>
        <v/>
      </c>
      <c r="IW30" s="9" t="str">
        <f t="shared" si="95"/>
        <v/>
      </c>
      <c r="IX30" s="5" t="str">
        <f t="shared" si="96"/>
        <v/>
      </c>
      <c r="IY30" s="5" t="str">
        <f t="shared" si="97"/>
        <v/>
      </c>
      <c r="IZ30" s="5" t="str">
        <f t="shared" si="98"/>
        <v/>
      </c>
      <c r="JA30" s="705" t="str">
        <f t="shared" si="99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si="2"/>
        <v>-0.46330906415481299</v>
      </c>
      <c r="C31" s="572">
        <f t="shared" si="3"/>
        <v>-0.30123794179050634</v>
      </c>
      <c r="D31" s="576">
        <f t="shared" si="4"/>
        <v>-0.55299999999999994</v>
      </c>
      <c r="E31" s="580">
        <f t="shared" si="5"/>
        <v>0.47275928779965803</v>
      </c>
      <c r="F31" s="572">
        <f t="shared" si="6"/>
        <v>-0.81884310621908585</v>
      </c>
      <c r="G31" s="579">
        <f t="shared" si="7"/>
        <v>0.3255681544571567</v>
      </c>
      <c r="H31" s="580">
        <f t="shared" si="8"/>
        <v>0.3125</v>
      </c>
      <c r="I31" s="572">
        <f t="shared" si="9"/>
        <v>0.52</v>
      </c>
      <c r="J31" s="483">
        <f t="shared" si="10"/>
        <v>5.1020000000000003</v>
      </c>
      <c r="K31" s="806">
        <f t="shared" si="11"/>
        <v>1613</v>
      </c>
      <c r="L31" s="309"/>
      <c r="M31" s="164">
        <f t="shared" si="12"/>
        <v>5.1020000000000003</v>
      </c>
      <c r="N31" s="575">
        <f t="shared" si="13"/>
        <v>-0.46330906415481299</v>
      </c>
      <c r="O31" s="572">
        <f t="shared" si="14"/>
        <v>-0.30123794179050634</v>
      </c>
      <c r="P31" s="576">
        <f t="shared" si="15"/>
        <v>-0.55299999999999994</v>
      </c>
      <c r="Q31" s="528">
        <f t="shared" si="138"/>
        <v>213.03143469106951</v>
      </c>
      <c r="R31" s="572">
        <f>IF(M31="","",SQRT(N31^2+O31^2))</f>
        <v>0.55262970106771236</v>
      </c>
      <c r="S31" s="577">
        <f>IF(M31="","",P31)</f>
        <v>-0.55299999999999994</v>
      </c>
      <c r="T31" s="578">
        <f>IF(M31="","",X31*COS(RADIANS(W31)))</f>
        <v>-0.30605917110750969</v>
      </c>
      <c r="U31" s="572">
        <f>IF(M31="","",X31*SIN(RADIANS(W31)))</f>
        <v>0.4601384251322348</v>
      </c>
      <c r="V31" s="579">
        <f>IF(M31="","",Y31)</f>
        <v>-0.55299999999999994</v>
      </c>
      <c r="W31" s="528">
        <f t="shared" si="252"/>
        <v>123.62970061373393</v>
      </c>
      <c r="X31" s="572">
        <f>IF(M31="","",R31)</f>
        <v>0.55262970106771236</v>
      </c>
      <c r="Y31" s="573">
        <f t="shared" si="253"/>
        <v>-0.55299999999999994</v>
      </c>
      <c r="Z31" s="575">
        <f t="shared" si="18"/>
        <v>-0.47275928779965803</v>
      </c>
      <c r="AA31" s="572">
        <f t="shared" si="19"/>
        <v>0.81884310621908585</v>
      </c>
      <c r="AB31" s="572">
        <f t="shared" si="20"/>
        <v>-0.3255681544571567</v>
      </c>
      <c r="AC31" s="579">
        <f>IF(M31="","",SQRT(Z31^2+AA31^2+AB31^2))</f>
        <v>1</v>
      </c>
      <c r="AD31" s="580">
        <f>IF(M31="","",Z31*(1/SQRT(Z31^2+AA31^2+AB31^2)))</f>
        <v>-0.47275928779965803</v>
      </c>
      <c r="AE31" s="572">
        <f>IF(M31="","",AA31*(1/SQRT(Z31^2+AA31^2+AB31^2)))</f>
        <v>0.81884310621908585</v>
      </c>
      <c r="AF31" s="576">
        <f>IF(M31="","",AB31*(1/SQRT(Z31^2+AA31^2+AB31^2)))</f>
        <v>-0.3255681544571567</v>
      </c>
      <c r="AG31" s="545">
        <f>IF(M31="","",DEGREES(ATAN2(-AF31,AE31)))</f>
        <v>68.317465020278831</v>
      </c>
      <c r="AH31" s="546">
        <f>IF(M31="","",DEGREES(ACOS(AD31)))</f>
        <v>118.21355746639864</v>
      </c>
      <c r="AI31" s="528">
        <f>IF(M31="","",DEGREES(-ACOS(-AF31)))</f>
        <v>-71</v>
      </c>
      <c r="AJ31" s="529">
        <f>IF(M31="","",DEGREES(ATAN2(-AE31,AD31)))</f>
        <v>-150.00000000000003</v>
      </c>
      <c r="AK31" s="578">
        <f>IF(M31="","",(COS(RADIANS((90-$Q$8)-W31))*AD31)+(-SIN(RADIANS((90-$Q$8)-W31))*AE31))</f>
        <v>0.9441954839614487</v>
      </c>
      <c r="AL31" s="572">
        <f>IF(M31="","",(SIN(RADIANS((90-$Q$8)-W31))*AD31)+(COS(RADIANS((90-$Q$8)-W31))*AE31))</f>
        <v>-5.0002648631513158E-2</v>
      </c>
      <c r="AM31" s="577">
        <f>IF(M31="","",AF31)</f>
        <v>-0.3255681544571567</v>
      </c>
      <c r="AN31" s="524">
        <f>IF(M31="","",DEGREES(ATAN2(-AM31,AL31)))</f>
        <v>-8.7315899677390298</v>
      </c>
      <c r="AO31" s="525">
        <f t="shared" si="115"/>
        <v>19.231489507648522</v>
      </c>
      <c r="AP31" s="528">
        <f>IF(M31="","",DEGREES(ATAN2(AK31,AL31)))</f>
        <v>-3.0314346910695171</v>
      </c>
      <c r="AQ31" s="529">
        <f t="shared" si="21"/>
        <v>4.118127538853992</v>
      </c>
      <c r="AS31" s="946">
        <f t="shared" si="141"/>
        <v>-236.37029938626608</v>
      </c>
      <c r="AT31" s="942">
        <f t="shared" si="22"/>
        <v>-0.3845804428304696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2"/>
        <v/>
      </c>
      <c r="BA31" s="296" t="str">
        <f t="shared" si="24"/>
        <v/>
      </c>
      <c r="BB31" s="190" t="str">
        <f t="shared" si="143"/>
        <v/>
      </c>
      <c r="BC31" s="9"/>
      <c r="BD31" s="5" t="str">
        <f t="shared" si="144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5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6"/>
        <v/>
      </c>
      <c r="BP31" s="5" t="str">
        <f t="shared" si="147"/>
        <v/>
      </c>
      <c r="BQ31" s="5" t="str">
        <f t="shared" si="148"/>
        <v/>
      </c>
      <c r="BR31" s="6" t="str">
        <f t="shared" si="149"/>
        <v/>
      </c>
      <c r="BS31" s="4" t="str">
        <f t="shared" si="117"/>
        <v/>
      </c>
      <c r="BT31" s="5" t="str">
        <f t="shared" si="117"/>
        <v/>
      </c>
      <c r="BU31" s="10" t="str">
        <f t="shared" si="118"/>
        <v/>
      </c>
      <c r="BV31" s="9" t="str">
        <f t="shared" si="119"/>
        <v/>
      </c>
      <c r="BW31" s="5" t="str">
        <f t="shared" si="120"/>
        <v/>
      </c>
      <c r="BX31" s="8" t="str">
        <f t="shared" si="121"/>
        <v/>
      </c>
      <c r="BY31" s="173" t="str">
        <f t="shared" si="122"/>
        <v/>
      </c>
      <c r="BZ31" s="5" t="str">
        <f t="shared" si="123"/>
        <v/>
      </c>
      <c r="CA31" s="6" t="str">
        <f t="shared" si="124"/>
        <v/>
      </c>
      <c r="CB31" s="4" t="str">
        <f t="shared" si="150"/>
        <v/>
      </c>
      <c r="CC31" s="5" t="str">
        <f t="shared" si="151"/>
        <v/>
      </c>
      <c r="CD31" s="5" t="str">
        <f t="shared" si="152"/>
        <v/>
      </c>
      <c r="CE31" s="6" t="str">
        <f t="shared" si="153"/>
        <v/>
      </c>
      <c r="CF31" s="4" t="str">
        <f t="shared" si="154"/>
        <v/>
      </c>
      <c r="CG31" s="5" t="str">
        <f t="shared" si="155"/>
        <v/>
      </c>
      <c r="CH31" s="5" t="str">
        <f t="shared" si="156"/>
        <v/>
      </c>
      <c r="CI31" s="4" t="str">
        <f t="shared" si="125"/>
        <v/>
      </c>
      <c r="CJ31" s="5" t="str">
        <f t="shared" si="126"/>
        <v/>
      </c>
      <c r="CK31" s="8" t="str">
        <f t="shared" si="127"/>
        <v/>
      </c>
      <c r="CL31" s="173" t="str">
        <f t="shared" si="128"/>
        <v/>
      </c>
      <c r="CM31" s="5" t="str">
        <f t="shared" si="129"/>
        <v/>
      </c>
      <c r="CN31" s="6" t="str">
        <f t="shared" si="130"/>
        <v/>
      </c>
      <c r="CO31" s="167" t="str">
        <f t="shared" si="34"/>
        <v/>
      </c>
      <c r="CP31" s="4" t="str">
        <f t="shared" si="238"/>
        <v/>
      </c>
      <c r="CQ31" s="5" t="str">
        <f t="shared" si="239"/>
        <v/>
      </c>
      <c r="CR31" s="5" t="str">
        <f t="shared" si="157"/>
        <v/>
      </c>
      <c r="CS31" s="8" t="str">
        <f t="shared" si="158"/>
        <v/>
      </c>
      <c r="CT31" s="9" t="str">
        <f t="shared" si="159"/>
        <v/>
      </c>
      <c r="CU31" s="6" t="str">
        <f t="shared" si="160"/>
        <v/>
      </c>
      <c r="CV31" s="4" t="str">
        <f t="shared" si="240"/>
        <v/>
      </c>
      <c r="CW31" s="5" t="str">
        <f t="shared" si="161"/>
        <v/>
      </c>
      <c r="CX31" s="8" t="str">
        <f t="shared" si="162"/>
        <v/>
      </c>
      <c r="CY31" s="9" t="str">
        <f t="shared" si="163"/>
        <v/>
      </c>
      <c r="CZ31" s="5" t="str">
        <f t="shared" si="164"/>
        <v/>
      </c>
      <c r="DA31" s="6" t="str">
        <f t="shared" si="165"/>
        <v/>
      </c>
      <c r="DB31" s="4" t="str">
        <f t="shared" si="166"/>
        <v/>
      </c>
      <c r="DC31" s="5" t="str">
        <f t="shared" si="166"/>
        <v/>
      </c>
      <c r="DD31" s="10" t="str">
        <f t="shared" si="167"/>
        <v/>
      </c>
      <c r="DE31" s="9" t="str">
        <f t="shared" si="168"/>
        <v/>
      </c>
      <c r="DF31" s="5" t="str">
        <f t="shared" si="168"/>
        <v/>
      </c>
      <c r="DG31" s="10" t="str">
        <f t="shared" si="169"/>
        <v/>
      </c>
      <c r="DH31" s="70" t="str">
        <f t="shared" si="170"/>
        <v/>
      </c>
      <c r="DI31" s="4" t="str">
        <f t="shared" si="171"/>
        <v/>
      </c>
      <c r="DJ31" s="5" t="str">
        <f t="shared" si="172"/>
        <v/>
      </c>
      <c r="DK31" s="10" t="str">
        <f t="shared" si="173"/>
        <v/>
      </c>
      <c r="DL31" s="9" t="str">
        <f t="shared" si="174"/>
        <v/>
      </c>
      <c r="DM31" s="173" t="str">
        <f t="shared" si="175"/>
        <v/>
      </c>
      <c r="DN31" s="178" t="str">
        <f t="shared" si="176"/>
        <v/>
      </c>
      <c r="DO31" s="9" t="str">
        <f t="shared" si="177"/>
        <v/>
      </c>
      <c r="DP31" s="173" t="str">
        <f t="shared" si="178"/>
        <v/>
      </c>
      <c r="DQ31" s="11" t="str">
        <f t="shared" si="179"/>
        <v/>
      </c>
      <c r="DR31" s="173" t="str">
        <f t="shared" si="180"/>
        <v/>
      </c>
      <c r="DS31" s="5" t="str">
        <f t="shared" si="181"/>
        <v/>
      </c>
      <c r="DT31" s="5" t="str">
        <f t="shared" si="182"/>
        <v/>
      </c>
      <c r="DU31" s="5" t="str">
        <f t="shared" si="183"/>
        <v/>
      </c>
      <c r="DV31" s="5" t="str">
        <f t="shared" si="184"/>
        <v/>
      </c>
      <c r="DW31" s="5" t="str">
        <f t="shared" si="185"/>
        <v/>
      </c>
      <c r="DX31" s="167" t="str">
        <f t="shared" si="186"/>
        <v/>
      </c>
      <c r="DY31" s="9" t="str">
        <f t="shared" si="187"/>
        <v/>
      </c>
      <c r="DZ31" s="5" t="str">
        <f t="shared" si="188"/>
        <v/>
      </c>
      <c r="EA31" s="10" t="str">
        <f t="shared" si="189"/>
        <v/>
      </c>
      <c r="EB31" s="6" t="str">
        <f t="shared" si="190"/>
        <v/>
      </c>
      <c r="EC31" s="173" t="str">
        <f t="shared" si="191"/>
        <v/>
      </c>
      <c r="ED31" s="5" t="str">
        <f t="shared" si="192"/>
        <v/>
      </c>
      <c r="EE31" s="4" t="str">
        <f t="shared" si="193"/>
        <v/>
      </c>
      <c r="EF31" s="5" t="str">
        <f t="shared" si="194"/>
        <v/>
      </c>
      <c r="EG31" s="10" t="str">
        <f t="shared" si="195"/>
        <v/>
      </c>
      <c r="EH31" s="9" t="str">
        <f t="shared" si="196"/>
        <v/>
      </c>
      <c r="EI31" s="5" t="str">
        <f t="shared" si="197"/>
        <v/>
      </c>
      <c r="EJ31" s="6" t="str">
        <f t="shared" si="198"/>
        <v/>
      </c>
      <c r="EK31" s="236" t="str">
        <f t="shared" si="199"/>
        <v/>
      </c>
      <c r="EL31" s="238" t="str">
        <f t="shared" si="200"/>
        <v/>
      </c>
      <c r="EM31" s="4" t="str">
        <f t="shared" si="201"/>
        <v/>
      </c>
      <c r="EN31" s="5" t="str">
        <f t="shared" si="202"/>
        <v/>
      </c>
      <c r="EO31" s="10" t="str">
        <f t="shared" si="203"/>
        <v/>
      </c>
      <c r="EP31" s="9" t="str">
        <f t="shared" si="204"/>
        <v/>
      </c>
      <c r="EQ31" s="5" t="str">
        <f t="shared" si="205"/>
        <v/>
      </c>
      <c r="ER31" s="7" t="str">
        <f t="shared" si="206"/>
        <v/>
      </c>
      <c r="ES31" s="21" t="str">
        <f t="shared" si="131"/>
        <v/>
      </c>
      <c r="ET31" s="5" t="str">
        <f t="shared" si="43"/>
        <v/>
      </c>
      <c r="EU31" s="10" t="str">
        <f t="shared" si="44"/>
        <v/>
      </c>
      <c r="EV31" s="174" t="str">
        <f t="shared" si="250"/>
        <v/>
      </c>
      <c r="EW31" s="9" t="str">
        <f t="shared" si="132"/>
        <v/>
      </c>
      <c r="EX31" s="5" t="str">
        <f t="shared" si="45"/>
        <v/>
      </c>
      <c r="EY31" s="6" t="str">
        <f t="shared" si="207"/>
        <v/>
      </c>
      <c r="EZ31" s="51" t="str">
        <f t="shared" si="208"/>
        <v/>
      </c>
      <c r="FA31" s="266" t="str">
        <f t="shared" si="133"/>
        <v/>
      </c>
      <c r="FB31" s="267" t="str">
        <f t="shared" si="134"/>
        <v/>
      </c>
      <c r="FC31" s="269" t="str">
        <f t="shared" si="46"/>
        <v/>
      </c>
      <c r="FD31" s="4" t="str">
        <f t="shared" si="135"/>
        <v/>
      </c>
      <c r="FE31" s="5" t="str">
        <f t="shared" si="47"/>
        <v/>
      </c>
      <c r="FF31" s="7" t="str">
        <f t="shared" si="209"/>
        <v/>
      </c>
      <c r="FG31" s="173" t="str">
        <f t="shared" si="210"/>
        <v/>
      </c>
      <c r="FH31" s="5" t="str">
        <f t="shared" si="48"/>
        <v/>
      </c>
      <c r="FI31" s="10" t="str">
        <f t="shared" si="49"/>
        <v/>
      </c>
      <c r="FJ31" s="279" t="str">
        <f t="shared" si="211"/>
        <v/>
      </c>
      <c r="FK31" s="4" t="str">
        <f t="shared" si="50"/>
        <v/>
      </c>
      <c r="FL31" s="5" t="str">
        <f t="shared" si="212"/>
        <v/>
      </c>
      <c r="FM31" s="8" t="str">
        <f t="shared" si="213"/>
        <v/>
      </c>
      <c r="FN31" s="9" t="str">
        <f t="shared" si="214"/>
        <v/>
      </c>
      <c r="FO31" s="10" t="str">
        <f t="shared" si="51"/>
        <v/>
      </c>
      <c r="FP31" s="277" t="str">
        <f t="shared" si="52"/>
        <v/>
      </c>
      <c r="FQ31" s="173" t="str">
        <f t="shared" si="241"/>
        <v/>
      </c>
      <c r="FR31" s="10" t="str">
        <f t="shared" si="215"/>
        <v/>
      </c>
      <c r="FS31" s="9" t="str">
        <f t="shared" si="216"/>
        <v/>
      </c>
      <c r="FT31" s="6" t="str">
        <f t="shared" si="217"/>
        <v/>
      </c>
      <c r="FU31" s="4" t="str">
        <f t="shared" si="218"/>
        <v/>
      </c>
      <c r="FV31" s="5" t="str">
        <f t="shared" si="219"/>
        <v/>
      </c>
      <c r="FW31" s="8" t="str">
        <f t="shared" si="242"/>
        <v/>
      </c>
      <c r="FX31" s="9" t="str">
        <f t="shared" si="243"/>
        <v/>
      </c>
      <c r="FY31" s="10" t="str">
        <f t="shared" si="53"/>
        <v/>
      </c>
      <c r="FZ31" s="277" t="str">
        <f t="shared" si="244"/>
        <v/>
      </c>
      <c r="GA31" s="177" t="str">
        <f t="shared" si="220"/>
        <v/>
      </c>
      <c r="GB31" s="4" t="str">
        <f t="shared" si="221"/>
        <v/>
      </c>
      <c r="GC31" s="5" t="str">
        <f t="shared" si="222"/>
        <v/>
      </c>
      <c r="GD31" s="10" t="str">
        <f t="shared" si="223"/>
        <v/>
      </c>
      <c r="GE31" s="311" t="str">
        <f t="shared" si="224"/>
        <v/>
      </c>
      <c r="GF31" s="341" t="str">
        <f t="shared" si="245"/>
        <v/>
      </c>
      <c r="GG31" s="285" t="str">
        <f t="shared" si="54"/>
        <v/>
      </c>
      <c r="GH31" s="286" t="str">
        <f t="shared" si="55"/>
        <v/>
      </c>
      <c r="GI31" s="281" t="str">
        <f t="shared" si="56"/>
        <v/>
      </c>
      <c r="GJ31" s="167" t="str">
        <f t="shared" si="225"/>
        <v/>
      </c>
      <c r="GK31" s="174" t="str">
        <f t="shared" si="57"/>
        <v/>
      </c>
      <c r="GL31" s="174" t="str">
        <f t="shared" si="226"/>
        <v/>
      </c>
      <c r="GM31" s="177" t="str">
        <f t="shared" si="246"/>
        <v/>
      </c>
      <c r="GN31" s="280" t="str">
        <f t="shared" si="227"/>
        <v/>
      </c>
      <c r="GO31" s="4" t="str">
        <f t="shared" si="228"/>
        <v/>
      </c>
      <c r="GP31" s="8" t="str">
        <f t="shared" si="247"/>
        <v/>
      </c>
      <c r="GQ31" s="177" t="str">
        <f t="shared" si="229"/>
        <v/>
      </c>
      <c r="GR31" s="371" t="str">
        <f t="shared" si="248"/>
        <v/>
      </c>
      <c r="GS31" s="342" t="str">
        <f t="shared" si="59"/>
        <v/>
      </c>
      <c r="GT31" s="343" t="str">
        <f t="shared" si="60"/>
        <v/>
      </c>
      <c r="GU31" s="344" t="str">
        <f t="shared" si="61"/>
        <v/>
      </c>
      <c r="GV31" s="343" t="str">
        <f t="shared" si="251"/>
        <v/>
      </c>
      <c r="GW31" s="345" t="str">
        <f t="shared" si="62"/>
        <v/>
      </c>
      <c r="GX31" s="346" t="str">
        <f t="shared" si="63"/>
        <v/>
      </c>
      <c r="GY31" s="344" t="str">
        <f t="shared" si="64"/>
        <v/>
      </c>
      <c r="GZ31" s="345" t="str">
        <f t="shared" si="65"/>
        <v/>
      </c>
      <c r="HA31" s="342" t="str">
        <f t="shared" si="66"/>
        <v/>
      </c>
      <c r="HB31" s="5" t="str">
        <f t="shared" si="230"/>
        <v/>
      </c>
      <c r="HC31" s="343" t="str">
        <f t="shared" si="231"/>
        <v/>
      </c>
      <c r="HD31" s="363" t="str">
        <f t="shared" si="232"/>
        <v/>
      </c>
      <c r="HE31" s="344" t="str">
        <f t="shared" si="67"/>
        <v/>
      </c>
      <c r="HF31" s="5" t="str">
        <f t="shared" si="68"/>
        <v/>
      </c>
      <c r="HG31" s="343" t="str">
        <f t="shared" si="233"/>
        <v/>
      </c>
      <c r="HH31" s="349" t="str">
        <f t="shared" si="234"/>
        <v/>
      </c>
      <c r="HI31" s="317" t="str">
        <f t="shared" si="69"/>
        <v/>
      </c>
      <c r="HJ31" s="336"/>
      <c r="HK31" s="310" t="str">
        <f t="shared" si="136"/>
        <v/>
      </c>
      <c r="HL31" s="348" t="str">
        <f t="shared" si="70"/>
        <v/>
      </c>
      <c r="HM31" s="923" t="str">
        <f t="shared" si="71"/>
        <v/>
      </c>
      <c r="HN31" s="924" t="str">
        <f t="shared" si="72"/>
        <v/>
      </c>
      <c r="HO31" s="925"/>
      <c r="HP31" s="926"/>
      <c r="HQ31" s="924" t="str">
        <f t="shared" si="73"/>
        <v/>
      </c>
      <c r="HR31" s="927" t="str">
        <f t="shared" si="74"/>
        <v/>
      </c>
      <c r="HS31" s="879" t="str">
        <f t="shared" si="249"/>
        <v/>
      </c>
      <c r="HT31" s="889" t="str">
        <f t="shared" si="75"/>
        <v/>
      </c>
      <c r="HU31" s="890" t="str">
        <f t="shared" si="76"/>
        <v/>
      </c>
      <c r="HV31" s="886" t="str">
        <f t="shared" si="77"/>
        <v/>
      </c>
      <c r="HW31" s="880" t="str">
        <f t="shared" si="78"/>
        <v/>
      </c>
      <c r="HX31" s="881" t="str">
        <f t="shared" si="79"/>
        <v/>
      </c>
      <c r="HY31" s="880" t="str">
        <f t="shared" si="80"/>
        <v/>
      </c>
      <c r="HZ31" s="882" t="str">
        <f t="shared" si="81"/>
        <v/>
      </c>
      <c r="IA31" s="883" t="str">
        <f t="shared" si="82"/>
        <v/>
      </c>
      <c r="IB31" s="884" t="str">
        <f t="shared" si="83"/>
        <v/>
      </c>
      <c r="IC31" s="855" t="str">
        <f t="shared" si="84"/>
        <v/>
      </c>
      <c r="ID31" s="351" t="str">
        <f t="shared" si="85"/>
        <v/>
      </c>
      <c r="IE31" s="857" t="str">
        <f t="shared" si="86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5"/>
        <v>5.1020000000000003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7"/>
        <v>1613</v>
      </c>
      <c r="IM31" s="482" t="str">
        <f t="shared" si="236"/>
        <v/>
      </c>
      <c r="IN31" s="670" t="str">
        <f t="shared" si="89"/>
        <v/>
      </c>
      <c r="IO31" s="702">
        <v>8.8113349616738904E-3</v>
      </c>
      <c r="IP31" s="5" t="str">
        <f t="shared" si="90"/>
        <v/>
      </c>
      <c r="IQ31" s="714">
        <v>340</v>
      </c>
      <c r="IR31" s="9" t="str">
        <f t="shared" si="137"/>
        <v/>
      </c>
      <c r="IS31" s="5" t="str">
        <f t="shared" si="91"/>
        <v/>
      </c>
      <c r="IT31" s="5" t="str">
        <f t="shared" si="92"/>
        <v/>
      </c>
      <c r="IU31" s="5" t="str">
        <f t="shared" si="93"/>
        <v/>
      </c>
      <c r="IV31" s="670" t="str">
        <f t="shared" si="94"/>
        <v/>
      </c>
      <c r="IW31" s="9" t="str">
        <f t="shared" si="95"/>
        <v/>
      </c>
      <c r="IX31" s="5" t="str">
        <f t="shared" si="96"/>
        <v/>
      </c>
      <c r="IY31" s="5" t="str">
        <f t="shared" si="97"/>
        <v/>
      </c>
      <c r="IZ31" s="5" t="str">
        <f t="shared" si="98"/>
        <v/>
      </c>
      <c r="JA31" s="705" t="str">
        <f t="shared" si="99"/>
        <v/>
      </c>
    </row>
    <row r="32" spans="1:271" ht="15" customHeight="1" x14ac:dyDescent="0.25">
      <c r="A32" s="75">
        <f t="shared" si="1"/>
        <v>0</v>
      </c>
      <c r="B32" s="578">
        <f t="shared" si="2"/>
        <v>-1.0948147885944259</v>
      </c>
      <c r="C32" s="572">
        <f t="shared" si="3"/>
        <v>-0.66583794179050604</v>
      </c>
      <c r="D32" s="576">
        <f t="shared" si="4"/>
        <v>-0.35760000000000003</v>
      </c>
      <c r="E32" s="580">
        <f t="shared" si="5"/>
        <v>0.48296291314453382</v>
      </c>
      <c r="F32" s="572">
        <f t="shared" si="6"/>
        <v>-0.83651630373780828</v>
      </c>
      <c r="G32" s="579">
        <f t="shared" si="7"/>
        <v>0.25881904510252074</v>
      </c>
      <c r="H32" s="580">
        <f t="shared" si="8"/>
        <v>0.3125</v>
      </c>
      <c r="I32" s="572">
        <f t="shared" si="9"/>
        <v>0.52</v>
      </c>
      <c r="J32" s="483">
        <f t="shared" si="10"/>
        <v>5.1050000000000004</v>
      </c>
      <c r="K32" s="806">
        <f t="shared" si="11"/>
        <v>1613</v>
      </c>
      <c r="L32" s="309"/>
      <c r="M32" s="164">
        <f t="shared" si="12"/>
        <v>5.1050000000000004</v>
      </c>
      <c r="N32" s="575">
        <f t="shared" si="13"/>
        <v>-1.0948147885944259</v>
      </c>
      <c r="O32" s="572">
        <f t="shared" si="14"/>
        <v>-0.66583794179050604</v>
      </c>
      <c r="P32" s="576">
        <f t="shared" si="15"/>
        <v>-0.35760000000000003</v>
      </c>
      <c r="Q32" s="528">
        <f t="shared" si="138"/>
        <v>211.3068815474534</v>
      </c>
      <c r="R32" s="572">
        <f t="shared" si="100"/>
        <v>1.2813897088914343</v>
      </c>
      <c r="S32" s="577">
        <f t="shared" si="101"/>
        <v>-0.35760000000000003</v>
      </c>
      <c r="T32" s="578">
        <f t="shared" si="102"/>
        <v>-0.67723317515670611</v>
      </c>
      <c r="U32" s="572">
        <f t="shared" si="103"/>
        <v>1.0878027452254573</v>
      </c>
      <c r="V32" s="579">
        <f t="shared" si="139"/>
        <v>-0.35760000000000003</v>
      </c>
      <c r="W32" s="528">
        <f t="shared" si="252"/>
        <v>121.90514747011783</v>
      </c>
      <c r="X32" s="572">
        <f t="shared" si="104"/>
        <v>1.2813897088914343</v>
      </c>
      <c r="Y32" s="573">
        <f t="shared" si="253"/>
        <v>-0.35760000000000003</v>
      </c>
      <c r="Z32" s="575">
        <f t="shared" si="18"/>
        <v>-0.48296291314453382</v>
      </c>
      <c r="AA32" s="572">
        <f t="shared" si="19"/>
        <v>0.83651630373780828</v>
      </c>
      <c r="AB32" s="572">
        <f t="shared" si="20"/>
        <v>-0.25881904510252074</v>
      </c>
      <c r="AC32" s="579">
        <f t="shared" si="105"/>
        <v>1</v>
      </c>
      <c r="AD32" s="580">
        <f t="shared" si="140"/>
        <v>-0.48296291314453382</v>
      </c>
      <c r="AE32" s="572">
        <f t="shared" si="106"/>
        <v>0.83651630373780828</v>
      </c>
      <c r="AF32" s="576">
        <f t="shared" si="107"/>
        <v>-0.25881904510252074</v>
      </c>
      <c r="AG32" s="545">
        <f t="shared" si="108"/>
        <v>72.807876265979033</v>
      </c>
      <c r="AH32" s="546">
        <f t="shared" si="109"/>
        <v>118.87909401742758</v>
      </c>
      <c r="AI32" s="528">
        <f t="shared" si="110"/>
        <v>-75</v>
      </c>
      <c r="AJ32" s="529">
        <f t="shared" si="111"/>
        <v>-150.00000000000003</v>
      </c>
      <c r="AK32" s="578">
        <f t="shared" si="237"/>
        <v>0.96567456699204823</v>
      </c>
      <c r="AL32" s="572">
        <f t="shared" si="112"/>
        <v>-2.2030264568087488E-2</v>
      </c>
      <c r="AM32" s="577">
        <f t="shared" si="113"/>
        <v>-0.25881904510252074</v>
      </c>
      <c r="AN32" s="524">
        <f t="shared" si="114"/>
        <v>-4.8651983532143479</v>
      </c>
      <c r="AO32" s="525">
        <f t="shared" si="115"/>
        <v>15.055521859842429</v>
      </c>
      <c r="AP32" s="528">
        <f t="shared" si="116"/>
        <v>-1.3068815474534232</v>
      </c>
      <c r="AQ32" s="529">
        <f t="shared" si="21"/>
        <v>1.7785333776917602</v>
      </c>
      <c r="AS32" s="946">
        <f t="shared" si="141"/>
        <v>-238.09485252988219</v>
      </c>
      <c r="AT32" s="942">
        <f t="shared" si="22"/>
        <v>-0.1879828364807363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2"/>
        <v/>
      </c>
      <c r="BA32" s="296" t="str">
        <f t="shared" si="24"/>
        <v/>
      </c>
      <c r="BB32" s="190" t="str">
        <f t="shared" si="143"/>
        <v/>
      </c>
      <c r="BC32" s="9"/>
      <c r="BD32" s="5" t="str">
        <f t="shared" si="144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5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6"/>
        <v/>
      </c>
      <c r="BP32" s="5" t="str">
        <f t="shared" si="147"/>
        <v/>
      </c>
      <c r="BQ32" s="5" t="str">
        <f t="shared" si="148"/>
        <v/>
      </c>
      <c r="BR32" s="6" t="str">
        <f t="shared" si="149"/>
        <v/>
      </c>
      <c r="BS32" s="4" t="str">
        <f t="shared" si="117"/>
        <v/>
      </c>
      <c r="BT32" s="5" t="str">
        <f t="shared" si="117"/>
        <v/>
      </c>
      <c r="BU32" s="10" t="str">
        <f t="shared" si="118"/>
        <v/>
      </c>
      <c r="BV32" s="9" t="str">
        <f t="shared" si="119"/>
        <v/>
      </c>
      <c r="BW32" s="5" t="str">
        <f t="shared" si="120"/>
        <v/>
      </c>
      <c r="BX32" s="8" t="str">
        <f t="shared" si="121"/>
        <v/>
      </c>
      <c r="BY32" s="173" t="str">
        <f t="shared" si="122"/>
        <v/>
      </c>
      <c r="BZ32" s="5" t="str">
        <f t="shared" si="123"/>
        <v/>
      </c>
      <c r="CA32" s="6" t="str">
        <f t="shared" si="124"/>
        <v/>
      </c>
      <c r="CB32" s="4" t="str">
        <f t="shared" si="150"/>
        <v/>
      </c>
      <c r="CC32" s="5" t="str">
        <f t="shared" si="151"/>
        <v/>
      </c>
      <c r="CD32" s="5" t="str">
        <f t="shared" si="152"/>
        <v/>
      </c>
      <c r="CE32" s="6" t="str">
        <f t="shared" si="153"/>
        <v/>
      </c>
      <c r="CF32" s="4" t="str">
        <f t="shared" si="154"/>
        <v/>
      </c>
      <c r="CG32" s="5" t="str">
        <f t="shared" si="155"/>
        <v/>
      </c>
      <c r="CH32" s="5" t="str">
        <f t="shared" si="156"/>
        <v/>
      </c>
      <c r="CI32" s="4" t="str">
        <f t="shared" si="125"/>
        <v/>
      </c>
      <c r="CJ32" s="5" t="str">
        <f t="shared" si="126"/>
        <v/>
      </c>
      <c r="CK32" s="8" t="str">
        <f t="shared" si="127"/>
        <v/>
      </c>
      <c r="CL32" s="173" t="str">
        <f t="shared" si="128"/>
        <v/>
      </c>
      <c r="CM32" s="5" t="str">
        <f t="shared" si="129"/>
        <v/>
      </c>
      <c r="CN32" s="6" t="str">
        <f t="shared" si="130"/>
        <v/>
      </c>
      <c r="CO32" s="167" t="str">
        <f t="shared" si="34"/>
        <v/>
      </c>
      <c r="CP32" s="4" t="str">
        <f t="shared" si="238"/>
        <v/>
      </c>
      <c r="CQ32" s="5" t="str">
        <f t="shared" si="239"/>
        <v/>
      </c>
      <c r="CR32" s="5" t="str">
        <f t="shared" si="157"/>
        <v/>
      </c>
      <c r="CS32" s="8" t="str">
        <f t="shared" si="158"/>
        <v/>
      </c>
      <c r="CT32" s="9" t="str">
        <f t="shared" si="159"/>
        <v/>
      </c>
      <c r="CU32" s="6" t="str">
        <f t="shared" si="160"/>
        <v/>
      </c>
      <c r="CV32" s="4" t="str">
        <f t="shared" si="240"/>
        <v/>
      </c>
      <c r="CW32" s="5" t="str">
        <f t="shared" si="161"/>
        <v/>
      </c>
      <c r="CX32" s="8" t="str">
        <f t="shared" si="162"/>
        <v/>
      </c>
      <c r="CY32" s="9" t="str">
        <f t="shared" si="163"/>
        <v/>
      </c>
      <c r="CZ32" s="5" t="str">
        <f t="shared" si="164"/>
        <v/>
      </c>
      <c r="DA32" s="6" t="str">
        <f t="shared" si="165"/>
        <v/>
      </c>
      <c r="DB32" s="4" t="str">
        <f t="shared" si="166"/>
        <v/>
      </c>
      <c r="DC32" s="5" t="str">
        <f t="shared" si="166"/>
        <v/>
      </c>
      <c r="DD32" s="10" t="str">
        <f t="shared" si="167"/>
        <v/>
      </c>
      <c r="DE32" s="9" t="str">
        <f t="shared" si="168"/>
        <v/>
      </c>
      <c r="DF32" s="5" t="str">
        <f t="shared" si="168"/>
        <v/>
      </c>
      <c r="DG32" s="10" t="str">
        <f t="shared" si="169"/>
        <v/>
      </c>
      <c r="DH32" s="70" t="str">
        <f t="shared" si="170"/>
        <v/>
      </c>
      <c r="DI32" s="4" t="str">
        <f t="shared" si="171"/>
        <v/>
      </c>
      <c r="DJ32" s="5" t="str">
        <f t="shared" si="172"/>
        <v/>
      </c>
      <c r="DK32" s="10" t="str">
        <f t="shared" si="173"/>
        <v/>
      </c>
      <c r="DL32" s="9" t="str">
        <f t="shared" si="174"/>
        <v/>
      </c>
      <c r="DM32" s="173" t="str">
        <f t="shared" si="175"/>
        <v/>
      </c>
      <c r="DN32" s="178" t="str">
        <f t="shared" si="176"/>
        <v/>
      </c>
      <c r="DO32" s="9" t="str">
        <f t="shared" si="177"/>
        <v/>
      </c>
      <c r="DP32" s="173" t="str">
        <f t="shared" si="178"/>
        <v/>
      </c>
      <c r="DQ32" s="11" t="str">
        <f t="shared" si="179"/>
        <v/>
      </c>
      <c r="DR32" s="173" t="str">
        <f t="shared" si="180"/>
        <v/>
      </c>
      <c r="DS32" s="5" t="str">
        <f t="shared" si="181"/>
        <v/>
      </c>
      <c r="DT32" s="5" t="str">
        <f t="shared" si="182"/>
        <v/>
      </c>
      <c r="DU32" s="5" t="str">
        <f t="shared" si="183"/>
        <v/>
      </c>
      <c r="DV32" s="5" t="str">
        <f t="shared" si="184"/>
        <v/>
      </c>
      <c r="DW32" s="5" t="str">
        <f t="shared" si="185"/>
        <v/>
      </c>
      <c r="DX32" s="167" t="str">
        <f t="shared" si="186"/>
        <v/>
      </c>
      <c r="DY32" s="9" t="str">
        <f t="shared" si="187"/>
        <v/>
      </c>
      <c r="DZ32" s="5" t="str">
        <f t="shared" si="188"/>
        <v/>
      </c>
      <c r="EA32" s="10" t="str">
        <f t="shared" si="189"/>
        <v/>
      </c>
      <c r="EB32" s="6" t="str">
        <f t="shared" si="190"/>
        <v/>
      </c>
      <c r="EC32" s="173" t="str">
        <f t="shared" si="191"/>
        <v/>
      </c>
      <c r="ED32" s="5" t="str">
        <f t="shared" si="192"/>
        <v/>
      </c>
      <c r="EE32" s="4" t="str">
        <f t="shared" si="193"/>
        <v/>
      </c>
      <c r="EF32" s="5" t="str">
        <f t="shared" si="194"/>
        <v/>
      </c>
      <c r="EG32" s="10" t="str">
        <f t="shared" si="195"/>
        <v/>
      </c>
      <c r="EH32" s="9" t="str">
        <f t="shared" si="196"/>
        <v/>
      </c>
      <c r="EI32" s="5" t="str">
        <f t="shared" si="197"/>
        <v/>
      </c>
      <c r="EJ32" s="6" t="str">
        <f t="shared" si="198"/>
        <v/>
      </c>
      <c r="EK32" s="236" t="str">
        <f t="shared" si="199"/>
        <v/>
      </c>
      <c r="EL32" s="238" t="str">
        <f t="shared" si="200"/>
        <v/>
      </c>
      <c r="EM32" s="4" t="str">
        <f t="shared" si="201"/>
        <v/>
      </c>
      <c r="EN32" s="5" t="str">
        <f t="shared" si="202"/>
        <v/>
      </c>
      <c r="EO32" s="10" t="str">
        <f t="shared" si="203"/>
        <v/>
      </c>
      <c r="EP32" s="9" t="str">
        <f t="shared" si="204"/>
        <v/>
      </c>
      <c r="EQ32" s="5" t="str">
        <f t="shared" si="205"/>
        <v/>
      </c>
      <c r="ER32" s="7" t="str">
        <f t="shared" si="206"/>
        <v/>
      </c>
      <c r="ES32" s="21" t="str">
        <f t="shared" si="131"/>
        <v/>
      </c>
      <c r="ET32" s="5" t="str">
        <f t="shared" si="43"/>
        <v/>
      </c>
      <c r="EU32" s="10" t="str">
        <f t="shared" si="44"/>
        <v/>
      </c>
      <c r="EV32" s="174" t="str">
        <f t="shared" si="250"/>
        <v/>
      </c>
      <c r="EW32" s="9" t="str">
        <f t="shared" si="132"/>
        <v/>
      </c>
      <c r="EX32" s="5" t="str">
        <f t="shared" si="45"/>
        <v/>
      </c>
      <c r="EY32" s="6" t="str">
        <f t="shared" si="207"/>
        <v/>
      </c>
      <c r="EZ32" s="51" t="str">
        <f t="shared" si="208"/>
        <v/>
      </c>
      <c r="FA32" s="266" t="str">
        <f t="shared" si="133"/>
        <v/>
      </c>
      <c r="FB32" s="267" t="str">
        <f t="shared" si="134"/>
        <v/>
      </c>
      <c r="FC32" s="269" t="str">
        <f t="shared" si="46"/>
        <v/>
      </c>
      <c r="FD32" s="4" t="str">
        <f t="shared" si="135"/>
        <v/>
      </c>
      <c r="FE32" s="5" t="str">
        <f t="shared" si="47"/>
        <v/>
      </c>
      <c r="FF32" s="7" t="str">
        <f t="shared" si="209"/>
        <v/>
      </c>
      <c r="FG32" s="173" t="str">
        <f t="shared" si="210"/>
        <v/>
      </c>
      <c r="FH32" s="5" t="str">
        <f t="shared" si="48"/>
        <v/>
      </c>
      <c r="FI32" s="10" t="str">
        <f t="shared" si="49"/>
        <v/>
      </c>
      <c r="FJ32" s="279" t="str">
        <f t="shared" si="211"/>
        <v/>
      </c>
      <c r="FK32" s="4" t="str">
        <f t="shared" si="50"/>
        <v/>
      </c>
      <c r="FL32" s="5" t="str">
        <f t="shared" si="212"/>
        <v/>
      </c>
      <c r="FM32" s="8" t="str">
        <f t="shared" si="213"/>
        <v/>
      </c>
      <c r="FN32" s="9" t="str">
        <f t="shared" si="214"/>
        <v/>
      </c>
      <c r="FO32" s="10" t="str">
        <f t="shared" si="51"/>
        <v/>
      </c>
      <c r="FP32" s="277" t="str">
        <f t="shared" si="52"/>
        <v/>
      </c>
      <c r="FQ32" s="173" t="str">
        <f t="shared" si="241"/>
        <v/>
      </c>
      <c r="FR32" s="10" t="str">
        <f t="shared" si="215"/>
        <v/>
      </c>
      <c r="FS32" s="9" t="str">
        <f t="shared" si="216"/>
        <v/>
      </c>
      <c r="FT32" s="6" t="str">
        <f t="shared" si="217"/>
        <v/>
      </c>
      <c r="FU32" s="4" t="str">
        <f t="shared" si="218"/>
        <v/>
      </c>
      <c r="FV32" s="5" t="str">
        <f t="shared" si="219"/>
        <v/>
      </c>
      <c r="FW32" s="8" t="str">
        <f t="shared" si="242"/>
        <v/>
      </c>
      <c r="FX32" s="9" t="str">
        <f t="shared" si="243"/>
        <v/>
      </c>
      <c r="FY32" s="10" t="str">
        <f t="shared" si="53"/>
        <v/>
      </c>
      <c r="FZ32" s="277" t="str">
        <f t="shared" si="244"/>
        <v/>
      </c>
      <c r="GA32" s="177" t="str">
        <f t="shared" si="220"/>
        <v/>
      </c>
      <c r="GB32" s="4" t="str">
        <f t="shared" si="221"/>
        <v/>
      </c>
      <c r="GC32" s="5" t="str">
        <f t="shared" si="222"/>
        <v/>
      </c>
      <c r="GD32" s="10" t="str">
        <f t="shared" si="223"/>
        <v/>
      </c>
      <c r="GE32" s="311" t="str">
        <f t="shared" si="224"/>
        <v/>
      </c>
      <c r="GF32" s="341" t="str">
        <f t="shared" si="245"/>
        <v/>
      </c>
      <c r="GG32" s="285" t="str">
        <f t="shared" si="54"/>
        <v/>
      </c>
      <c r="GH32" s="286" t="str">
        <f t="shared" si="55"/>
        <v/>
      </c>
      <c r="GI32" s="281" t="str">
        <f t="shared" si="56"/>
        <v/>
      </c>
      <c r="GJ32" s="167" t="str">
        <f t="shared" si="225"/>
        <v/>
      </c>
      <c r="GK32" s="174" t="str">
        <f t="shared" si="57"/>
        <v/>
      </c>
      <c r="GL32" s="174" t="str">
        <f t="shared" si="226"/>
        <v/>
      </c>
      <c r="GM32" s="177" t="str">
        <f t="shared" si="246"/>
        <v/>
      </c>
      <c r="GN32" s="280" t="str">
        <f t="shared" si="227"/>
        <v/>
      </c>
      <c r="GO32" s="4" t="str">
        <f t="shared" si="228"/>
        <v/>
      </c>
      <c r="GP32" s="8" t="str">
        <f t="shared" si="247"/>
        <v/>
      </c>
      <c r="GQ32" s="177" t="str">
        <f t="shared" si="229"/>
        <v/>
      </c>
      <c r="GR32" s="371" t="str">
        <f t="shared" si="248"/>
        <v/>
      </c>
      <c r="GS32" s="342" t="str">
        <f t="shared" si="59"/>
        <v/>
      </c>
      <c r="GT32" s="343" t="str">
        <f t="shared" si="60"/>
        <v/>
      </c>
      <c r="GU32" s="344" t="str">
        <f t="shared" si="61"/>
        <v/>
      </c>
      <c r="GV32" s="343" t="str">
        <f t="shared" si="251"/>
        <v/>
      </c>
      <c r="GW32" s="345" t="str">
        <f t="shared" si="62"/>
        <v/>
      </c>
      <c r="GX32" s="346" t="str">
        <f t="shared" si="63"/>
        <v/>
      </c>
      <c r="GY32" s="344" t="str">
        <f t="shared" si="64"/>
        <v/>
      </c>
      <c r="GZ32" s="345" t="str">
        <f t="shared" si="65"/>
        <v/>
      </c>
      <c r="HA32" s="342" t="str">
        <f t="shared" si="66"/>
        <v/>
      </c>
      <c r="HB32" s="5" t="str">
        <f t="shared" si="230"/>
        <v/>
      </c>
      <c r="HC32" s="343" t="str">
        <f t="shared" si="231"/>
        <v/>
      </c>
      <c r="HD32" s="363" t="str">
        <f t="shared" si="232"/>
        <v/>
      </c>
      <c r="HE32" s="344" t="str">
        <f t="shared" si="67"/>
        <v/>
      </c>
      <c r="HF32" s="5" t="str">
        <f t="shared" si="68"/>
        <v/>
      </c>
      <c r="HG32" s="343" t="str">
        <f t="shared" si="233"/>
        <v/>
      </c>
      <c r="HH32" s="349" t="str">
        <f t="shared" si="234"/>
        <v/>
      </c>
      <c r="HI32" s="317" t="str">
        <f t="shared" si="69"/>
        <v/>
      </c>
      <c r="HJ32" s="336"/>
      <c r="HK32" s="310" t="str">
        <f t="shared" si="136"/>
        <v/>
      </c>
      <c r="HL32" s="348" t="str">
        <f t="shared" si="70"/>
        <v/>
      </c>
      <c r="HM32" s="923" t="str">
        <f t="shared" si="71"/>
        <v/>
      </c>
      <c r="HN32" s="924" t="str">
        <f t="shared" si="72"/>
        <v/>
      </c>
      <c r="HO32" s="925"/>
      <c r="HP32" s="926"/>
      <c r="HQ32" s="924" t="str">
        <f t="shared" si="73"/>
        <v/>
      </c>
      <c r="HR32" s="927" t="str">
        <f t="shared" si="74"/>
        <v/>
      </c>
      <c r="HS32" s="879" t="str">
        <f t="shared" si="249"/>
        <v/>
      </c>
      <c r="HT32" s="889" t="str">
        <f t="shared" si="75"/>
        <v/>
      </c>
      <c r="HU32" s="890" t="str">
        <f t="shared" si="76"/>
        <v/>
      </c>
      <c r="HV32" s="886" t="str">
        <f t="shared" si="77"/>
        <v/>
      </c>
      <c r="HW32" s="880" t="str">
        <f t="shared" si="78"/>
        <v/>
      </c>
      <c r="HX32" s="881" t="str">
        <f t="shared" si="79"/>
        <v/>
      </c>
      <c r="HY32" s="880" t="str">
        <f t="shared" si="80"/>
        <v/>
      </c>
      <c r="HZ32" s="882" t="str">
        <f t="shared" si="81"/>
        <v/>
      </c>
      <c r="IA32" s="883" t="str">
        <f t="shared" si="82"/>
        <v/>
      </c>
      <c r="IB32" s="884" t="str">
        <f t="shared" si="83"/>
        <v/>
      </c>
      <c r="IC32" s="855" t="str">
        <f t="shared" si="84"/>
        <v/>
      </c>
      <c r="ID32" s="351" t="str">
        <f t="shared" si="85"/>
        <v/>
      </c>
      <c r="IE32" s="857" t="str">
        <f t="shared" si="86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5"/>
        <v>5.1050000000000004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7"/>
        <v>1613</v>
      </c>
      <c r="IM32" s="482" t="str">
        <f t="shared" si="236"/>
        <v/>
      </c>
      <c r="IN32" s="670" t="str">
        <f t="shared" si="89"/>
        <v/>
      </c>
      <c r="IO32" s="702">
        <v>8.6773344048707204E-3</v>
      </c>
      <c r="IP32" s="5" t="str">
        <f t="shared" si="90"/>
        <v/>
      </c>
      <c r="IQ32" s="714">
        <v>340</v>
      </c>
      <c r="IR32" s="9" t="str">
        <f t="shared" si="137"/>
        <v/>
      </c>
      <c r="IS32" s="5" t="str">
        <f t="shared" si="91"/>
        <v/>
      </c>
      <c r="IT32" s="5" t="str">
        <f t="shared" si="92"/>
        <v/>
      </c>
      <c r="IU32" s="5" t="str">
        <f t="shared" si="93"/>
        <v/>
      </c>
      <c r="IV32" s="670" t="str">
        <f t="shared" si="94"/>
        <v/>
      </c>
      <c r="IW32" s="9" t="str">
        <f t="shared" si="95"/>
        <v/>
      </c>
      <c r="IX32" s="5" t="str">
        <f t="shared" si="96"/>
        <v/>
      </c>
      <c r="IY32" s="5" t="str">
        <f t="shared" si="97"/>
        <v/>
      </c>
      <c r="IZ32" s="5" t="str">
        <f t="shared" si="98"/>
        <v/>
      </c>
      <c r="JA32" s="705" t="str">
        <f t="shared" si="99"/>
        <v/>
      </c>
    </row>
    <row r="33" spans="1:269" ht="15" customHeight="1" x14ac:dyDescent="0.25">
      <c r="A33" s="75">
        <f t="shared" si="1"/>
        <v>0</v>
      </c>
      <c r="B33" s="578">
        <f t="shared" si="2"/>
        <v>-1.7480577506690282</v>
      </c>
      <c r="C33" s="572">
        <f t="shared" si="3"/>
        <v>-1.0429879417905059</v>
      </c>
      <c r="D33" s="576">
        <f t="shared" si="4"/>
        <v>-0.1598</v>
      </c>
      <c r="E33" s="580">
        <f t="shared" si="5"/>
        <v>0.48296291314453366</v>
      </c>
      <c r="F33" s="572">
        <f t="shared" si="6"/>
        <v>-0.83651630373780828</v>
      </c>
      <c r="G33" s="579">
        <f t="shared" si="7"/>
        <v>0.25881904510252079</v>
      </c>
      <c r="H33" s="580">
        <f t="shared" si="8"/>
        <v>0.3125</v>
      </c>
      <c r="I33" s="572">
        <f t="shared" si="9"/>
        <v>0.52</v>
      </c>
      <c r="J33" s="483">
        <f t="shared" si="10"/>
        <v>5.1079999999999997</v>
      </c>
      <c r="K33" s="806">
        <f t="shared" si="11"/>
        <v>1613</v>
      </c>
      <c r="L33" s="309"/>
      <c r="M33" s="164">
        <f t="shared" si="12"/>
        <v>5.1079999999999997</v>
      </c>
      <c r="N33" s="575">
        <f t="shared" si="13"/>
        <v>-1.7480577506690282</v>
      </c>
      <c r="O33" s="572">
        <f t="shared" si="14"/>
        <v>-1.0429879417905059</v>
      </c>
      <c r="P33" s="576">
        <f t="shared" si="15"/>
        <v>-0.1598</v>
      </c>
      <c r="Q33" s="528">
        <f t="shared" si="138"/>
        <v>210.8226393691123</v>
      </c>
      <c r="R33" s="572">
        <f t="shared" si="100"/>
        <v>2.0355661979887705</v>
      </c>
      <c r="S33" s="577">
        <f t="shared" si="101"/>
        <v>-0.1598</v>
      </c>
      <c r="T33" s="578">
        <f t="shared" si="102"/>
        <v>-1.061183464863658</v>
      </c>
      <c r="U33" s="572">
        <f t="shared" si="103"/>
        <v>1.7370720768852455</v>
      </c>
      <c r="V33" s="579">
        <f t="shared" si="139"/>
        <v>-0.1598</v>
      </c>
      <c r="W33" s="528">
        <f t="shared" si="252"/>
        <v>121.42090529177672</v>
      </c>
      <c r="X33" s="572">
        <f t="shared" si="104"/>
        <v>2.0355661979887705</v>
      </c>
      <c r="Y33" s="573">
        <f t="shared" si="253"/>
        <v>-0.1598</v>
      </c>
      <c r="Z33" s="575">
        <f t="shared" si="18"/>
        <v>-0.48296291314453366</v>
      </c>
      <c r="AA33" s="572">
        <f t="shared" si="19"/>
        <v>0.83651630373780828</v>
      </c>
      <c r="AB33" s="572">
        <f t="shared" si="20"/>
        <v>-0.25881904510252079</v>
      </c>
      <c r="AC33" s="579">
        <f t="shared" si="105"/>
        <v>1</v>
      </c>
      <c r="AD33" s="580">
        <f t="shared" si="140"/>
        <v>-0.48296291314453366</v>
      </c>
      <c r="AE33" s="572">
        <f t="shared" si="106"/>
        <v>0.83651630373780828</v>
      </c>
      <c r="AF33" s="576">
        <f t="shared" si="107"/>
        <v>-0.25881904510252079</v>
      </c>
      <c r="AG33" s="545">
        <f t="shared" si="108"/>
        <v>72.807876265979033</v>
      </c>
      <c r="AH33" s="546">
        <f t="shared" si="109"/>
        <v>118.87909401742758</v>
      </c>
      <c r="AI33" s="528">
        <f t="shared" si="110"/>
        <v>-74.999999999999986</v>
      </c>
      <c r="AJ33" s="529">
        <f t="shared" si="111"/>
        <v>-150.00000000000003</v>
      </c>
      <c r="AK33" s="578">
        <f t="shared" si="237"/>
        <v>0.96582626740124944</v>
      </c>
      <c r="AL33" s="572">
        <f t="shared" si="112"/>
        <v>-1.3868060065840793E-2</v>
      </c>
      <c r="AM33" s="577">
        <f t="shared" si="113"/>
        <v>-0.25881904510252079</v>
      </c>
      <c r="AN33" s="524">
        <f t="shared" si="114"/>
        <v>-3.0670934370783089</v>
      </c>
      <c r="AO33" s="525">
        <f t="shared" si="115"/>
        <v>15.022023941711254</v>
      </c>
      <c r="AP33" s="528">
        <f t="shared" si="116"/>
        <v>-0.82263936911233193</v>
      </c>
      <c r="AQ33" s="529">
        <f t="shared" si="21"/>
        <v>1.1198045820181985</v>
      </c>
      <c r="AS33" s="946">
        <f t="shared" si="141"/>
        <v>-238.57909470822329</v>
      </c>
      <c r="AT33" s="942">
        <f t="shared" si="22"/>
        <v>1.0153442809778396E-2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2"/>
        <v/>
      </c>
      <c r="BA33" s="296" t="str">
        <f t="shared" si="24"/>
        <v/>
      </c>
      <c r="BB33" s="190" t="str">
        <f t="shared" si="143"/>
        <v/>
      </c>
      <c r="BC33" s="9"/>
      <c r="BD33" s="5" t="str">
        <f t="shared" si="144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5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6"/>
        <v/>
      </c>
      <c r="BP33" s="5" t="str">
        <f t="shared" si="147"/>
        <v/>
      </c>
      <c r="BQ33" s="5" t="str">
        <f t="shared" si="148"/>
        <v/>
      </c>
      <c r="BR33" s="6" t="str">
        <f t="shared" si="149"/>
        <v/>
      </c>
      <c r="BS33" s="4" t="str">
        <f t="shared" si="117"/>
        <v/>
      </c>
      <c r="BT33" s="5" t="str">
        <f t="shared" si="117"/>
        <v/>
      </c>
      <c r="BU33" s="10" t="str">
        <f t="shared" si="118"/>
        <v/>
      </c>
      <c r="BV33" s="9" t="str">
        <f t="shared" si="119"/>
        <v/>
      </c>
      <c r="BW33" s="5" t="str">
        <f t="shared" si="120"/>
        <v/>
      </c>
      <c r="BX33" s="8" t="str">
        <f t="shared" si="121"/>
        <v/>
      </c>
      <c r="BY33" s="173" t="str">
        <f t="shared" si="122"/>
        <v/>
      </c>
      <c r="BZ33" s="5" t="str">
        <f t="shared" si="123"/>
        <v/>
      </c>
      <c r="CA33" s="6" t="str">
        <f t="shared" si="124"/>
        <v/>
      </c>
      <c r="CB33" s="4" t="str">
        <f t="shared" si="150"/>
        <v/>
      </c>
      <c r="CC33" s="5" t="str">
        <f t="shared" si="151"/>
        <v/>
      </c>
      <c r="CD33" s="5" t="str">
        <f t="shared" si="152"/>
        <v/>
      </c>
      <c r="CE33" s="6" t="str">
        <f t="shared" si="153"/>
        <v/>
      </c>
      <c r="CF33" s="4" t="str">
        <f t="shared" si="154"/>
        <v/>
      </c>
      <c r="CG33" s="5" t="str">
        <f t="shared" si="155"/>
        <v/>
      </c>
      <c r="CH33" s="5" t="str">
        <f t="shared" si="156"/>
        <v/>
      </c>
      <c r="CI33" s="4" t="str">
        <f t="shared" si="125"/>
        <v/>
      </c>
      <c r="CJ33" s="5" t="str">
        <f t="shared" si="126"/>
        <v/>
      </c>
      <c r="CK33" s="8" t="str">
        <f t="shared" si="127"/>
        <v/>
      </c>
      <c r="CL33" s="173" t="str">
        <f t="shared" si="128"/>
        <v/>
      </c>
      <c r="CM33" s="5" t="str">
        <f t="shared" si="129"/>
        <v/>
      </c>
      <c r="CN33" s="6" t="str">
        <f t="shared" si="130"/>
        <v/>
      </c>
      <c r="CO33" s="167" t="str">
        <f t="shared" si="34"/>
        <v/>
      </c>
      <c r="CP33" s="4" t="str">
        <f t="shared" si="238"/>
        <v/>
      </c>
      <c r="CQ33" s="5" t="str">
        <f t="shared" si="239"/>
        <v/>
      </c>
      <c r="CR33" s="5" t="str">
        <f t="shared" si="157"/>
        <v/>
      </c>
      <c r="CS33" s="8" t="str">
        <f t="shared" si="158"/>
        <v/>
      </c>
      <c r="CT33" s="9" t="str">
        <f t="shared" si="159"/>
        <v/>
      </c>
      <c r="CU33" s="6" t="str">
        <f t="shared" si="160"/>
        <v/>
      </c>
      <c r="CV33" s="4" t="str">
        <f t="shared" si="240"/>
        <v/>
      </c>
      <c r="CW33" s="5" t="str">
        <f t="shared" si="161"/>
        <v/>
      </c>
      <c r="CX33" s="8" t="str">
        <f t="shared" si="162"/>
        <v/>
      </c>
      <c r="CY33" s="9" t="str">
        <f t="shared" si="163"/>
        <v/>
      </c>
      <c r="CZ33" s="5" t="str">
        <f t="shared" si="164"/>
        <v/>
      </c>
      <c r="DA33" s="6" t="str">
        <f t="shared" si="165"/>
        <v/>
      </c>
      <c r="DB33" s="4" t="str">
        <f t="shared" si="166"/>
        <v/>
      </c>
      <c r="DC33" s="5" t="str">
        <f t="shared" si="166"/>
        <v/>
      </c>
      <c r="DD33" s="10" t="str">
        <f t="shared" si="167"/>
        <v/>
      </c>
      <c r="DE33" s="9" t="str">
        <f t="shared" si="168"/>
        <v/>
      </c>
      <c r="DF33" s="5" t="str">
        <f t="shared" si="168"/>
        <v/>
      </c>
      <c r="DG33" s="10" t="str">
        <f t="shared" si="169"/>
        <v/>
      </c>
      <c r="DH33" s="70" t="str">
        <f t="shared" si="170"/>
        <v/>
      </c>
      <c r="DI33" s="4" t="str">
        <f t="shared" si="171"/>
        <v/>
      </c>
      <c r="DJ33" s="5" t="str">
        <f t="shared" si="172"/>
        <v/>
      </c>
      <c r="DK33" s="10" t="str">
        <f t="shared" si="173"/>
        <v/>
      </c>
      <c r="DL33" s="9" t="str">
        <f t="shared" si="174"/>
        <v/>
      </c>
      <c r="DM33" s="173" t="str">
        <f t="shared" si="175"/>
        <v/>
      </c>
      <c r="DN33" s="178" t="str">
        <f t="shared" si="176"/>
        <v/>
      </c>
      <c r="DO33" s="9" t="str">
        <f t="shared" si="177"/>
        <v/>
      </c>
      <c r="DP33" s="173" t="str">
        <f t="shared" si="178"/>
        <v/>
      </c>
      <c r="DQ33" s="11" t="str">
        <f t="shared" si="179"/>
        <v/>
      </c>
      <c r="DR33" s="173" t="str">
        <f t="shared" si="180"/>
        <v/>
      </c>
      <c r="DS33" s="5" t="str">
        <f t="shared" si="181"/>
        <v/>
      </c>
      <c r="DT33" s="5" t="str">
        <f t="shared" si="182"/>
        <v/>
      </c>
      <c r="DU33" s="5" t="str">
        <f t="shared" si="183"/>
        <v/>
      </c>
      <c r="DV33" s="5" t="str">
        <f t="shared" si="184"/>
        <v/>
      </c>
      <c r="DW33" s="5" t="str">
        <f t="shared" si="185"/>
        <v/>
      </c>
      <c r="DX33" s="167" t="str">
        <f t="shared" si="186"/>
        <v/>
      </c>
      <c r="DY33" s="9" t="str">
        <f t="shared" si="187"/>
        <v/>
      </c>
      <c r="DZ33" s="5" t="str">
        <f t="shared" si="188"/>
        <v/>
      </c>
      <c r="EA33" s="10" t="str">
        <f t="shared" si="189"/>
        <v/>
      </c>
      <c r="EB33" s="6" t="str">
        <f t="shared" si="190"/>
        <v/>
      </c>
      <c r="EC33" s="173" t="str">
        <f t="shared" si="191"/>
        <v/>
      </c>
      <c r="ED33" s="5" t="str">
        <f t="shared" si="192"/>
        <v/>
      </c>
      <c r="EE33" s="4" t="str">
        <f t="shared" si="193"/>
        <v/>
      </c>
      <c r="EF33" s="5" t="str">
        <f t="shared" si="194"/>
        <v/>
      </c>
      <c r="EG33" s="10" t="str">
        <f t="shared" si="195"/>
        <v/>
      </c>
      <c r="EH33" s="9" t="str">
        <f t="shared" si="196"/>
        <v/>
      </c>
      <c r="EI33" s="5" t="str">
        <f t="shared" si="197"/>
        <v/>
      </c>
      <c r="EJ33" s="6" t="str">
        <f t="shared" si="198"/>
        <v/>
      </c>
      <c r="EK33" s="236" t="str">
        <f t="shared" si="199"/>
        <v/>
      </c>
      <c r="EL33" s="238" t="str">
        <f t="shared" si="200"/>
        <v/>
      </c>
      <c r="EM33" s="272" t="str">
        <f t="shared" si="201"/>
        <v/>
      </c>
      <c r="EN33" s="267" t="str">
        <f t="shared" si="202"/>
        <v/>
      </c>
      <c r="EO33" s="273" t="str">
        <f t="shared" si="203"/>
        <v/>
      </c>
      <c r="EP33" s="9" t="str">
        <f t="shared" si="204"/>
        <v/>
      </c>
      <c r="EQ33" s="5" t="str">
        <f t="shared" si="205"/>
        <v/>
      </c>
      <c r="ER33" s="7" t="str">
        <f t="shared" si="206"/>
        <v/>
      </c>
      <c r="ES33" s="274" t="str">
        <f t="shared" si="131"/>
        <v/>
      </c>
      <c r="ET33" s="267" t="str">
        <f t="shared" si="43"/>
        <v/>
      </c>
      <c r="EU33" s="273" t="str">
        <f t="shared" si="44"/>
        <v/>
      </c>
      <c r="EV33" s="174" t="str">
        <f t="shared" si="250"/>
        <v/>
      </c>
      <c r="EW33" s="9" t="str">
        <f t="shared" si="132"/>
        <v/>
      </c>
      <c r="EX33" s="5" t="str">
        <f t="shared" si="45"/>
        <v/>
      </c>
      <c r="EY33" s="6" t="str">
        <f t="shared" si="207"/>
        <v/>
      </c>
      <c r="EZ33" s="51" t="str">
        <f t="shared" si="208"/>
        <v/>
      </c>
      <c r="FA33" s="266" t="str">
        <f t="shared" si="133"/>
        <v/>
      </c>
      <c r="FB33" s="267" t="str">
        <f t="shared" si="134"/>
        <v/>
      </c>
      <c r="FC33" s="269" t="str">
        <f t="shared" si="46"/>
        <v/>
      </c>
      <c r="FD33" s="4" t="str">
        <f t="shared" si="135"/>
        <v/>
      </c>
      <c r="FE33" s="5" t="str">
        <f t="shared" si="47"/>
        <v/>
      </c>
      <c r="FF33" s="7" t="str">
        <f t="shared" si="209"/>
        <v/>
      </c>
      <c r="FG33" s="173" t="str">
        <f t="shared" si="210"/>
        <v/>
      </c>
      <c r="FH33" s="5" t="str">
        <f t="shared" si="48"/>
        <v/>
      </c>
      <c r="FI33" s="10" t="str">
        <f t="shared" si="49"/>
        <v/>
      </c>
      <c r="FJ33" s="279" t="str">
        <f t="shared" si="211"/>
        <v/>
      </c>
      <c r="FK33" s="4" t="str">
        <f t="shared" si="50"/>
        <v/>
      </c>
      <c r="FL33" s="5" t="str">
        <f t="shared" si="212"/>
        <v/>
      </c>
      <c r="FM33" s="8" t="str">
        <f t="shared" si="213"/>
        <v/>
      </c>
      <c r="FN33" s="9" t="str">
        <f t="shared" si="214"/>
        <v/>
      </c>
      <c r="FO33" s="10" t="str">
        <f t="shared" si="51"/>
        <v/>
      </c>
      <c r="FP33" s="277" t="str">
        <f t="shared" si="52"/>
        <v/>
      </c>
      <c r="FQ33" s="173" t="str">
        <f t="shared" si="241"/>
        <v/>
      </c>
      <c r="FR33" s="10" t="str">
        <f t="shared" si="215"/>
        <v/>
      </c>
      <c r="FS33" s="9" t="str">
        <f t="shared" si="216"/>
        <v/>
      </c>
      <c r="FT33" s="6" t="str">
        <f t="shared" si="217"/>
        <v/>
      </c>
      <c r="FU33" s="4" t="str">
        <f t="shared" si="218"/>
        <v/>
      </c>
      <c r="FV33" s="5" t="str">
        <f t="shared" si="219"/>
        <v/>
      </c>
      <c r="FW33" s="8" t="str">
        <f t="shared" si="242"/>
        <v/>
      </c>
      <c r="FX33" s="9" t="str">
        <f t="shared" si="243"/>
        <v/>
      </c>
      <c r="FY33" s="10" t="str">
        <f t="shared" si="53"/>
        <v/>
      </c>
      <c r="FZ33" s="277" t="str">
        <f t="shared" si="244"/>
        <v/>
      </c>
      <c r="GA33" s="177" t="str">
        <f t="shared" si="220"/>
        <v/>
      </c>
      <c r="GB33" s="4" t="str">
        <f t="shared" si="221"/>
        <v/>
      </c>
      <c r="GC33" s="5" t="str">
        <f t="shared" si="222"/>
        <v/>
      </c>
      <c r="GD33" s="10" t="str">
        <f t="shared" si="223"/>
        <v/>
      </c>
      <c r="GE33" s="311" t="str">
        <f t="shared" si="224"/>
        <v/>
      </c>
      <c r="GF33" s="341" t="str">
        <f t="shared" si="245"/>
        <v/>
      </c>
      <c r="GG33" s="285" t="str">
        <f t="shared" si="54"/>
        <v/>
      </c>
      <c r="GH33" s="286" t="str">
        <f t="shared" si="55"/>
        <v/>
      </c>
      <c r="GI33" s="281" t="str">
        <f t="shared" si="56"/>
        <v/>
      </c>
      <c r="GJ33" s="167" t="str">
        <f t="shared" si="225"/>
        <v/>
      </c>
      <c r="GK33" s="174" t="str">
        <f t="shared" si="57"/>
        <v/>
      </c>
      <c r="GL33" s="174" t="str">
        <f t="shared" si="226"/>
        <v/>
      </c>
      <c r="GM33" s="177" t="str">
        <f t="shared" si="246"/>
        <v/>
      </c>
      <c r="GN33" s="280" t="str">
        <f t="shared" si="227"/>
        <v/>
      </c>
      <c r="GO33" s="4" t="str">
        <f t="shared" si="228"/>
        <v/>
      </c>
      <c r="GP33" s="8" t="str">
        <f t="shared" si="247"/>
        <v/>
      </c>
      <c r="GQ33" s="177" t="str">
        <f t="shared" si="229"/>
        <v/>
      </c>
      <c r="GR33" s="371" t="str">
        <f t="shared" si="248"/>
        <v/>
      </c>
      <c r="GS33" s="342" t="str">
        <f t="shared" si="59"/>
        <v/>
      </c>
      <c r="GT33" s="343" t="str">
        <f t="shared" si="60"/>
        <v/>
      </c>
      <c r="GU33" s="344" t="str">
        <f t="shared" si="61"/>
        <v/>
      </c>
      <c r="GV33" s="343" t="str">
        <f t="shared" si="251"/>
        <v/>
      </c>
      <c r="GW33" s="345" t="str">
        <f t="shared" si="62"/>
        <v/>
      </c>
      <c r="GX33" s="346" t="str">
        <f t="shared" si="63"/>
        <v/>
      </c>
      <c r="GY33" s="344" t="str">
        <f t="shared" si="64"/>
        <v/>
      </c>
      <c r="GZ33" s="345" t="str">
        <f t="shared" si="65"/>
        <v/>
      </c>
      <c r="HA33" s="342" t="str">
        <f t="shared" si="66"/>
        <v/>
      </c>
      <c r="HB33" s="5" t="str">
        <f t="shared" si="230"/>
        <v/>
      </c>
      <c r="HC33" s="343" t="str">
        <f t="shared" si="231"/>
        <v/>
      </c>
      <c r="HD33" s="363" t="str">
        <f t="shared" si="232"/>
        <v/>
      </c>
      <c r="HE33" s="344" t="str">
        <f t="shared" si="67"/>
        <v/>
      </c>
      <c r="HF33" s="5" t="str">
        <f t="shared" si="68"/>
        <v/>
      </c>
      <c r="HG33" s="343" t="str">
        <f t="shared" si="233"/>
        <v/>
      </c>
      <c r="HH33" s="349" t="str">
        <f t="shared" si="234"/>
        <v/>
      </c>
      <c r="HI33" s="317" t="str">
        <f t="shared" si="69"/>
        <v/>
      </c>
      <c r="HJ33" s="336"/>
      <c r="HK33" s="310" t="str">
        <f t="shared" si="136"/>
        <v/>
      </c>
      <c r="HL33" s="348" t="str">
        <f t="shared" si="70"/>
        <v/>
      </c>
      <c r="HM33" s="923" t="str">
        <f t="shared" si="71"/>
        <v/>
      </c>
      <c r="HN33" s="924" t="str">
        <f t="shared" si="72"/>
        <v/>
      </c>
      <c r="HO33" s="925"/>
      <c r="HP33" s="926"/>
      <c r="HQ33" s="924" t="str">
        <f t="shared" si="73"/>
        <v/>
      </c>
      <c r="HR33" s="927" t="str">
        <f t="shared" si="74"/>
        <v/>
      </c>
      <c r="HS33" s="879" t="str">
        <f t="shared" si="249"/>
        <v/>
      </c>
      <c r="HT33" s="889" t="str">
        <f t="shared" si="75"/>
        <v/>
      </c>
      <c r="HU33" s="890" t="str">
        <f t="shared" si="76"/>
        <v/>
      </c>
      <c r="HV33" s="886" t="str">
        <f t="shared" si="77"/>
        <v/>
      </c>
      <c r="HW33" s="880" t="str">
        <f t="shared" si="78"/>
        <v/>
      </c>
      <c r="HX33" s="881" t="str">
        <f t="shared" si="79"/>
        <v/>
      </c>
      <c r="HY33" s="880" t="str">
        <f t="shared" si="80"/>
        <v/>
      </c>
      <c r="HZ33" s="882" t="str">
        <f t="shared" si="81"/>
        <v/>
      </c>
      <c r="IA33" s="883" t="str">
        <f t="shared" si="82"/>
        <v/>
      </c>
      <c r="IB33" s="884" t="str">
        <f t="shared" si="83"/>
        <v/>
      </c>
      <c r="IC33" s="855" t="str">
        <f t="shared" si="84"/>
        <v/>
      </c>
      <c r="ID33" s="351" t="str">
        <f t="shared" si="85"/>
        <v/>
      </c>
      <c r="IE33" s="857" t="str">
        <f t="shared" si="86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5"/>
        <v>5.1079999999999997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7"/>
        <v>1613</v>
      </c>
      <c r="IM33" s="482" t="str">
        <f t="shared" si="236"/>
        <v/>
      </c>
      <c r="IN33" s="670" t="str">
        <f t="shared" si="89"/>
        <v/>
      </c>
      <c r="IO33" s="702"/>
      <c r="IP33" s="5" t="str">
        <f t="shared" si="90"/>
        <v/>
      </c>
      <c r="IQ33" s="714"/>
      <c r="IR33" s="9" t="str">
        <f t="shared" si="137"/>
        <v/>
      </c>
      <c r="IS33" s="5" t="str">
        <f t="shared" si="91"/>
        <v/>
      </c>
      <c r="IT33" s="5" t="str">
        <f t="shared" si="92"/>
        <v/>
      </c>
      <c r="IU33" s="5" t="str">
        <f t="shared" si="93"/>
        <v/>
      </c>
      <c r="IV33" s="670" t="str">
        <f t="shared" si="94"/>
        <v/>
      </c>
      <c r="IW33" s="9" t="str">
        <f t="shared" si="95"/>
        <v/>
      </c>
      <c r="IX33" s="5" t="str">
        <f t="shared" si="96"/>
        <v/>
      </c>
      <c r="IY33" s="5" t="str">
        <f t="shared" si="97"/>
        <v/>
      </c>
      <c r="IZ33" s="5" t="str">
        <f t="shared" si="98"/>
        <v/>
      </c>
      <c r="JA33" s="705" t="str">
        <f t="shared" si="99"/>
        <v/>
      </c>
    </row>
    <row r="34" spans="1:269" ht="15" customHeight="1" x14ac:dyDescent="0.25">
      <c r="A34" s="75">
        <f t="shared" si="1"/>
        <v>0</v>
      </c>
      <c r="B34" s="578">
        <f t="shared" si="2"/>
        <v>-2.4276786582350987</v>
      </c>
      <c r="C34" s="572">
        <f t="shared" si="3"/>
        <v>-1.4016500000000001</v>
      </c>
      <c r="D34" s="576">
        <f t="shared" si="4"/>
        <v>-0.24199999999999997</v>
      </c>
      <c r="E34" s="580">
        <f t="shared" si="5"/>
        <v>0.34803108954422457</v>
      </c>
      <c r="F34" s="572">
        <f t="shared" si="6"/>
        <v>-0.90986409006369029</v>
      </c>
      <c r="G34" s="579">
        <f t="shared" si="7"/>
        <v>0.22587983159908892</v>
      </c>
      <c r="H34" s="580">
        <f t="shared" si="8"/>
        <v>0.3125</v>
      </c>
      <c r="I34" s="572">
        <f t="shared" si="9"/>
        <v>0.52</v>
      </c>
      <c r="J34" s="483">
        <f t="shared" si="10"/>
        <v>5.1109999999999998</v>
      </c>
      <c r="K34" s="806">
        <f t="shared" si="11"/>
        <v>1613</v>
      </c>
      <c r="L34" s="309"/>
      <c r="M34" s="164">
        <f t="shared" si="12"/>
        <v>5.1109999999999998</v>
      </c>
      <c r="N34" s="575">
        <f t="shared" si="13"/>
        <v>-2.4276786582350987</v>
      </c>
      <c r="O34" s="572">
        <f t="shared" si="14"/>
        <v>-1.4016500000000001</v>
      </c>
      <c r="P34" s="576">
        <f t="shared" si="15"/>
        <v>-0.24199999999999997</v>
      </c>
      <c r="Q34" s="528">
        <f t="shared" si="138"/>
        <v>210.00051461532166</v>
      </c>
      <c r="R34" s="572">
        <f>IF(M34="","",SQRT(N34^2+O34^2))</f>
        <v>2.8032563903699872</v>
      </c>
      <c r="S34" s="577">
        <f>IF(M34="","",P34)</f>
        <v>-0.24199999999999997</v>
      </c>
      <c r="T34" s="578">
        <f>IF(M34="","",X34*COS(RADIANS(W34)))</f>
        <v>-1.4269222464909965</v>
      </c>
      <c r="U34" s="572">
        <f>IF(M34="","",X34*SIN(RADIANS(W34)))</f>
        <v>2.4129109582865378</v>
      </c>
      <c r="V34" s="579">
        <f>IF(M34="","",Y34)</f>
        <v>-0.24199999999999997</v>
      </c>
      <c r="W34" s="528">
        <f t="shared" si="252"/>
        <v>120.59878053798609</v>
      </c>
      <c r="X34" s="572">
        <f>IF(M34="","",R34)</f>
        <v>2.8032563903699872</v>
      </c>
      <c r="Y34" s="573">
        <f t="shared" si="253"/>
        <v>-0.24199999999999997</v>
      </c>
      <c r="Z34" s="575">
        <f t="shared" si="18"/>
        <v>-0.34803108954422457</v>
      </c>
      <c r="AA34" s="572">
        <f t="shared" si="19"/>
        <v>0.90986409006369029</v>
      </c>
      <c r="AB34" s="572">
        <f t="shared" si="20"/>
        <v>-0.22587983159908892</v>
      </c>
      <c r="AC34" s="579">
        <f>IF(M34="","",SQRT(Z34^2+AA34^2+AB34^2))</f>
        <v>1</v>
      </c>
      <c r="AD34" s="580">
        <f>IF(M34="","",Z34*(1/SQRT(Z34^2+AA34^2+AB34^2)))</f>
        <v>-0.34803108954422457</v>
      </c>
      <c r="AE34" s="572">
        <f>IF(M34="","",AA34*(1/SQRT(Z34^2+AA34^2+AB34^2)))</f>
        <v>0.90986409006369029</v>
      </c>
      <c r="AF34" s="576">
        <f>IF(M34="","",AB34*(1/SQRT(Z34^2+AA34^2+AB34^2)))</f>
        <v>-0.22587983159908892</v>
      </c>
      <c r="AG34" s="545">
        <f>IF(M34="","",DEGREES(ATAN2(-AF34,AE34)))</f>
        <v>76.05780471717587</v>
      </c>
      <c r="AH34" s="546">
        <f>IF(M34="","",DEGREES(ACOS(AD34)))</f>
        <v>110.36693495238839</v>
      </c>
      <c r="AI34" s="528">
        <f>IF(M34="","",DEGREES(-ACOS(-AF34)))</f>
        <v>-76.945379190618993</v>
      </c>
      <c r="AJ34" s="529">
        <f>IF(M34="","",DEGREES(ATAN2(-AE34,AD34)))</f>
        <v>-159.06770385884548</v>
      </c>
      <c r="AK34" s="578">
        <f>IF(M34="","",(COS(RADIANS((90-$Q$8)-W34))*AD34)+(-SIN(RADIANS((90-$Q$8)-W34))*AE34))</f>
        <v>0.96197958176985043</v>
      </c>
      <c r="AL34" s="572">
        <f>IF(M34="","",(SIN(RADIANS((90-$Q$8)-W34))*AD34)+(COS(RADIANS((90-$Q$8)-W34))*AE34))</f>
        <v>-0.15353692042850986</v>
      </c>
      <c r="AM34" s="577">
        <f>IF(M34="","",AF34)</f>
        <v>-0.22587983159908892</v>
      </c>
      <c r="AN34" s="524">
        <f>IF(M34="","",DEGREES(ATAN2(-AM34,AL34)))</f>
        <v>-34.205056903293389</v>
      </c>
      <c r="AO34" s="525">
        <f t="shared" si="115"/>
        <v>15.850091478411285</v>
      </c>
      <c r="AP34" s="528">
        <f>IF(M34="","",DEGREES(ATAN2(AK34,AL34)))</f>
        <v>-9.0682184741671357</v>
      </c>
      <c r="AQ34" s="529">
        <f t="shared" si="21"/>
        <v>0.81318767879964404</v>
      </c>
      <c r="AS34" s="946">
        <f t="shared" si="141"/>
        <v>-239.4012194620139</v>
      </c>
      <c r="AT34" s="942">
        <f t="shared" si="22"/>
        <v>-7.1475637222311428E-2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2"/>
        <v/>
      </c>
      <c r="BA34" s="296" t="str">
        <f t="shared" si="24"/>
        <v/>
      </c>
      <c r="BB34" s="190" t="str">
        <f t="shared" si="143"/>
        <v/>
      </c>
      <c r="BC34" s="9"/>
      <c r="BD34" s="5" t="str">
        <f t="shared" si="144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5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6"/>
        <v/>
      </c>
      <c r="BP34" s="5" t="str">
        <f t="shared" si="147"/>
        <v/>
      </c>
      <c r="BQ34" s="5" t="str">
        <f t="shared" si="148"/>
        <v/>
      </c>
      <c r="BR34" s="6" t="str">
        <f t="shared" si="149"/>
        <v/>
      </c>
      <c r="BS34" s="4" t="str">
        <f t="shared" si="117"/>
        <v/>
      </c>
      <c r="BT34" s="5" t="str">
        <f t="shared" si="117"/>
        <v/>
      </c>
      <c r="BU34" s="10" t="str">
        <f t="shared" si="118"/>
        <v/>
      </c>
      <c r="BV34" s="9" t="str">
        <f t="shared" si="119"/>
        <v/>
      </c>
      <c r="BW34" s="5" t="str">
        <f t="shared" si="120"/>
        <v/>
      </c>
      <c r="BX34" s="8" t="str">
        <f t="shared" si="121"/>
        <v/>
      </c>
      <c r="BY34" s="173" t="str">
        <f t="shared" si="122"/>
        <v/>
      </c>
      <c r="BZ34" s="5" t="str">
        <f t="shared" si="123"/>
        <v/>
      </c>
      <c r="CA34" s="6" t="str">
        <f t="shared" si="124"/>
        <v/>
      </c>
      <c r="CB34" s="4" t="str">
        <f t="shared" si="150"/>
        <v/>
      </c>
      <c r="CC34" s="5" t="str">
        <f t="shared" si="151"/>
        <v/>
      </c>
      <c r="CD34" s="5" t="str">
        <f t="shared" si="152"/>
        <v/>
      </c>
      <c r="CE34" s="6" t="str">
        <f t="shared" si="153"/>
        <v/>
      </c>
      <c r="CF34" s="4" t="str">
        <f t="shared" si="154"/>
        <v/>
      </c>
      <c r="CG34" s="5" t="str">
        <f t="shared" si="155"/>
        <v/>
      </c>
      <c r="CH34" s="5" t="str">
        <f t="shared" si="156"/>
        <v/>
      </c>
      <c r="CI34" s="4" t="str">
        <f t="shared" si="125"/>
        <v/>
      </c>
      <c r="CJ34" s="5" t="str">
        <f t="shared" si="126"/>
        <v/>
      </c>
      <c r="CK34" s="8" t="str">
        <f t="shared" si="127"/>
        <v/>
      </c>
      <c r="CL34" s="173" t="str">
        <f t="shared" si="128"/>
        <v/>
      </c>
      <c r="CM34" s="5" t="str">
        <f t="shared" si="129"/>
        <v/>
      </c>
      <c r="CN34" s="6" t="str">
        <f t="shared" si="130"/>
        <v/>
      </c>
      <c r="CO34" s="167" t="str">
        <f t="shared" si="34"/>
        <v/>
      </c>
      <c r="CP34" s="4" t="str">
        <f t="shared" si="238"/>
        <v/>
      </c>
      <c r="CQ34" s="5" t="str">
        <f t="shared" si="239"/>
        <v/>
      </c>
      <c r="CR34" s="5" t="str">
        <f t="shared" si="157"/>
        <v/>
      </c>
      <c r="CS34" s="8" t="str">
        <f t="shared" si="158"/>
        <v/>
      </c>
      <c r="CT34" s="9" t="str">
        <f t="shared" si="159"/>
        <v/>
      </c>
      <c r="CU34" s="6" t="str">
        <f t="shared" si="160"/>
        <v/>
      </c>
      <c r="CV34" s="4" t="str">
        <f t="shared" si="240"/>
        <v/>
      </c>
      <c r="CW34" s="5" t="str">
        <f t="shared" si="161"/>
        <v/>
      </c>
      <c r="CX34" s="8" t="str">
        <f t="shared" si="162"/>
        <v/>
      </c>
      <c r="CY34" s="9" t="str">
        <f t="shared" si="163"/>
        <v/>
      </c>
      <c r="CZ34" s="5" t="str">
        <f t="shared" si="164"/>
        <v/>
      </c>
      <c r="DA34" s="6" t="str">
        <f t="shared" si="165"/>
        <v/>
      </c>
      <c r="DB34" s="4" t="str">
        <f t="shared" si="166"/>
        <v/>
      </c>
      <c r="DC34" s="5" t="str">
        <f t="shared" si="166"/>
        <v/>
      </c>
      <c r="DD34" s="10" t="str">
        <f t="shared" si="167"/>
        <v/>
      </c>
      <c r="DE34" s="9" t="str">
        <f t="shared" si="168"/>
        <v/>
      </c>
      <c r="DF34" s="5" t="str">
        <f t="shared" si="168"/>
        <v/>
      </c>
      <c r="DG34" s="10" t="str">
        <f t="shared" si="169"/>
        <v/>
      </c>
      <c r="DH34" s="70" t="str">
        <f t="shared" si="170"/>
        <v/>
      </c>
      <c r="DI34" s="4" t="str">
        <f t="shared" si="171"/>
        <v/>
      </c>
      <c r="DJ34" s="5" t="str">
        <f t="shared" si="172"/>
        <v/>
      </c>
      <c r="DK34" s="10" t="str">
        <f t="shared" si="173"/>
        <v/>
      </c>
      <c r="DL34" s="9" t="str">
        <f t="shared" si="174"/>
        <v/>
      </c>
      <c r="DM34" s="173" t="str">
        <f t="shared" si="175"/>
        <v/>
      </c>
      <c r="DN34" s="178" t="str">
        <f t="shared" si="176"/>
        <v/>
      </c>
      <c r="DO34" s="9" t="str">
        <f t="shared" si="177"/>
        <v/>
      </c>
      <c r="DP34" s="173" t="str">
        <f t="shared" si="178"/>
        <v/>
      </c>
      <c r="DQ34" s="11" t="str">
        <f t="shared" si="179"/>
        <v/>
      </c>
      <c r="DR34" s="173" t="str">
        <f t="shared" si="180"/>
        <v/>
      </c>
      <c r="DS34" s="5" t="str">
        <f t="shared" si="181"/>
        <v/>
      </c>
      <c r="DT34" s="5" t="str">
        <f t="shared" si="182"/>
        <v/>
      </c>
      <c r="DU34" s="5" t="str">
        <f t="shared" si="183"/>
        <v/>
      </c>
      <c r="DV34" s="5" t="str">
        <f t="shared" si="184"/>
        <v/>
      </c>
      <c r="DW34" s="5" t="str">
        <f t="shared" si="185"/>
        <v/>
      </c>
      <c r="DX34" s="167" t="str">
        <f t="shared" si="186"/>
        <v/>
      </c>
      <c r="DY34" s="9" t="str">
        <f t="shared" si="187"/>
        <v/>
      </c>
      <c r="DZ34" s="5" t="str">
        <f t="shared" si="188"/>
        <v/>
      </c>
      <c r="EA34" s="10" t="str">
        <f t="shared" si="189"/>
        <v/>
      </c>
      <c r="EB34" s="6" t="str">
        <f t="shared" si="190"/>
        <v/>
      </c>
      <c r="EC34" s="173" t="str">
        <f t="shared" si="191"/>
        <v/>
      </c>
      <c r="ED34" s="5" t="str">
        <f t="shared" si="192"/>
        <v/>
      </c>
      <c r="EE34" s="4" t="str">
        <f t="shared" si="193"/>
        <v/>
      </c>
      <c r="EF34" s="5" t="str">
        <f t="shared" si="194"/>
        <v/>
      </c>
      <c r="EG34" s="10" t="str">
        <f t="shared" si="195"/>
        <v/>
      </c>
      <c r="EH34" s="9" t="str">
        <f t="shared" si="196"/>
        <v/>
      </c>
      <c r="EI34" s="5" t="str">
        <f t="shared" si="197"/>
        <v/>
      </c>
      <c r="EJ34" s="6" t="str">
        <f t="shared" si="198"/>
        <v/>
      </c>
      <c r="EK34" s="236" t="str">
        <f t="shared" si="199"/>
        <v/>
      </c>
      <c r="EL34" s="238" t="str">
        <f t="shared" si="200"/>
        <v/>
      </c>
      <c r="EM34" s="4" t="str">
        <f t="shared" si="201"/>
        <v/>
      </c>
      <c r="EN34" s="5" t="str">
        <f t="shared" si="202"/>
        <v/>
      </c>
      <c r="EO34" s="10" t="str">
        <f t="shared" si="203"/>
        <v/>
      </c>
      <c r="EP34" s="9" t="str">
        <f t="shared" si="204"/>
        <v/>
      </c>
      <c r="EQ34" s="5" t="str">
        <f t="shared" si="205"/>
        <v/>
      </c>
      <c r="ER34" s="7" t="str">
        <f t="shared" si="206"/>
        <v/>
      </c>
      <c r="ES34" s="21" t="str">
        <f t="shared" si="131"/>
        <v/>
      </c>
      <c r="ET34" s="5" t="str">
        <f t="shared" si="43"/>
        <v/>
      </c>
      <c r="EU34" s="10" t="str">
        <f t="shared" si="44"/>
        <v/>
      </c>
      <c r="EV34" s="174" t="str">
        <f t="shared" si="250"/>
        <v/>
      </c>
      <c r="EW34" s="9" t="str">
        <f t="shared" si="132"/>
        <v/>
      </c>
      <c r="EX34" s="5" t="str">
        <f t="shared" si="45"/>
        <v/>
      </c>
      <c r="EY34" s="6" t="str">
        <f t="shared" si="207"/>
        <v/>
      </c>
      <c r="EZ34" s="51" t="str">
        <f t="shared" si="208"/>
        <v/>
      </c>
      <c r="FA34" s="266" t="str">
        <f t="shared" si="133"/>
        <v/>
      </c>
      <c r="FB34" s="267" t="str">
        <f t="shared" si="134"/>
        <v/>
      </c>
      <c r="FC34" s="269" t="str">
        <f t="shared" si="46"/>
        <v/>
      </c>
      <c r="FD34" s="4" t="str">
        <f t="shared" si="135"/>
        <v/>
      </c>
      <c r="FE34" s="5" t="str">
        <f t="shared" si="47"/>
        <v/>
      </c>
      <c r="FF34" s="7" t="str">
        <f t="shared" si="209"/>
        <v/>
      </c>
      <c r="FG34" s="173" t="str">
        <f t="shared" si="210"/>
        <v/>
      </c>
      <c r="FH34" s="5" t="str">
        <f t="shared" si="48"/>
        <v/>
      </c>
      <c r="FI34" s="10" t="str">
        <f t="shared" si="49"/>
        <v/>
      </c>
      <c r="FJ34" s="279" t="str">
        <f t="shared" si="211"/>
        <v/>
      </c>
      <c r="FK34" s="4" t="str">
        <f t="shared" si="50"/>
        <v/>
      </c>
      <c r="FL34" s="5" t="str">
        <f t="shared" si="212"/>
        <v/>
      </c>
      <c r="FM34" s="8" t="str">
        <f t="shared" si="213"/>
        <v/>
      </c>
      <c r="FN34" s="9" t="str">
        <f t="shared" si="214"/>
        <v/>
      </c>
      <c r="FO34" s="10" t="str">
        <f t="shared" si="51"/>
        <v/>
      </c>
      <c r="FP34" s="277" t="str">
        <f t="shared" si="52"/>
        <v/>
      </c>
      <c r="FQ34" s="173" t="str">
        <f t="shared" si="241"/>
        <v/>
      </c>
      <c r="FR34" s="10" t="str">
        <f t="shared" si="215"/>
        <v/>
      </c>
      <c r="FS34" s="9" t="str">
        <f t="shared" si="216"/>
        <v/>
      </c>
      <c r="FT34" s="6" t="str">
        <f t="shared" si="217"/>
        <v/>
      </c>
      <c r="FU34" s="4" t="str">
        <f t="shared" si="218"/>
        <v/>
      </c>
      <c r="FV34" s="5" t="str">
        <f t="shared" si="219"/>
        <v/>
      </c>
      <c r="FW34" s="8" t="str">
        <f t="shared" si="242"/>
        <v/>
      </c>
      <c r="FX34" s="9" t="str">
        <f t="shared" si="243"/>
        <v/>
      </c>
      <c r="FY34" s="10" t="str">
        <f t="shared" si="53"/>
        <v/>
      </c>
      <c r="FZ34" s="277" t="str">
        <f t="shared" si="244"/>
        <v/>
      </c>
      <c r="GA34" s="177" t="str">
        <f t="shared" si="220"/>
        <v/>
      </c>
      <c r="GB34" s="4" t="str">
        <f t="shared" si="221"/>
        <v/>
      </c>
      <c r="GC34" s="5" t="str">
        <f t="shared" si="222"/>
        <v/>
      </c>
      <c r="GD34" s="10" t="str">
        <f t="shared" si="223"/>
        <v/>
      </c>
      <c r="GE34" s="311" t="str">
        <f t="shared" si="224"/>
        <v/>
      </c>
      <c r="GF34" s="341" t="str">
        <f t="shared" si="245"/>
        <v/>
      </c>
      <c r="GG34" s="285" t="str">
        <f t="shared" si="54"/>
        <v/>
      </c>
      <c r="GH34" s="286" t="str">
        <f t="shared" si="55"/>
        <v/>
      </c>
      <c r="GI34" s="281" t="str">
        <f t="shared" si="56"/>
        <v/>
      </c>
      <c r="GJ34" s="167" t="str">
        <f t="shared" si="225"/>
        <v/>
      </c>
      <c r="GK34" s="174" t="str">
        <f t="shared" si="57"/>
        <v/>
      </c>
      <c r="GL34" s="174" t="str">
        <f t="shared" si="226"/>
        <v/>
      </c>
      <c r="GM34" s="177" t="str">
        <f t="shared" si="246"/>
        <v/>
      </c>
      <c r="GN34" s="280" t="str">
        <f t="shared" si="227"/>
        <v/>
      </c>
      <c r="GO34" s="4" t="str">
        <f t="shared" si="228"/>
        <v/>
      </c>
      <c r="GP34" s="8" t="str">
        <f t="shared" si="247"/>
        <v/>
      </c>
      <c r="GQ34" s="177" t="str">
        <f t="shared" si="229"/>
        <v/>
      </c>
      <c r="GR34" s="371" t="str">
        <f t="shared" si="248"/>
        <v/>
      </c>
      <c r="GS34" s="342" t="str">
        <f t="shared" si="59"/>
        <v/>
      </c>
      <c r="GT34" s="343" t="str">
        <f t="shared" si="60"/>
        <v/>
      </c>
      <c r="GU34" s="344" t="str">
        <f t="shared" si="61"/>
        <v/>
      </c>
      <c r="GV34" s="343" t="str">
        <f t="shared" si="251"/>
        <v/>
      </c>
      <c r="GW34" s="345" t="str">
        <f t="shared" si="62"/>
        <v/>
      </c>
      <c r="GX34" s="346" t="str">
        <f t="shared" si="63"/>
        <v/>
      </c>
      <c r="GY34" s="344" t="str">
        <f t="shared" si="64"/>
        <v/>
      </c>
      <c r="GZ34" s="345" t="str">
        <f t="shared" si="65"/>
        <v/>
      </c>
      <c r="HA34" s="342" t="str">
        <f t="shared" si="66"/>
        <v/>
      </c>
      <c r="HB34" s="5" t="str">
        <f t="shared" si="230"/>
        <v/>
      </c>
      <c r="HC34" s="343" t="str">
        <f t="shared" si="231"/>
        <v/>
      </c>
      <c r="HD34" s="363" t="str">
        <f t="shared" si="232"/>
        <v/>
      </c>
      <c r="HE34" s="344" t="str">
        <f t="shared" si="67"/>
        <v/>
      </c>
      <c r="HF34" s="5" t="str">
        <f t="shared" si="68"/>
        <v/>
      </c>
      <c r="HG34" s="343" t="str">
        <f t="shared" si="233"/>
        <v/>
      </c>
      <c r="HH34" s="349" t="str">
        <f t="shared" si="234"/>
        <v/>
      </c>
      <c r="HI34" s="317" t="str">
        <f t="shared" si="69"/>
        <v/>
      </c>
      <c r="HJ34" s="336"/>
      <c r="HK34" s="310" t="str">
        <f t="shared" si="136"/>
        <v/>
      </c>
      <c r="HL34" s="348" t="str">
        <f t="shared" si="70"/>
        <v/>
      </c>
      <c r="HM34" s="923" t="str">
        <f t="shared" si="71"/>
        <v/>
      </c>
      <c r="HN34" s="924" t="str">
        <f t="shared" si="72"/>
        <v/>
      </c>
      <c r="HO34" s="925"/>
      <c r="HP34" s="926"/>
      <c r="HQ34" s="924" t="str">
        <f t="shared" si="73"/>
        <v/>
      </c>
      <c r="HR34" s="927" t="str">
        <f t="shared" si="74"/>
        <v/>
      </c>
      <c r="HS34" s="879" t="str">
        <f t="shared" si="249"/>
        <v/>
      </c>
      <c r="HT34" s="889" t="str">
        <f t="shared" si="75"/>
        <v/>
      </c>
      <c r="HU34" s="890" t="str">
        <f t="shared" si="76"/>
        <v/>
      </c>
      <c r="HV34" s="886" t="str">
        <f t="shared" si="77"/>
        <v/>
      </c>
      <c r="HW34" s="880" t="str">
        <f t="shared" si="78"/>
        <v/>
      </c>
      <c r="HX34" s="881" t="str">
        <f t="shared" si="79"/>
        <v/>
      </c>
      <c r="HY34" s="880" t="str">
        <f t="shared" si="80"/>
        <v/>
      </c>
      <c r="HZ34" s="882" t="str">
        <f t="shared" si="81"/>
        <v/>
      </c>
      <c r="IA34" s="883" t="str">
        <f t="shared" si="82"/>
        <v/>
      </c>
      <c r="IB34" s="884" t="str">
        <f t="shared" si="83"/>
        <v/>
      </c>
      <c r="IC34" s="855" t="str">
        <f t="shared" si="84"/>
        <v/>
      </c>
      <c r="ID34" s="351" t="str">
        <f t="shared" si="85"/>
        <v/>
      </c>
      <c r="IE34" s="857" t="str">
        <f t="shared" si="86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5"/>
        <v>5.1109999999999998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7"/>
        <v>1613</v>
      </c>
      <c r="IM34" s="482" t="str">
        <f t="shared" si="236"/>
        <v/>
      </c>
      <c r="IN34" s="670" t="str">
        <f t="shared" si="89"/>
        <v/>
      </c>
      <c r="IO34" s="702"/>
      <c r="IP34" s="5" t="str">
        <f t="shared" si="90"/>
        <v/>
      </c>
      <c r="IQ34" s="714"/>
      <c r="IR34" s="9" t="str">
        <f t="shared" si="137"/>
        <v/>
      </c>
      <c r="IS34" s="5" t="str">
        <f t="shared" si="91"/>
        <v/>
      </c>
      <c r="IT34" s="5" t="str">
        <f t="shared" si="92"/>
        <v/>
      </c>
      <c r="IU34" s="5" t="str">
        <f t="shared" si="93"/>
        <v/>
      </c>
      <c r="IV34" s="670" t="str">
        <f t="shared" si="94"/>
        <v/>
      </c>
      <c r="IW34" s="9" t="str">
        <f t="shared" si="95"/>
        <v/>
      </c>
      <c r="IX34" s="5" t="str">
        <f t="shared" si="96"/>
        <v/>
      </c>
      <c r="IY34" s="5" t="str">
        <f t="shared" si="97"/>
        <v/>
      </c>
      <c r="IZ34" s="5" t="str">
        <f t="shared" si="98"/>
        <v/>
      </c>
      <c r="JA34" s="705" t="str">
        <f t="shared" si="99"/>
        <v/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-2.9705984522385713</v>
      </c>
      <c r="C35" s="572">
        <f t="shared" si="3"/>
        <v>-1.6574853323511565</v>
      </c>
      <c r="D35" s="576">
        <f t="shared" si="4"/>
        <v>-0.73150000000000015</v>
      </c>
      <c r="E35" s="580">
        <f t="shared" si="5"/>
        <v>0.25265165150270341</v>
      </c>
      <c r="F35" s="572">
        <f t="shared" si="6"/>
        <v>-0.95958552811591202</v>
      </c>
      <c r="G35" s="579">
        <f t="shared" si="7"/>
        <v>0.12394659020506731</v>
      </c>
      <c r="H35" s="580">
        <f t="shared" si="8"/>
        <v>0.3125</v>
      </c>
      <c r="I35" s="572">
        <f t="shared" si="9"/>
        <v>0.52</v>
      </c>
      <c r="J35" s="483">
        <f t="shared" si="10"/>
        <v>5.1139999999999999</v>
      </c>
      <c r="K35" s="806">
        <f t="shared" si="11"/>
        <v>1613</v>
      </c>
      <c r="L35" s="309"/>
      <c r="M35" s="164">
        <f t="shared" si="12"/>
        <v>5.1139999999999999</v>
      </c>
      <c r="N35" s="575">
        <f t="shared" si="13"/>
        <v>-2.9705984522385713</v>
      </c>
      <c r="O35" s="572">
        <f t="shared" si="14"/>
        <v>-1.6574853323511565</v>
      </c>
      <c r="P35" s="576">
        <f t="shared" si="15"/>
        <v>-0.73150000000000015</v>
      </c>
      <c r="Q35" s="528">
        <f t="shared" si="138"/>
        <v>209.15991984011896</v>
      </c>
      <c r="R35" s="572">
        <f>IF(M35="","",SQRT(N35^2+O35^2))</f>
        <v>3.4017220332357283</v>
      </c>
      <c r="S35" s="577">
        <f>IF(M35="","",P35)</f>
        <v>-0.73150000000000015</v>
      </c>
      <c r="T35" s="578">
        <f>IF(M35="","",X35*COS(RADIANS(W35)))</f>
        <v>-1.6884125403050021</v>
      </c>
      <c r="U35" s="572">
        <f>IF(M35="","",X35*SIN(RADIANS(W35)))</f>
        <v>2.9531298456285708</v>
      </c>
      <c r="V35" s="579">
        <f>IF(M35="","",Y35)</f>
        <v>-0.73150000000000015</v>
      </c>
      <c r="W35" s="528">
        <f t="shared" si="252"/>
        <v>119.75818576278338</v>
      </c>
      <c r="X35" s="572">
        <f>IF(M35="","",R35)</f>
        <v>3.4017220332357283</v>
      </c>
      <c r="Y35" s="573">
        <f t="shared" si="253"/>
        <v>-0.73150000000000015</v>
      </c>
      <c r="Z35" s="575">
        <f t="shared" si="18"/>
        <v>-0.25265165150270341</v>
      </c>
      <c r="AA35" s="572">
        <f t="shared" si="19"/>
        <v>0.95958552811591202</v>
      </c>
      <c r="AB35" s="572">
        <f t="shared" si="20"/>
        <v>-0.12394659020506731</v>
      </c>
      <c r="AC35" s="579">
        <f>IF(M35="","",SQRT(Z35^2+AA35^2+AB35^2))</f>
        <v>1</v>
      </c>
      <c r="AD35" s="580">
        <f>IF(M35="","",Z35*(1/SQRT(Z35^2+AA35^2+AB35^2)))</f>
        <v>-0.25265165150270341</v>
      </c>
      <c r="AE35" s="572">
        <f>IF(M35="","",AA35*(1/SQRT(Z35^2+AA35^2+AB35^2)))</f>
        <v>0.95958552811591202</v>
      </c>
      <c r="AF35" s="576">
        <f>IF(M35="","",AB35*(1/SQRT(Z35^2+AA35^2+AB35^2)))</f>
        <v>-0.12394659020506731</v>
      </c>
      <c r="AG35" s="545">
        <f>IF(M35="","",DEGREES(ATAN2(-AF35,AE35)))</f>
        <v>82.640038432101932</v>
      </c>
      <c r="AH35" s="546">
        <f>IF(M35="","",DEGREES(ACOS(AD35)))</f>
        <v>104.63447891604478</v>
      </c>
      <c r="AI35" s="528">
        <f>IF(M35="","",DEGREES(-ACOS(-AF35)))</f>
        <v>-82.880073226594931</v>
      </c>
      <c r="AJ35" s="529">
        <f>IF(M35="","",DEGREES(ATAN2(-AE35,AD35)))</f>
        <v>-165.24922577265946</v>
      </c>
      <c r="AK35" s="578">
        <f>IF(M35="","",(COS(RADIANS((90-$Q$8)-W35))*AD35)+(-SIN(RADIANS((90-$Q$8)-W35))*AE35))</f>
        <v>0.96107490830516507</v>
      </c>
      <c r="AL35" s="572">
        <f>IF(M35="","",(SIN(RADIANS((90-$Q$8)-W35))*AD35)+(COS(RADIANS((90-$Q$8)-W35))*AE35))</f>
        <v>-0.24692562322034534</v>
      </c>
      <c r="AM35" s="577">
        <f>IF(M35="","",AF35)</f>
        <v>-0.12394659020506731</v>
      </c>
      <c r="AN35" s="524">
        <f>IF(M35="","",DEGREES(ATAN2(-AM35,AL35)))</f>
        <v>-63.345215750387418</v>
      </c>
      <c r="AO35" s="525">
        <f t="shared" si="115"/>
        <v>16.038781128165919</v>
      </c>
      <c r="AP35" s="528">
        <f>IF(M35="","",DEGREES(ATAN2(AK35,AL35)))</f>
        <v>-14.409145612778433</v>
      </c>
      <c r="AQ35" s="529">
        <f t="shared" si="21"/>
        <v>0.67013784604761062</v>
      </c>
      <c r="AS35" s="946">
        <f t="shared" si="141"/>
        <v>-240.2418142372166</v>
      </c>
      <c r="AT35" s="942">
        <f t="shared" si="22"/>
        <v>-0.56039189085064312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2"/>
        <v/>
      </c>
      <c r="BA35" s="296" t="str">
        <f t="shared" si="24"/>
        <v/>
      </c>
      <c r="BB35" s="190" t="str">
        <f t="shared" si="143"/>
        <v/>
      </c>
      <c r="BC35" s="9"/>
      <c r="BD35" s="5" t="str">
        <f t="shared" si="144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5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6"/>
        <v/>
      </c>
      <c r="BP35" s="5" t="str">
        <f t="shared" si="147"/>
        <v/>
      </c>
      <c r="BQ35" s="5" t="str">
        <f t="shared" si="148"/>
        <v/>
      </c>
      <c r="BR35" s="6" t="str">
        <f t="shared" si="149"/>
        <v/>
      </c>
      <c r="BS35" s="4" t="str">
        <f t="shared" si="117"/>
        <v/>
      </c>
      <c r="BT35" s="5" t="str">
        <f t="shared" si="117"/>
        <v/>
      </c>
      <c r="BU35" s="10" t="str">
        <f t="shared" si="118"/>
        <v/>
      </c>
      <c r="BV35" s="9" t="str">
        <f t="shared" si="119"/>
        <v/>
      </c>
      <c r="BW35" s="5" t="str">
        <f t="shared" si="120"/>
        <v/>
      </c>
      <c r="BX35" s="8" t="str">
        <f t="shared" si="121"/>
        <v/>
      </c>
      <c r="BY35" s="173" t="str">
        <f t="shared" si="122"/>
        <v/>
      </c>
      <c r="BZ35" s="5" t="str">
        <f t="shared" si="123"/>
        <v/>
      </c>
      <c r="CA35" s="6" t="str">
        <f t="shared" si="124"/>
        <v/>
      </c>
      <c r="CB35" s="4" t="str">
        <f t="shared" si="150"/>
        <v/>
      </c>
      <c r="CC35" s="5" t="str">
        <f t="shared" si="151"/>
        <v/>
      </c>
      <c r="CD35" s="5" t="str">
        <f t="shared" si="152"/>
        <v/>
      </c>
      <c r="CE35" s="6" t="str">
        <f t="shared" si="153"/>
        <v/>
      </c>
      <c r="CF35" s="4" t="str">
        <f t="shared" si="154"/>
        <v/>
      </c>
      <c r="CG35" s="5" t="str">
        <f t="shared" si="155"/>
        <v/>
      </c>
      <c r="CH35" s="5" t="str">
        <f t="shared" si="156"/>
        <v/>
      </c>
      <c r="CI35" s="4" t="str">
        <f t="shared" si="125"/>
        <v/>
      </c>
      <c r="CJ35" s="5" t="str">
        <f t="shared" si="126"/>
        <v/>
      </c>
      <c r="CK35" s="8" t="str">
        <f t="shared" si="127"/>
        <v/>
      </c>
      <c r="CL35" s="173" t="str">
        <f t="shared" si="128"/>
        <v/>
      </c>
      <c r="CM35" s="5" t="str">
        <f t="shared" si="129"/>
        <v/>
      </c>
      <c r="CN35" s="6" t="str">
        <f t="shared" si="130"/>
        <v/>
      </c>
      <c r="CO35" s="167" t="str">
        <f t="shared" si="34"/>
        <v/>
      </c>
      <c r="CP35" s="4" t="str">
        <f t="shared" si="238"/>
        <v/>
      </c>
      <c r="CQ35" s="5" t="str">
        <f t="shared" si="239"/>
        <v/>
      </c>
      <c r="CR35" s="5" t="str">
        <f t="shared" si="157"/>
        <v/>
      </c>
      <c r="CS35" s="8" t="str">
        <f t="shared" si="158"/>
        <v/>
      </c>
      <c r="CT35" s="9" t="str">
        <f t="shared" si="159"/>
        <v/>
      </c>
      <c r="CU35" s="6" t="str">
        <f t="shared" si="160"/>
        <v/>
      </c>
      <c r="CV35" s="4" t="str">
        <f t="shared" si="240"/>
        <v/>
      </c>
      <c r="CW35" s="5" t="str">
        <f t="shared" si="161"/>
        <v/>
      </c>
      <c r="CX35" s="8" t="str">
        <f t="shared" si="162"/>
        <v/>
      </c>
      <c r="CY35" s="9" t="str">
        <f t="shared" si="163"/>
        <v/>
      </c>
      <c r="CZ35" s="5" t="str">
        <f t="shared" si="164"/>
        <v/>
      </c>
      <c r="DA35" s="6" t="str">
        <f t="shared" si="165"/>
        <v/>
      </c>
      <c r="DB35" s="4" t="str">
        <f t="shared" si="166"/>
        <v/>
      </c>
      <c r="DC35" s="5" t="str">
        <f t="shared" si="166"/>
        <v/>
      </c>
      <c r="DD35" s="10" t="str">
        <f t="shared" si="167"/>
        <v/>
      </c>
      <c r="DE35" s="9" t="str">
        <f t="shared" si="168"/>
        <v/>
      </c>
      <c r="DF35" s="5" t="str">
        <f t="shared" si="168"/>
        <v/>
      </c>
      <c r="DG35" s="10" t="str">
        <f t="shared" si="169"/>
        <v/>
      </c>
      <c r="DH35" s="70" t="str">
        <f t="shared" si="170"/>
        <v/>
      </c>
      <c r="DI35" s="4" t="str">
        <f t="shared" si="171"/>
        <v/>
      </c>
      <c r="DJ35" s="5" t="str">
        <f t="shared" si="172"/>
        <v/>
      </c>
      <c r="DK35" s="10" t="str">
        <f t="shared" si="173"/>
        <v/>
      </c>
      <c r="DL35" s="9" t="str">
        <f t="shared" si="174"/>
        <v/>
      </c>
      <c r="DM35" s="173" t="str">
        <f t="shared" si="175"/>
        <v/>
      </c>
      <c r="DN35" s="178" t="str">
        <f t="shared" si="176"/>
        <v/>
      </c>
      <c r="DO35" s="9" t="str">
        <f t="shared" si="177"/>
        <v/>
      </c>
      <c r="DP35" s="173" t="str">
        <f t="shared" si="178"/>
        <v/>
      </c>
      <c r="DQ35" s="11" t="str">
        <f t="shared" si="179"/>
        <v/>
      </c>
      <c r="DR35" s="173" t="str">
        <f t="shared" si="180"/>
        <v/>
      </c>
      <c r="DS35" s="5" t="str">
        <f t="shared" si="181"/>
        <v/>
      </c>
      <c r="DT35" s="5" t="str">
        <f t="shared" si="182"/>
        <v/>
      </c>
      <c r="DU35" s="5" t="str">
        <f t="shared" si="183"/>
        <v/>
      </c>
      <c r="DV35" s="5" t="str">
        <f t="shared" si="184"/>
        <v/>
      </c>
      <c r="DW35" s="5" t="str">
        <f t="shared" si="185"/>
        <v/>
      </c>
      <c r="DX35" s="167" t="str">
        <f t="shared" si="186"/>
        <v/>
      </c>
      <c r="DY35" s="9" t="str">
        <f t="shared" si="187"/>
        <v/>
      </c>
      <c r="DZ35" s="5" t="str">
        <f t="shared" si="188"/>
        <v/>
      </c>
      <c r="EA35" s="10" t="str">
        <f t="shared" si="189"/>
        <v/>
      </c>
      <c r="EB35" s="6" t="str">
        <f t="shared" si="190"/>
        <v/>
      </c>
      <c r="EC35" s="173" t="str">
        <f t="shared" si="191"/>
        <v/>
      </c>
      <c r="ED35" s="5" t="str">
        <f t="shared" si="192"/>
        <v/>
      </c>
      <c r="EE35" s="4" t="str">
        <f t="shared" si="193"/>
        <v/>
      </c>
      <c r="EF35" s="5" t="str">
        <f t="shared" si="194"/>
        <v/>
      </c>
      <c r="EG35" s="10" t="str">
        <f t="shared" si="195"/>
        <v/>
      </c>
      <c r="EH35" s="9" t="str">
        <f t="shared" si="196"/>
        <v/>
      </c>
      <c r="EI35" s="5" t="str">
        <f t="shared" si="197"/>
        <v/>
      </c>
      <c r="EJ35" s="6" t="str">
        <f t="shared" si="198"/>
        <v/>
      </c>
      <c r="EK35" s="236" t="str">
        <f t="shared" si="199"/>
        <v/>
      </c>
      <c r="EL35" s="238" t="str">
        <f t="shared" si="200"/>
        <v/>
      </c>
      <c r="EM35" s="4" t="str">
        <f t="shared" si="201"/>
        <v/>
      </c>
      <c r="EN35" s="5" t="str">
        <f t="shared" si="202"/>
        <v/>
      </c>
      <c r="EO35" s="10" t="str">
        <f t="shared" si="203"/>
        <v/>
      </c>
      <c r="EP35" s="9" t="str">
        <f t="shared" si="204"/>
        <v/>
      </c>
      <c r="EQ35" s="5" t="str">
        <f t="shared" si="205"/>
        <v/>
      </c>
      <c r="ER35" s="7" t="str">
        <f t="shared" si="206"/>
        <v/>
      </c>
      <c r="ES35" s="21" t="str">
        <f t="shared" si="131"/>
        <v/>
      </c>
      <c r="ET35" s="5" t="str">
        <f t="shared" si="43"/>
        <v/>
      </c>
      <c r="EU35" s="10" t="str">
        <f t="shared" si="44"/>
        <v/>
      </c>
      <c r="EV35" s="174" t="str">
        <f t="shared" si="250"/>
        <v/>
      </c>
      <c r="EW35" s="9" t="str">
        <f t="shared" si="132"/>
        <v/>
      </c>
      <c r="EX35" s="5" t="str">
        <f t="shared" si="45"/>
        <v/>
      </c>
      <c r="EY35" s="6" t="str">
        <f t="shared" si="207"/>
        <v/>
      </c>
      <c r="EZ35" s="51" t="str">
        <f t="shared" si="208"/>
        <v/>
      </c>
      <c r="FA35" s="266" t="str">
        <f t="shared" si="133"/>
        <v/>
      </c>
      <c r="FB35" s="267" t="str">
        <f t="shared" si="134"/>
        <v/>
      </c>
      <c r="FC35" s="269" t="str">
        <f t="shared" si="46"/>
        <v/>
      </c>
      <c r="FD35" s="4" t="str">
        <f t="shared" si="135"/>
        <v/>
      </c>
      <c r="FE35" s="5" t="str">
        <f t="shared" si="47"/>
        <v/>
      </c>
      <c r="FF35" s="7" t="str">
        <f t="shared" si="209"/>
        <v/>
      </c>
      <c r="FG35" s="173" t="str">
        <f t="shared" si="210"/>
        <v/>
      </c>
      <c r="FH35" s="5" t="str">
        <f t="shared" si="48"/>
        <v/>
      </c>
      <c r="FI35" s="10" t="str">
        <f t="shared" si="49"/>
        <v/>
      </c>
      <c r="FJ35" s="279" t="str">
        <f t="shared" si="211"/>
        <v/>
      </c>
      <c r="FK35" s="4" t="str">
        <f t="shared" si="50"/>
        <v/>
      </c>
      <c r="FL35" s="5" t="str">
        <f t="shared" si="212"/>
        <v/>
      </c>
      <c r="FM35" s="8" t="str">
        <f t="shared" si="213"/>
        <v/>
      </c>
      <c r="FN35" s="9" t="str">
        <f t="shared" si="214"/>
        <v/>
      </c>
      <c r="FO35" s="10" t="str">
        <f t="shared" si="51"/>
        <v/>
      </c>
      <c r="FP35" s="277" t="str">
        <f t="shared" si="52"/>
        <v/>
      </c>
      <c r="FQ35" s="173" t="str">
        <f t="shared" si="241"/>
        <v/>
      </c>
      <c r="FR35" s="10" t="str">
        <f t="shared" si="215"/>
        <v/>
      </c>
      <c r="FS35" s="9" t="str">
        <f t="shared" si="216"/>
        <v/>
      </c>
      <c r="FT35" s="6" t="str">
        <f t="shared" si="217"/>
        <v/>
      </c>
      <c r="FU35" s="4" t="str">
        <f t="shared" si="218"/>
        <v/>
      </c>
      <c r="FV35" s="5" t="str">
        <f t="shared" si="219"/>
        <v/>
      </c>
      <c r="FW35" s="8" t="str">
        <f t="shared" si="242"/>
        <v/>
      </c>
      <c r="FX35" s="9" t="str">
        <f t="shared" si="243"/>
        <v/>
      </c>
      <c r="FY35" s="10" t="str">
        <f t="shared" si="53"/>
        <v/>
      </c>
      <c r="FZ35" s="277" t="str">
        <f t="shared" si="244"/>
        <v/>
      </c>
      <c r="GA35" s="177" t="str">
        <f t="shared" si="220"/>
        <v/>
      </c>
      <c r="GB35" s="4" t="str">
        <f t="shared" si="221"/>
        <v/>
      </c>
      <c r="GC35" s="5" t="str">
        <f t="shared" si="222"/>
        <v/>
      </c>
      <c r="GD35" s="10" t="str">
        <f t="shared" si="223"/>
        <v/>
      </c>
      <c r="GE35" s="311" t="str">
        <f t="shared" si="224"/>
        <v/>
      </c>
      <c r="GF35" s="341" t="str">
        <f t="shared" si="245"/>
        <v/>
      </c>
      <c r="GG35" s="285" t="str">
        <f t="shared" si="54"/>
        <v/>
      </c>
      <c r="GH35" s="286" t="str">
        <f t="shared" si="55"/>
        <v/>
      </c>
      <c r="GI35" s="281" t="str">
        <f t="shared" si="56"/>
        <v/>
      </c>
      <c r="GJ35" s="167" t="str">
        <f t="shared" si="225"/>
        <v/>
      </c>
      <c r="GK35" s="174" t="str">
        <f t="shared" si="57"/>
        <v/>
      </c>
      <c r="GL35" s="174" t="str">
        <f t="shared" si="226"/>
        <v/>
      </c>
      <c r="GM35" s="177" t="str">
        <f t="shared" si="246"/>
        <v/>
      </c>
      <c r="GN35" s="280" t="str">
        <f t="shared" si="227"/>
        <v/>
      </c>
      <c r="GO35" s="4" t="str">
        <f t="shared" si="228"/>
        <v/>
      </c>
      <c r="GP35" s="8" t="str">
        <f t="shared" si="247"/>
        <v/>
      </c>
      <c r="GQ35" s="177" t="str">
        <f t="shared" si="229"/>
        <v/>
      </c>
      <c r="GR35" s="371" t="str">
        <f t="shared" si="248"/>
        <v/>
      </c>
      <c r="GS35" s="342" t="str">
        <f t="shared" si="59"/>
        <v/>
      </c>
      <c r="GT35" s="343" t="str">
        <f t="shared" si="60"/>
        <v/>
      </c>
      <c r="GU35" s="344" t="str">
        <f t="shared" si="61"/>
        <v/>
      </c>
      <c r="GV35" s="343" t="str">
        <f t="shared" si="251"/>
        <v/>
      </c>
      <c r="GW35" s="345" t="str">
        <f t="shared" si="62"/>
        <v/>
      </c>
      <c r="GX35" s="346" t="str">
        <f t="shared" si="63"/>
        <v/>
      </c>
      <c r="GY35" s="344" t="str">
        <f t="shared" si="64"/>
        <v/>
      </c>
      <c r="GZ35" s="345" t="str">
        <f t="shared" si="65"/>
        <v/>
      </c>
      <c r="HA35" s="342" t="str">
        <f t="shared" si="66"/>
        <v/>
      </c>
      <c r="HB35" s="5" t="str">
        <f t="shared" si="230"/>
        <v/>
      </c>
      <c r="HC35" s="343" t="str">
        <f t="shared" si="231"/>
        <v/>
      </c>
      <c r="HD35" s="363" t="str">
        <f t="shared" si="232"/>
        <v/>
      </c>
      <c r="HE35" s="344" t="str">
        <f t="shared" si="67"/>
        <v/>
      </c>
      <c r="HF35" s="5" t="str">
        <f t="shared" si="68"/>
        <v/>
      </c>
      <c r="HG35" s="343" t="str">
        <f t="shared" si="233"/>
        <v/>
      </c>
      <c r="HH35" s="349" t="str">
        <f t="shared" si="234"/>
        <v/>
      </c>
      <c r="HI35" s="317" t="str">
        <f t="shared" si="69"/>
        <v/>
      </c>
      <c r="HJ35" s="336"/>
      <c r="HK35" s="310" t="str">
        <f t="shared" si="136"/>
        <v/>
      </c>
      <c r="HL35" s="348" t="str">
        <f t="shared" si="70"/>
        <v/>
      </c>
      <c r="HM35" s="923" t="str">
        <f t="shared" si="71"/>
        <v/>
      </c>
      <c r="HN35" s="924" t="str">
        <f t="shared" si="72"/>
        <v/>
      </c>
      <c r="HO35" s="925"/>
      <c r="HP35" s="926"/>
      <c r="HQ35" s="924" t="str">
        <f t="shared" si="73"/>
        <v/>
      </c>
      <c r="HR35" s="927" t="str">
        <f t="shared" si="74"/>
        <v/>
      </c>
      <c r="HS35" s="879" t="str">
        <f t="shared" si="249"/>
        <v/>
      </c>
      <c r="HT35" s="889" t="str">
        <f t="shared" si="75"/>
        <v/>
      </c>
      <c r="HU35" s="890" t="str">
        <f t="shared" si="76"/>
        <v/>
      </c>
      <c r="HV35" s="886" t="str">
        <f t="shared" si="77"/>
        <v/>
      </c>
      <c r="HW35" s="880" t="str">
        <f t="shared" si="78"/>
        <v/>
      </c>
      <c r="HX35" s="881" t="str">
        <f t="shared" si="79"/>
        <v/>
      </c>
      <c r="HY35" s="880" t="str">
        <f t="shared" si="80"/>
        <v/>
      </c>
      <c r="HZ35" s="882" t="str">
        <f t="shared" si="81"/>
        <v/>
      </c>
      <c r="IA35" s="883" t="str">
        <f t="shared" si="82"/>
        <v/>
      </c>
      <c r="IB35" s="884" t="str">
        <f t="shared" si="83"/>
        <v/>
      </c>
      <c r="IC35" s="855" t="str">
        <f t="shared" si="84"/>
        <v/>
      </c>
      <c r="ID35" s="351" t="str">
        <f t="shared" si="85"/>
        <v/>
      </c>
      <c r="IE35" s="857" t="str">
        <f t="shared" si="86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5"/>
        <v>5.1139999999999999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7"/>
        <v>1613</v>
      </c>
      <c r="IM35" s="482" t="str">
        <f t="shared" si="236"/>
        <v/>
      </c>
      <c r="IN35" s="670" t="str">
        <f t="shared" si="89"/>
        <v/>
      </c>
      <c r="IO35" s="702"/>
      <c r="IP35" s="5" t="str">
        <f t="shared" si="90"/>
        <v/>
      </c>
      <c r="IQ35" s="714"/>
      <c r="IR35" s="9" t="str">
        <f t="shared" si="137"/>
        <v/>
      </c>
      <c r="IS35" s="5" t="str">
        <f t="shared" si="91"/>
        <v/>
      </c>
      <c r="IT35" s="5" t="str">
        <f t="shared" si="92"/>
        <v/>
      </c>
      <c r="IU35" s="5" t="str">
        <f t="shared" si="93"/>
        <v/>
      </c>
      <c r="IV35" s="670" t="str">
        <f t="shared" si="94"/>
        <v/>
      </c>
      <c r="IW35" s="9" t="str">
        <f t="shared" si="95"/>
        <v/>
      </c>
      <c r="IX35" s="5" t="str">
        <f t="shared" si="96"/>
        <v/>
      </c>
      <c r="IY35" s="5" t="str">
        <f t="shared" si="97"/>
        <v/>
      </c>
      <c r="IZ35" s="5" t="str">
        <f t="shared" si="98"/>
        <v/>
      </c>
      <c r="JA35" s="705" t="str">
        <f t="shared" si="99"/>
        <v/>
      </c>
    </row>
    <row r="36" spans="1:269" ht="15" customHeight="1" x14ac:dyDescent="0.25">
      <c r="A36" s="75">
        <f t="shared" si="1"/>
        <v>0</v>
      </c>
      <c r="B36" s="578">
        <f t="shared" si="2"/>
        <v>-3.1841431408358036</v>
      </c>
      <c r="C36" s="572">
        <f t="shared" si="3"/>
        <v>-1.7512150820142742</v>
      </c>
      <c r="D36" s="576">
        <f t="shared" si="4"/>
        <v>-1.4417999999999995</v>
      </c>
      <c r="E36" s="580">
        <f t="shared" si="5"/>
        <v>0.14655833989744854</v>
      </c>
      <c r="F36" s="572">
        <f t="shared" si="6"/>
        <v>-0.98824803676215811</v>
      </c>
      <c r="G36" s="579">
        <f t="shared" si="7"/>
        <v>4.3433522102683489E-2</v>
      </c>
      <c r="H36" s="580">
        <f t="shared" si="8"/>
        <v>0.3125</v>
      </c>
      <c r="I36" s="572">
        <f t="shared" si="9"/>
        <v>0.52</v>
      </c>
      <c r="J36" s="483">
        <f t="shared" si="10"/>
        <v>5.117</v>
      </c>
      <c r="K36" s="806">
        <f t="shared" si="11"/>
        <v>1613</v>
      </c>
      <c r="L36" s="309"/>
      <c r="M36" s="164">
        <f t="shared" si="12"/>
        <v>5.117</v>
      </c>
      <c r="N36" s="575">
        <f t="shared" si="13"/>
        <v>-3.1841431408358036</v>
      </c>
      <c r="O36" s="572">
        <f t="shared" si="14"/>
        <v>-1.7512150820142742</v>
      </c>
      <c r="P36" s="576">
        <f t="shared" si="15"/>
        <v>-1.4417999999999995</v>
      </c>
      <c r="Q36" s="528">
        <f t="shared" si="138"/>
        <v>208.80991447083167</v>
      </c>
      <c r="R36" s="572">
        <f>IF(M36="","",SQRT(N36^2+O36^2))</f>
        <v>3.6339402588383254</v>
      </c>
      <c r="S36" s="577">
        <f>IF(M36="","",P36)</f>
        <v>-1.4417999999999995</v>
      </c>
      <c r="T36" s="578">
        <f>IF(M36="","",X36*COS(RADIANS(W36)))</f>
        <v>-1.7843669115943854</v>
      </c>
      <c r="U36" s="572">
        <f>IF(M36="","",X36*SIN(RADIANS(W36)))</f>
        <v>3.1656842119221351</v>
      </c>
      <c r="V36" s="579">
        <f>IF(M36="","",Y36)</f>
        <v>-1.4417999999999995</v>
      </c>
      <c r="W36" s="528">
        <f t="shared" si="252"/>
        <v>119.4081803934961</v>
      </c>
      <c r="X36" s="572">
        <f>IF(M36="","",R36)</f>
        <v>3.6339402588383254</v>
      </c>
      <c r="Y36" s="573">
        <f t="shared" si="253"/>
        <v>-1.4417999999999995</v>
      </c>
      <c r="Z36" s="575">
        <f t="shared" si="18"/>
        <v>-0.14655833989744854</v>
      </c>
      <c r="AA36" s="572">
        <f t="shared" si="19"/>
        <v>0.98824803676215811</v>
      </c>
      <c r="AB36" s="572">
        <f t="shared" si="20"/>
        <v>-4.3433522102683489E-2</v>
      </c>
      <c r="AC36" s="579">
        <f>IF(M36="","",SQRT(Z36^2+AA36^2+AB36^2))</f>
        <v>1</v>
      </c>
      <c r="AD36" s="580">
        <f>IF(M36="","",Z36*(1/SQRT(Z36^2+AA36^2+AB36^2)))</f>
        <v>-0.14655833989744854</v>
      </c>
      <c r="AE36" s="572">
        <f>IF(M36="","",AA36*(1/SQRT(Z36^2+AA36^2+AB36^2)))</f>
        <v>0.98824803676215811</v>
      </c>
      <c r="AF36" s="576">
        <f>IF(M36="","",AB36*(1/SQRT(Z36^2+AA36^2+AB36^2)))</f>
        <v>-4.3433522102683489E-2</v>
      </c>
      <c r="AG36" s="545">
        <f>IF(M36="","",DEGREES(ATAN2(-AF36,AE36)))</f>
        <v>87.483468759897704</v>
      </c>
      <c r="AH36" s="546">
        <f>IF(M36="","",DEGREES(ACOS(AD36)))</f>
        <v>98.42752962935495</v>
      </c>
      <c r="AI36" s="528">
        <f>IF(M36="","",DEGREES(-ACOS(-AF36)))</f>
        <v>-87.510659397303201</v>
      </c>
      <c r="AJ36" s="529">
        <f>IF(M36="","",DEGREES(ATAN2(-AE36,AD36)))</f>
        <v>-171.56445196965061</v>
      </c>
      <c r="AK36" s="578">
        <f>IF(M36="","",(COS(RADIANS((90-$Q$8)-W36))*AD36)+(-SIN(RADIANS((90-$Q$8)-W36))*AE36))</f>
        <v>0.93655320134845321</v>
      </c>
      <c r="AL36" s="572">
        <f>IF(M36="","",(SIN(RADIANS((90-$Q$8)-W36))*AD36)+(COS(RADIANS((90-$Q$8)-W36))*AE36))</f>
        <v>-0.34782413688776603</v>
      </c>
      <c r="AM36" s="577">
        <f>IF(M36="","",AF36)</f>
        <v>-4.3433522102683489E-2</v>
      </c>
      <c r="AN36" s="524">
        <f>IF(M36="","",DEGREES(ATAN2(-AM36,AL36)))</f>
        <v>-82.882200500805865</v>
      </c>
      <c r="AO36" s="525">
        <f t="shared" si="115"/>
        <v>20.519458212808804</v>
      </c>
      <c r="AP36" s="528">
        <f>IF(M36="","",DEGREES(ATAN2(AK36,AL36)))</f>
        <v>-20.374366440482248</v>
      </c>
      <c r="AQ36" s="529">
        <f t="shared" si="21"/>
        <v>0.62731783532018892</v>
      </c>
      <c r="AS36" s="946">
        <f t="shared" si="141"/>
        <v>-240.59181960650392</v>
      </c>
      <c r="AT36" s="942">
        <f t="shared" si="22"/>
        <v>-1.2704488315664151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2"/>
        <v/>
      </c>
      <c r="BA36" s="296" t="str">
        <f t="shared" si="24"/>
        <v/>
      </c>
      <c r="BB36" s="190" t="str">
        <f t="shared" si="143"/>
        <v/>
      </c>
      <c r="BC36" s="9"/>
      <c r="BD36" s="5" t="str">
        <f t="shared" si="144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5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6"/>
        <v/>
      </c>
      <c r="BP36" s="5" t="str">
        <f t="shared" si="147"/>
        <v/>
      </c>
      <c r="BQ36" s="5" t="str">
        <f t="shared" si="148"/>
        <v/>
      </c>
      <c r="BR36" s="6" t="str">
        <f t="shared" si="149"/>
        <v/>
      </c>
      <c r="BS36" s="4" t="str">
        <f t="shared" si="117"/>
        <v/>
      </c>
      <c r="BT36" s="5" t="str">
        <f t="shared" si="117"/>
        <v/>
      </c>
      <c r="BU36" s="10" t="str">
        <f t="shared" si="118"/>
        <v/>
      </c>
      <c r="BV36" s="9" t="str">
        <f t="shared" si="119"/>
        <v/>
      </c>
      <c r="BW36" s="5" t="str">
        <f t="shared" si="120"/>
        <v/>
      </c>
      <c r="BX36" s="8" t="str">
        <f t="shared" si="121"/>
        <v/>
      </c>
      <c r="BY36" s="173" t="str">
        <f t="shared" si="122"/>
        <v/>
      </c>
      <c r="BZ36" s="5" t="str">
        <f t="shared" si="123"/>
        <v/>
      </c>
      <c r="CA36" s="6" t="str">
        <f t="shared" si="124"/>
        <v/>
      </c>
      <c r="CB36" s="4" t="str">
        <f t="shared" si="150"/>
        <v/>
      </c>
      <c r="CC36" s="5" t="str">
        <f t="shared" si="151"/>
        <v/>
      </c>
      <c r="CD36" s="5" t="str">
        <f t="shared" si="152"/>
        <v/>
      </c>
      <c r="CE36" s="6" t="str">
        <f t="shared" si="153"/>
        <v/>
      </c>
      <c r="CF36" s="4" t="str">
        <f t="shared" si="154"/>
        <v/>
      </c>
      <c r="CG36" s="5" t="str">
        <f t="shared" si="155"/>
        <v/>
      </c>
      <c r="CH36" s="5" t="str">
        <f t="shared" si="156"/>
        <v/>
      </c>
      <c r="CI36" s="4" t="str">
        <f t="shared" si="125"/>
        <v/>
      </c>
      <c r="CJ36" s="5" t="str">
        <f t="shared" si="126"/>
        <v/>
      </c>
      <c r="CK36" s="8" t="str">
        <f t="shared" si="127"/>
        <v/>
      </c>
      <c r="CL36" s="173" t="str">
        <f t="shared" si="128"/>
        <v/>
      </c>
      <c r="CM36" s="5" t="str">
        <f t="shared" si="129"/>
        <v/>
      </c>
      <c r="CN36" s="6" t="str">
        <f t="shared" si="130"/>
        <v/>
      </c>
      <c r="CO36" s="167" t="str">
        <f t="shared" si="34"/>
        <v/>
      </c>
      <c r="CP36" s="4" t="str">
        <f t="shared" si="238"/>
        <v/>
      </c>
      <c r="CQ36" s="5" t="str">
        <f t="shared" si="239"/>
        <v/>
      </c>
      <c r="CR36" s="5" t="str">
        <f t="shared" si="157"/>
        <v/>
      </c>
      <c r="CS36" s="8" t="str">
        <f t="shared" si="158"/>
        <v/>
      </c>
      <c r="CT36" s="9" t="str">
        <f t="shared" si="159"/>
        <v/>
      </c>
      <c r="CU36" s="6" t="str">
        <f t="shared" si="160"/>
        <v/>
      </c>
      <c r="CV36" s="4" t="str">
        <f t="shared" si="240"/>
        <v/>
      </c>
      <c r="CW36" s="5" t="str">
        <f t="shared" si="161"/>
        <v/>
      </c>
      <c r="CX36" s="8" t="str">
        <f t="shared" si="162"/>
        <v/>
      </c>
      <c r="CY36" s="9" t="str">
        <f t="shared" si="163"/>
        <v/>
      </c>
      <c r="CZ36" s="5" t="str">
        <f t="shared" si="164"/>
        <v/>
      </c>
      <c r="DA36" s="6" t="str">
        <f t="shared" si="165"/>
        <v/>
      </c>
      <c r="DB36" s="4" t="str">
        <f t="shared" si="166"/>
        <v/>
      </c>
      <c r="DC36" s="5" t="str">
        <f t="shared" si="166"/>
        <v/>
      </c>
      <c r="DD36" s="10" t="str">
        <f t="shared" si="167"/>
        <v/>
      </c>
      <c r="DE36" s="9" t="str">
        <f t="shared" si="168"/>
        <v/>
      </c>
      <c r="DF36" s="5" t="str">
        <f t="shared" si="168"/>
        <v/>
      </c>
      <c r="DG36" s="10" t="str">
        <f t="shared" si="169"/>
        <v/>
      </c>
      <c r="DH36" s="70" t="str">
        <f t="shared" si="170"/>
        <v/>
      </c>
      <c r="DI36" s="4" t="str">
        <f t="shared" si="171"/>
        <v/>
      </c>
      <c r="DJ36" s="5" t="str">
        <f t="shared" si="172"/>
        <v/>
      </c>
      <c r="DK36" s="10" t="str">
        <f t="shared" si="173"/>
        <v/>
      </c>
      <c r="DL36" s="9" t="str">
        <f t="shared" si="174"/>
        <v/>
      </c>
      <c r="DM36" s="173" t="str">
        <f t="shared" si="175"/>
        <v/>
      </c>
      <c r="DN36" s="178" t="str">
        <f t="shared" si="176"/>
        <v/>
      </c>
      <c r="DO36" s="9" t="str">
        <f t="shared" si="177"/>
        <v/>
      </c>
      <c r="DP36" s="173" t="str">
        <f t="shared" si="178"/>
        <v/>
      </c>
      <c r="DQ36" s="11" t="str">
        <f t="shared" si="179"/>
        <v/>
      </c>
      <c r="DR36" s="173" t="str">
        <f t="shared" si="180"/>
        <v/>
      </c>
      <c r="DS36" s="5" t="str">
        <f t="shared" si="181"/>
        <v/>
      </c>
      <c r="DT36" s="5" t="str">
        <f t="shared" si="182"/>
        <v/>
      </c>
      <c r="DU36" s="5" t="str">
        <f t="shared" si="183"/>
        <v/>
      </c>
      <c r="DV36" s="5" t="str">
        <f t="shared" si="184"/>
        <v/>
      </c>
      <c r="DW36" s="5" t="str">
        <f t="shared" si="185"/>
        <v/>
      </c>
      <c r="DX36" s="167" t="str">
        <f t="shared" si="186"/>
        <v/>
      </c>
      <c r="DY36" s="9" t="str">
        <f t="shared" si="187"/>
        <v/>
      </c>
      <c r="DZ36" s="5" t="str">
        <f t="shared" si="188"/>
        <v/>
      </c>
      <c r="EA36" s="10" t="str">
        <f t="shared" si="189"/>
        <v/>
      </c>
      <c r="EB36" s="6" t="str">
        <f t="shared" si="190"/>
        <v/>
      </c>
      <c r="EC36" s="173" t="str">
        <f t="shared" si="191"/>
        <v/>
      </c>
      <c r="ED36" s="5" t="str">
        <f t="shared" si="192"/>
        <v/>
      </c>
      <c r="EE36" s="4" t="str">
        <f t="shared" si="193"/>
        <v/>
      </c>
      <c r="EF36" s="5" t="str">
        <f t="shared" si="194"/>
        <v/>
      </c>
      <c r="EG36" s="10" t="str">
        <f t="shared" si="195"/>
        <v/>
      </c>
      <c r="EH36" s="9" t="str">
        <f t="shared" si="196"/>
        <v/>
      </c>
      <c r="EI36" s="5" t="str">
        <f t="shared" si="197"/>
        <v/>
      </c>
      <c r="EJ36" s="6" t="str">
        <f t="shared" si="198"/>
        <v/>
      </c>
      <c r="EK36" s="236" t="str">
        <f t="shared" si="199"/>
        <v/>
      </c>
      <c r="EL36" s="238" t="str">
        <f t="shared" si="200"/>
        <v/>
      </c>
      <c r="EM36" s="4" t="str">
        <f t="shared" si="201"/>
        <v/>
      </c>
      <c r="EN36" s="5" t="str">
        <f t="shared" si="202"/>
        <v/>
      </c>
      <c r="EO36" s="10" t="str">
        <f t="shared" si="203"/>
        <v/>
      </c>
      <c r="EP36" s="9" t="str">
        <f t="shared" si="204"/>
        <v/>
      </c>
      <c r="EQ36" s="5" t="str">
        <f t="shared" si="205"/>
        <v/>
      </c>
      <c r="ER36" s="7" t="str">
        <f t="shared" si="206"/>
        <v/>
      </c>
      <c r="ES36" s="21" t="str">
        <f t="shared" si="131"/>
        <v/>
      </c>
      <c r="ET36" s="5" t="str">
        <f t="shared" si="43"/>
        <v/>
      </c>
      <c r="EU36" s="10" t="str">
        <f t="shared" si="44"/>
        <v/>
      </c>
      <c r="EV36" s="174" t="str">
        <f t="shared" si="250"/>
        <v/>
      </c>
      <c r="EW36" s="9" t="str">
        <f t="shared" si="132"/>
        <v/>
      </c>
      <c r="EX36" s="5" t="str">
        <f t="shared" si="45"/>
        <v/>
      </c>
      <c r="EY36" s="6" t="str">
        <f t="shared" si="207"/>
        <v/>
      </c>
      <c r="EZ36" s="51" t="str">
        <f t="shared" si="208"/>
        <v/>
      </c>
      <c r="FA36" s="266" t="str">
        <f t="shared" si="133"/>
        <v/>
      </c>
      <c r="FB36" s="267" t="str">
        <f t="shared" si="134"/>
        <v/>
      </c>
      <c r="FC36" s="269" t="str">
        <f t="shared" si="46"/>
        <v/>
      </c>
      <c r="FD36" s="4" t="str">
        <f t="shared" si="135"/>
        <v/>
      </c>
      <c r="FE36" s="5" t="str">
        <f t="shared" si="47"/>
        <v/>
      </c>
      <c r="FF36" s="7" t="str">
        <f t="shared" si="209"/>
        <v/>
      </c>
      <c r="FG36" s="173" t="str">
        <f t="shared" si="210"/>
        <v/>
      </c>
      <c r="FH36" s="5" t="str">
        <f t="shared" si="48"/>
        <v/>
      </c>
      <c r="FI36" s="10" t="str">
        <f t="shared" si="49"/>
        <v/>
      </c>
      <c r="FJ36" s="279" t="str">
        <f t="shared" si="211"/>
        <v/>
      </c>
      <c r="FK36" s="4" t="str">
        <f t="shared" si="50"/>
        <v/>
      </c>
      <c r="FL36" s="5" t="str">
        <f t="shared" si="212"/>
        <v/>
      </c>
      <c r="FM36" s="8" t="str">
        <f t="shared" si="213"/>
        <v/>
      </c>
      <c r="FN36" s="9" t="str">
        <f t="shared" si="214"/>
        <v/>
      </c>
      <c r="FO36" s="10" t="str">
        <f t="shared" si="51"/>
        <v/>
      </c>
      <c r="FP36" s="277" t="str">
        <f t="shared" si="52"/>
        <v/>
      </c>
      <c r="FQ36" s="173" t="str">
        <f t="shared" si="241"/>
        <v/>
      </c>
      <c r="FR36" s="10" t="str">
        <f t="shared" si="215"/>
        <v/>
      </c>
      <c r="FS36" s="9" t="str">
        <f t="shared" si="216"/>
        <v/>
      </c>
      <c r="FT36" s="6" t="str">
        <f t="shared" si="217"/>
        <v/>
      </c>
      <c r="FU36" s="4" t="str">
        <f t="shared" si="218"/>
        <v/>
      </c>
      <c r="FV36" s="5" t="str">
        <f t="shared" si="219"/>
        <v/>
      </c>
      <c r="FW36" s="8" t="str">
        <f t="shared" si="242"/>
        <v/>
      </c>
      <c r="FX36" s="9" t="str">
        <f t="shared" si="243"/>
        <v/>
      </c>
      <c r="FY36" s="10" t="str">
        <f t="shared" si="53"/>
        <v/>
      </c>
      <c r="FZ36" s="277" t="str">
        <f t="shared" si="244"/>
        <v/>
      </c>
      <c r="GA36" s="177" t="str">
        <f t="shared" si="220"/>
        <v/>
      </c>
      <c r="GB36" s="4" t="str">
        <f t="shared" si="221"/>
        <v/>
      </c>
      <c r="GC36" s="5" t="str">
        <f t="shared" si="222"/>
        <v/>
      </c>
      <c r="GD36" s="10" t="str">
        <f t="shared" si="223"/>
        <v/>
      </c>
      <c r="GE36" s="311" t="str">
        <f t="shared" si="224"/>
        <v/>
      </c>
      <c r="GF36" s="341" t="str">
        <f t="shared" si="245"/>
        <v/>
      </c>
      <c r="GG36" s="285" t="str">
        <f t="shared" si="54"/>
        <v/>
      </c>
      <c r="GH36" s="286" t="str">
        <f t="shared" si="55"/>
        <v/>
      </c>
      <c r="GI36" s="281" t="str">
        <f t="shared" si="56"/>
        <v/>
      </c>
      <c r="GJ36" s="167" t="str">
        <f t="shared" si="225"/>
        <v/>
      </c>
      <c r="GK36" s="174" t="str">
        <f t="shared" si="57"/>
        <v/>
      </c>
      <c r="GL36" s="174" t="str">
        <f t="shared" si="226"/>
        <v/>
      </c>
      <c r="GM36" s="177" t="str">
        <f t="shared" si="246"/>
        <v/>
      </c>
      <c r="GN36" s="280" t="str">
        <f t="shared" si="227"/>
        <v/>
      </c>
      <c r="GO36" s="4" t="str">
        <f t="shared" si="228"/>
        <v/>
      </c>
      <c r="GP36" s="8" t="str">
        <f t="shared" si="247"/>
        <v/>
      </c>
      <c r="GQ36" s="177" t="str">
        <f t="shared" si="229"/>
        <v/>
      </c>
      <c r="GR36" s="371" t="str">
        <f t="shared" si="248"/>
        <v/>
      </c>
      <c r="GS36" s="342" t="str">
        <f t="shared" si="59"/>
        <v/>
      </c>
      <c r="GT36" s="343" t="str">
        <f t="shared" si="60"/>
        <v/>
      </c>
      <c r="GU36" s="344" t="str">
        <f t="shared" si="61"/>
        <v/>
      </c>
      <c r="GV36" s="343" t="str">
        <f t="shared" si="251"/>
        <v/>
      </c>
      <c r="GW36" s="345" t="str">
        <f t="shared" si="62"/>
        <v/>
      </c>
      <c r="GX36" s="346" t="str">
        <f t="shared" si="63"/>
        <v/>
      </c>
      <c r="GY36" s="344" t="str">
        <f t="shared" si="64"/>
        <v/>
      </c>
      <c r="GZ36" s="345" t="str">
        <f t="shared" si="65"/>
        <v/>
      </c>
      <c r="HA36" s="342" t="str">
        <f t="shared" si="66"/>
        <v/>
      </c>
      <c r="HB36" s="5" t="str">
        <f t="shared" si="230"/>
        <v/>
      </c>
      <c r="HC36" s="343" t="str">
        <f t="shared" si="231"/>
        <v/>
      </c>
      <c r="HD36" s="363" t="str">
        <f t="shared" si="232"/>
        <v/>
      </c>
      <c r="HE36" s="344" t="str">
        <f t="shared" si="67"/>
        <v/>
      </c>
      <c r="HF36" s="5" t="str">
        <f t="shared" si="68"/>
        <v/>
      </c>
      <c r="HG36" s="343" t="str">
        <f t="shared" si="233"/>
        <v/>
      </c>
      <c r="HH36" s="349" t="str">
        <f t="shared" si="234"/>
        <v/>
      </c>
      <c r="HI36" s="317" t="str">
        <f t="shared" si="69"/>
        <v/>
      </c>
      <c r="HJ36" s="336"/>
      <c r="HK36" s="310" t="str">
        <f t="shared" si="136"/>
        <v/>
      </c>
      <c r="HL36" s="348" t="str">
        <f t="shared" si="70"/>
        <v/>
      </c>
      <c r="HM36" s="923" t="str">
        <f t="shared" si="71"/>
        <v/>
      </c>
      <c r="HN36" s="924" t="str">
        <f t="shared" si="72"/>
        <v/>
      </c>
      <c r="HO36" s="925"/>
      <c r="HP36" s="926"/>
      <c r="HQ36" s="924" t="str">
        <f t="shared" si="73"/>
        <v/>
      </c>
      <c r="HR36" s="927" t="str">
        <f t="shared" si="74"/>
        <v/>
      </c>
      <c r="HS36" s="879" t="str">
        <f t="shared" si="249"/>
        <v/>
      </c>
      <c r="HT36" s="889" t="str">
        <f t="shared" si="75"/>
        <v/>
      </c>
      <c r="HU36" s="890" t="str">
        <f t="shared" si="76"/>
        <v/>
      </c>
      <c r="HV36" s="886" t="str">
        <f t="shared" si="77"/>
        <v/>
      </c>
      <c r="HW36" s="880" t="str">
        <f t="shared" si="78"/>
        <v/>
      </c>
      <c r="HX36" s="881" t="str">
        <f t="shared" si="79"/>
        <v/>
      </c>
      <c r="HY36" s="880" t="str">
        <f t="shared" si="80"/>
        <v/>
      </c>
      <c r="HZ36" s="882" t="str">
        <f t="shared" si="81"/>
        <v/>
      </c>
      <c r="IA36" s="883" t="str">
        <f t="shared" si="82"/>
        <v/>
      </c>
      <c r="IB36" s="884" t="str">
        <f t="shared" si="83"/>
        <v/>
      </c>
      <c r="IC36" s="855" t="str">
        <f t="shared" si="84"/>
        <v/>
      </c>
      <c r="ID36" s="351" t="str">
        <f t="shared" si="85"/>
        <v/>
      </c>
      <c r="IE36" s="857" t="str">
        <f t="shared" si="86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5"/>
        <v>5.117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7"/>
        <v>1613</v>
      </c>
      <c r="IM36" s="482" t="str">
        <f t="shared" si="236"/>
        <v/>
      </c>
      <c r="IN36" s="670" t="str">
        <f t="shared" si="89"/>
        <v/>
      </c>
      <c r="IO36" s="702"/>
      <c r="IP36" s="5" t="str">
        <f t="shared" si="90"/>
        <v/>
      </c>
      <c r="IQ36" s="714"/>
      <c r="IR36" s="9" t="str">
        <f t="shared" si="137"/>
        <v/>
      </c>
      <c r="IS36" s="5" t="str">
        <f t="shared" si="91"/>
        <v/>
      </c>
      <c r="IT36" s="5" t="str">
        <f t="shared" si="92"/>
        <v/>
      </c>
      <c r="IU36" s="5" t="str">
        <f t="shared" si="93"/>
        <v/>
      </c>
      <c r="IV36" s="670" t="str">
        <f t="shared" si="94"/>
        <v/>
      </c>
      <c r="IW36" s="9" t="str">
        <f t="shared" si="95"/>
        <v/>
      </c>
      <c r="IX36" s="5" t="str">
        <f t="shared" si="96"/>
        <v/>
      </c>
      <c r="IY36" s="5" t="str">
        <f t="shared" si="97"/>
        <v/>
      </c>
      <c r="IZ36" s="5" t="str">
        <f t="shared" si="98"/>
        <v/>
      </c>
      <c r="JA36" s="705" t="str">
        <f t="shared" si="99"/>
        <v/>
      </c>
    </row>
    <row r="37" spans="1:269" ht="15" customHeight="1" x14ac:dyDescent="0.25">
      <c r="A37" s="75">
        <f t="shared" si="1"/>
        <v>0</v>
      </c>
      <c r="B37" s="578">
        <f t="shared" si="2"/>
        <v>-3.3081594560296739</v>
      </c>
      <c r="C37" s="572">
        <f t="shared" si="3"/>
        <v>-1.7974125231310167</v>
      </c>
      <c r="D37" s="576">
        <f t="shared" si="4"/>
        <v>-2.0998000000000001</v>
      </c>
      <c r="E37" s="580">
        <f t="shared" si="5"/>
        <v>-1.930259139240742E-2</v>
      </c>
      <c r="F37" s="572">
        <f t="shared" si="6"/>
        <v>-0.99791532190822962</v>
      </c>
      <c r="G37" s="579">
        <f t="shared" si="7"/>
        <v>6.1582629582798941E-2</v>
      </c>
      <c r="H37" s="580">
        <f t="shared" si="8"/>
        <v>0.26450000000000001</v>
      </c>
      <c r="I37" s="572">
        <f t="shared" si="9"/>
        <v>0.52</v>
      </c>
      <c r="J37" s="483">
        <f t="shared" si="10"/>
        <v>5.12</v>
      </c>
      <c r="K37" s="806">
        <f t="shared" si="11"/>
        <v>1313</v>
      </c>
      <c r="L37" s="309"/>
      <c r="M37" s="164">
        <f t="shared" si="12"/>
        <v>5.12</v>
      </c>
      <c r="N37" s="575">
        <f t="shared" si="13"/>
        <v>-3.3081594560296739</v>
      </c>
      <c r="O37" s="572">
        <f t="shared" si="14"/>
        <v>-1.7974125231310167</v>
      </c>
      <c r="P37" s="576">
        <f t="shared" si="15"/>
        <v>-2.0998000000000001</v>
      </c>
      <c r="Q37" s="528">
        <f t="shared" si="138"/>
        <v>208.51643000178476</v>
      </c>
      <c r="R37" s="572">
        <f t="shared" si="100"/>
        <v>3.7649184273801675</v>
      </c>
      <c r="S37" s="577">
        <f t="shared" si="101"/>
        <v>-2.0998000000000001</v>
      </c>
      <c r="T37" s="578">
        <f t="shared" si="102"/>
        <v>-1.8318567531829322</v>
      </c>
      <c r="U37" s="572">
        <f t="shared" si="103"/>
        <v>3.2892113949463386</v>
      </c>
      <c r="V37" s="579">
        <f t="shared" si="139"/>
        <v>-2.0998000000000001</v>
      </c>
      <c r="W37" s="528">
        <f t="shared" si="252"/>
        <v>119.11469592444918</v>
      </c>
      <c r="X37" s="572">
        <f t="shared" si="104"/>
        <v>3.7649184273801675</v>
      </c>
      <c r="Y37" s="573">
        <f t="shared" si="253"/>
        <v>-2.0998000000000001</v>
      </c>
      <c r="Z37" s="575">
        <f t="shared" si="18"/>
        <v>1.930259139240742E-2</v>
      </c>
      <c r="AA37" s="572">
        <f t="shared" si="19"/>
        <v>0.99791532190822962</v>
      </c>
      <c r="AB37" s="572">
        <f t="shared" si="20"/>
        <v>-6.1582629582798941E-2</v>
      </c>
      <c r="AC37" s="579">
        <f t="shared" si="105"/>
        <v>1</v>
      </c>
      <c r="AD37" s="580">
        <f t="shared" si="140"/>
        <v>1.930259139240742E-2</v>
      </c>
      <c r="AE37" s="572">
        <f t="shared" si="106"/>
        <v>0.99791532190822962</v>
      </c>
      <c r="AF37" s="576">
        <f t="shared" si="107"/>
        <v>-6.1582629582798941E-2</v>
      </c>
      <c r="AG37" s="545">
        <f t="shared" si="108"/>
        <v>86.468682445053972</v>
      </c>
      <c r="AH37" s="546">
        <f t="shared" si="109"/>
        <v>88.893974289937944</v>
      </c>
      <c r="AI37" s="528">
        <f t="shared" si="110"/>
        <v>-86.469341207320554</v>
      </c>
      <c r="AJ37" s="529">
        <f t="shared" si="111"/>
        <v>178.89187078657054</v>
      </c>
      <c r="AK37" s="578">
        <f t="shared" si="237"/>
        <v>0.86763321755766831</v>
      </c>
      <c r="AL37" s="572">
        <f t="shared" si="112"/>
        <v>-0.49337630620470174</v>
      </c>
      <c r="AM37" s="577">
        <f t="shared" si="113"/>
        <v>-6.1582629582798941E-2</v>
      </c>
      <c r="AN37" s="524">
        <f t="shared" si="114"/>
        <v>-82.88520716961051</v>
      </c>
      <c r="AO37" s="525">
        <f t="shared" si="115"/>
        <v>29.815241834246212</v>
      </c>
      <c r="AP37" s="528">
        <f t="shared" si="116"/>
        <v>-29.624559215214205</v>
      </c>
      <c r="AQ37" s="529">
        <f t="shared" si="21"/>
        <v>0.60549565904153491</v>
      </c>
      <c r="AS37" s="946">
        <f t="shared" si="141"/>
        <v>-240.88530407555083</v>
      </c>
      <c r="AT37" s="942">
        <f t="shared" si="22"/>
        <v>-1.9282450229073553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2"/>
        <v/>
      </c>
      <c r="BA37" s="296" t="str">
        <f t="shared" si="24"/>
        <v/>
      </c>
      <c r="BB37" s="177" t="str">
        <f t="shared" si="143"/>
        <v/>
      </c>
      <c r="BC37" s="9"/>
      <c r="BD37" s="5" t="str">
        <f t="shared" si="144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5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6"/>
        <v/>
      </c>
      <c r="BP37" s="5" t="str">
        <f t="shared" si="147"/>
        <v/>
      </c>
      <c r="BQ37" s="5" t="str">
        <f t="shared" si="148"/>
        <v/>
      </c>
      <c r="BR37" s="6" t="str">
        <f t="shared" si="149"/>
        <v/>
      </c>
      <c r="BS37" s="4" t="str">
        <f t="shared" si="117"/>
        <v/>
      </c>
      <c r="BT37" s="5" t="str">
        <f t="shared" si="117"/>
        <v/>
      </c>
      <c r="BU37" s="10" t="str">
        <f t="shared" si="118"/>
        <v/>
      </c>
      <c r="BV37" s="9" t="str">
        <f t="shared" si="119"/>
        <v/>
      </c>
      <c r="BW37" s="5" t="str">
        <f t="shared" si="120"/>
        <v/>
      </c>
      <c r="BX37" s="8" t="str">
        <f t="shared" si="121"/>
        <v/>
      </c>
      <c r="BY37" s="173" t="str">
        <f t="shared" si="122"/>
        <v/>
      </c>
      <c r="BZ37" s="5" t="str">
        <f t="shared" si="123"/>
        <v/>
      </c>
      <c r="CA37" s="6" t="str">
        <f t="shared" si="124"/>
        <v/>
      </c>
      <c r="CB37" s="4" t="str">
        <f t="shared" si="150"/>
        <v/>
      </c>
      <c r="CC37" s="5" t="str">
        <f t="shared" si="151"/>
        <v/>
      </c>
      <c r="CD37" s="5" t="str">
        <f t="shared" si="152"/>
        <v/>
      </c>
      <c r="CE37" s="6" t="str">
        <f t="shared" si="153"/>
        <v/>
      </c>
      <c r="CF37" s="4" t="str">
        <f t="shared" si="154"/>
        <v/>
      </c>
      <c r="CG37" s="5" t="str">
        <f t="shared" si="155"/>
        <v/>
      </c>
      <c r="CH37" s="5" t="str">
        <f t="shared" si="156"/>
        <v/>
      </c>
      <c r="CI37" s="4" t="str">
        <f t="shared" si="125"/>
        <v/>
      </c>
      <c r="CJ37" s="5" t="str">
        <f t="shared" si="126"/>
        <v/>
      </c>
      <c r="CK37" s="8" t="str">
        <f t="shared" si="127"/>
        <v/>
      </c>
      <c r="CL37" s="173" t="str">
        <f t="shared" si="128"/>
        <v/>
      </c>
      <c r="CM37" s="5" t="str">
        <f t="shared" si="129"/>
        <v/>
      </c>
      <c r="CN37" s="6" t="str">
        <f t="shared" si="130"/>
        <v/>
      </c>
      <c r="CO37" s="167" t="str">
        <f t="shared" si="34"/>
        <v/>
      </c>
      <c r="CP37" s="4" t="str">
        <f t="shared" si="238"/>
        <v/>
      </c>
      <c r="CQ37" s="5" t="str">
        <f t="shared" si="239"/>
        <v/>
      </c>
      <c r="CR37" s="5" t="str">
        <f t="shared" si="157"/>
        <v/>
      </c>
      <c r="CS37" s="8" t="str">
        <f t="shared" si="158"/>
        <v/>
      </c>
      <c r="CT37" s="9" t="str">
        <f t="shared" si="159"/>
        <v/>
      </c>
      <c r="CU37" s="6" t="str">
        <f t="shared" si="160"/>
        <v/>
      </c>
      <c r="CV37" s="4" t="str">
        <f t="shared" si="240"/>
        <v/>
      </c>
      <c r="CW37" s="5" t="str">
        <f t="shared" si="161"/>
        <v/>
      </c>
      <c r="CX37" s="8" t="str">
        <f t="shared" si="162"/>
        <v/>
      </c>
      <c r="CY37" s="9" t="str">
        <f t="shared" si="163"/>
        <v/>
      </c>
      <c r="CZ37" s="5" t="str">
        <f t="shared" si="164"/>
        <v/>
      </c>
      <c r="DA37" s="6" t="str">
        <f t="shared" si="165"/>
        <v/>
      </c>
      <c r="DB37" s="4" t="str">
        <f t="shared" si="166"/>
        <v/>
      </c>
      <c r="DC37" s="5" t="str">
        <f t="shared" si="166"/>
        <v/>
      </c>
      <c r="DD37" s="10" t="str">
        <f t="shared" si="167"/>
        <v/>
      </c>
      <c r="DE37" s="9" t="str">
        <f t="shared" si="168"/>
        <v/>
      </c>
      <c r="DF37" s="5" t="str">
        <f t="shared" si="168"/>
        <v/>
      </c>
      <c r="DG37" s="10" t="str">
        <f t="shared" si="169"/>
        <v/>
      </c>
      <c r="DH37" s="70" t="str">
        <f t="shared" si="170"/>
        <v/>
      </c>
      <c r="DI37" s="4" t="str">
        <f t="shared" si="171"/>
        <v/>
      </c>
      <c r="DJ37" s="5" t="str">
        <f t="shared" si="172"/>
        <v/>
      </c>
      <c r="DK37" s="10" t="str">
        <f t="shared" si="173"/>
        <v/>
      </c>
      <c r="DL37" s="9" t="str">
        <f t="shared" si="174"/>
        <v/>
      </c>
      <c r="DM37" s="173" t="str">
        <f t="shared" si="175"/>
        <v/>
      </c>
      <c r="DN37" s="178" t="str">
        <f t="shared" si="176"/>
        <v/>
      </c>
      <c r="DO37" s="9" t="str">
        <f t="shared" si="177"/>
        <v/>
      </c>
      <c r="DP37" s="173" t="str">
        <f t="shared" si="178"/>
        <v/>
      </c>
      <c r="DQ37" s="11" t="str">
        <f t="shared" si="179"/>
        <v/>
      </c>
      <c r="DR37" s="173" t="str">
        <f t="shared" si="180"/>
        <v/>
      </c>
      <c r="DS37" s="5" t="str">
        <f t="shared" si="181"/>
        <v/>
      </c>
      <c r="DT37" s="5" t="str">
        <f t="shared" si="182"/>
        <v/>
      </c>
      <c r="DU37" s="5" t="str">
        <f t="shared" si="183"/>
        <v/>
      </c>
      <c r="DV37" s="5" t="str">
        <f t="shared" si="184"/>
        <v/>
      </c>
      <c r="DW37" s="5" t="str">
        <f t="shared" si="185"/>
        <v/>
      </c>
      <c r="DX37" s="167" t="str">
        <f t="shared" si="186"/>
        <v/>
      </c>
      <c r="DY37" s="9" t="str">
        <f t="shared" si="187"/>
        <v/>
      </c>
      <c r="DZ37" s="5" t="str">
        <f t="shared" si="188"/>
        <v/>
      </c>
      <c r="EA37" s="10" t="str">
        <f t="shared" si="189"/>
        <v/>
      </c>
      <c r="EB37" s="6" t="str">
        <f t="shared" si="190"/>
        <v/>
      </c>
      <c r="EC37" s="173" t="str">
        <f t="shared" si="191"/>
        <v/>
      </c>
      <c r="ED37" s="5" t="str">
        <f t="shared" si="192"/>
        <v/>
      </c>
      <c r="EE37" s="4" t="str">
        <f t="shared" si="193"/>
        <v/>
      </c>
      <c r="EF37" s="5" t="str">
        <f t="shared" si="194"/>
        <v/>
      </c>
      <c r="EG37" s="10" t="str">
        <f t="shared" si="195"/>
        <v/>
      </c>
      <c r="EH37" s="9" t="str">
        <f t="shared" si="196"/>
        <v/>
      </c>
      <c r="EI37" s="5" t="str">
        <f t="shared" si="197"/>
        <v/>
      </c>
      <c r="EJ37" s="6" t="str">
        <f t="shared" si="198"/>
        <v/>
      </c>
      <c r="EK37" s="236" t="str">
        <f t="shared" si="199"/>
        <v/>
      </c>
      <c r="EL37" s="238" t="str">
        <f t="shared" si="200"/>
        <v/>
      </c>
      <c r="EM37" s="4" t="str">
        <f t="shared" si="201"/>
        <v/>
      </c>
      <c r="EN37" s="5" t="str">
        <f t="shared" si="202"/>
        <v/>
      </c>
      <c r="EO37" s="10" t="str">
        <f t="shared" si="203"/>
        <v/>
      </c>
      <c r="EP37" s="9" t="str">
        <f t="shared" si="204"/>
        <v/>
      </c>
      <c r="EQ37" s="5" t="str">
        <f t="shared" si="205"/>
        <v/>
      </c>
      <c r="ER37" s="7" t="str">
        <f t="shared" si="206"/>
        <v/>
      </c>
      <c r="ES37" s="21" t="str">
        <f t="shared" si="131"/>
        <v/>
      </c>
      <c r="ET37" s="5" t="str">
        <f t="shared" si="43"/>
        <v/>
      </c>
      <c r="EU37" s="10" t="str">
        <f t="shared" si="44"/>
        <v/>
      </c>
      <c r="EV37" s="174" t="str">
        <f t="shared" si="250"/>
        <v/>
      </c>
      <c r="EW37" s="9" t="str">
        <f t="shared" si="132"/>
        <v/>
      </c>
      <c r="EX37" s="5" t="str">
        <f t="shared" si="45"/>
        <v/>
      </c>
      <c r="EY37" s="6" t="str">
        <f t="shared" si="207"/>
        <v/>
      </c>
      <c r="EZ37" s="51" t="str">
        <f t="shared" si="208"/>
        <v/>
      </c>
      <c r="FA37" s="266" t="str">
        <f t="shared" si="133"/>
        <v/>
      </c>
      <c r="FB37" s="267" t="str">
        <f t="shared" si="134"/>
        <v/>
      </c>
      <c r="FC37" s="269" t="str">
        <f t="shared" si="46"/>
        <v/>
      </c>
      <c r="FD37" s="4" t="str">
        <f t="shared" si="135"/>
        <v/>
      </c>
      <c r="FE37" s="5" t="str">
        <f t="shared" si="47"/>
        <v/>
      </c>
      <c r="FF37" s="7" t="str">
        <f t="shared" si="209"/>
        <v/>
      </c>
      <c r="FG37" s="173" t="str">
        <f t="shared" si="210"/>
        <v/>
      </c>
      <c r="FH37" s="5" t="str">
        <f t="shared" si="48"/>
        <v/>
      </c>
      <c r="FI37" s="10" t="str">
        <f t="shared" si="49"/>
        <v/>
      </c>
      <c r="FJ37" s="279" t="str">
        <f t="shared" si="211"/>
        <v/>
      </c>
      <c r="FK37" s="4" t="str">
        <f t="shared" si="50"/>
        <v/>
      </c>
      <c r="FL37" s="5" t="str">
        <f t="shared" si="212"/>
        <v/>
      </c>
      <c r="FM37" s="8" t="str">
        <f t="shared" si="213"/>
        <v/>
      </c>
      <c r="FN37" s="9" t="str">
        <f t="shared" si="214"/>
        <v/>
      </c>
      <c r="FO37" s="10" t="str">
        <f t="shared" si="51"/>
        <v/>
      </c>
      <c r="FP37" s="277" t="str">
        <f t="shared" si="52"/>
        <v/>
      </c>
      <c r="FQ37" s="173" t="str">
        <f t="shared" si="241"/>
        <v/>
      </c>
      <c r="FR37" s="10" t="str">
        <f t="shared" si="215"/>
        <v/>
      </c>
      <c r="FS37" s="9" t="str">
        <f t="shared" si="216"/>
        <v/>
      </c>
      <c r="FT37" s="6" t="str">
        <f t="shared" si="217"/>
        <v/>
      </c>
      <c r="FU37" s="4" t="str">
        <f t="shared" si="218"/>
        <v/>
      </c>
      <c r="FV37" s="5" t="str">
        <f t="shared" si="219"/>
        <v/>
      </c>
      <c r="FW37" s="8" t="str">
        <f t="shared" si="242"/>
        <v/>
      </c>
      <c r="FX37" s="9" t="str">
        <f t="shared" si="243"/>
        <v/>
      </c>
      <c r="FY37" s="10" t="str">
        <f t="shared" si="53"/>
        <v/>
      </c>
      <c r="FZ37" s="277" t="str">
        <f t="shared" si="244"/>
        <v/>
      </c>
      <c r="GA37" s="177" t="str">
        <f t="shared" si="220"/>
        <v/>
      </c>
      <c r="GB37" s="4" t="str">
        <f t="shared" si="221"/>
        <v/>
      </c>
      <c r="GC37" s="5" t="str">
        <f t="shared" si="222"/>
        <v/>
      </c>
      <c r="GD37" s="10" t="str">
        <f t="shared" si="223"/>
        <v/>
      </c>
      <c r="GE37" s="311" t="str">
        <f t="shared" si="224"/>
        <v/>
      </c>
      <c r="GF37" s="341" t="str">
        <f t="shared" si="245"/>
        <v/>
      </c>
      <c r="GG37" s="285" t="str">
        <f t="shared" si="54"/>
        <v/>
      </c>
      <c r="GH37" s="286" t="str">
        <f t="shared" si="55"/>
        <v/>
      </c>
      <c r="GI37" s="281" t="str">
        <f t="shared" si="56"/>
        <v/>
      </c>
      <c r="GJ37" s="167" t="str">
        <f t="shared" si="225"/>
        <v/>
      </c>
      <c r="GK37" s="174" t="str">
        <f t="shared" si="57"/>
        <v/>
      </c>
      <c r="GL37" s="174" t="str">
        <f t="shared" si="226"/>
        <v/>
      </c>
      <c r="GM37" s="177" t="str">
        <f t="shared" si="246"/>
        <v/>
      </c>
      <c r="GN37" s="280" t="str">
        <f t="shared" si="227"/>
        <v/>
      </c>
      <c r="GO37" s="4" t="str">
        <f t="shared" si="228"/>
        <v/>
      </c>
      <c r="GP37" s="8" t="str">
        <f t="shared" si="247"/>
        <v/>
      </c>
      <c r="GQ37" s="177" t="str">
        <f t="shared" si="229"/>
        <v/>
      </c>
      <c r="GR37" s="371" t="str">
        <f t="shared" si="248"/>
        <v/>
      </c>
      <c r="GS37" s="342" t="str">
        <f t="shared" si="59"/>
        <v/>
      </c>
      <c r="GT37" s="343" t="str">
        <f t="shared" si="60"/>
        <v/>
      </c>
      <c r="GU37" s="344" t="str">
        <f t="shared" si="61"/>
        <v/>
      </c>
      <c r="GV37" s="343" t="str">
        <f t="shared" si="251"/>
        <v/>
      </c>
      <c r="GW37" s="345" t="str">
        <f t="shared" si="62"/>
        <v/>
      </c>
      <c r="GX37" s="346" t="str">
        <f t="shared" si="63"/>
        <v/>
      </c>
      <c r="GY37" s="344" t="str">
        <f t="shared" si="64"/>
        <v/>
      </c>
      <c r="GZ37" s="345" t="str">
        <f t="shared" si="65"/>
        <v/>
      </c>
      <c r="HA37" s="342" t="str">
        <f t="shared" si="66"/>
        <v/>
      </c>
      <c r="HB37" s="5" t="str">
        <f t="shared" si="230"/>
        <v/>
      </c>
      <c r="HC37" s="343" t="str">
        <f t="shared" si="231"/>
        <v/>
      </c>
      <c r="HD37" s="363" t="str">
        <f t="shared" si="232"/>
        <v/>
      </c>
      <c r="HE37" s="344" t="str">
        <f t="shared" si="67"/>
        <v/>
      </c>
      <c r="HF37" s="5" t="str">
        <f t="shared" si="68"/>
        <v/>
      </c>
      <c r="HG37" s="343" t="str">
        <f t="shared" si="233"/>
        <v/>
      </c>
      <c r="HH37" s="349" t="str">
        <f t="shared" si="234"/>
        <v/>
      </c>
      <c r="HI37" s="317" t="str">
        <f t="shared" si="69"/>
        <v/>
      </c>
      <c r="HJ37" s="336"/>
      <c r="HK37" s="310" t="str">
        <f t="shared" si="136"/>
        <v/>
      </c>
      <c r="HL37" s="348" t="str">
        <f t="shared" si="70"/>
        <v/>
      </c>
      <c r="HM37" s="923" t="str">
        <f t="shared" si="71"/>
        <v/>
      </c>
      <c r="HN37" s="924" t="str">
        <f t="shared" si="72"/>
        <v/>
      </c>
      <c r="HO37" s="925"/>
      <c r="HP37" s="926"/>
      <c r="HQ37" s="924" t="str">
        <f t="shared" si="73"/>
        <v/>
      </c>
      <c r="HR37" s="927" t="str">
        <f t="shared" si="74"/>
        <v/>
      </c>
      <c r="HS37" s="879" t="str">
        <f t="shared" si="249"/>
        <v/>
      </c>
      <c r="HT37" s="889" t="str">
        <f t="shared" si="75"/>
        <v/>
      </c>
      <c r="HU37" s="890" t="str">
        <f t="shared" si="76"/>
        <v/>
      </c>
      <c r="HV37" s="886" t="str">
        <f t="shared" si="77"/>
        <v/>
      </c>
      <c r="HW37" s="880" t="str">
        <f t="shared" si="78"/>
        <v/>
      </c>
      <c r="HX37" s="881" t="str">
        <f t="shared" si="79"/>
        <v/>
      </c>
      <c r="HY37" s="880" t="str">
        <f t="shared" si="80"/>
        <v/>
      </c>
      <c r="HZ37" s="882" t="str">
        <f t="shared" si="81"/>
        <v/>
      </c>
      <c r="IA37" s="883" t="str">
        <f t="shared" si="82"/>
        <v/>
      </c>
      <c r="IB37" s="884" t="str">
        <f t="shared" si="83"/>
        <v/>
      </c>
      <c r="IC37" s="855" t="str">
        <f t="shared" si="84"/>
        <v/>
      </c>
      <c r="ID37" s="351" t="str">
        <f t="shared" si="85"/>
        <v/>
      </c>
      <c r="IE37" s="857" t="str">
        <f t="shared" si="86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5"/>
        <v>5.12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7"/>
        <v>1313</v>
      </c>
      <c r="IM37" s="482" t="str">
        <f t="shared" si="236"/>
        <v/>
      </c>
      <c r="IN37" s="670" t="str">
        <f t="shared" si="89"/>
        <v/>
      </c>
      <c r="IO37" s="702"/>
      <c r="IP37" s="5" t="str">
        <f t="shared" si="90"/>
        <v/>
      </c>
      <c r="IQ37" s="714"/>
      <c r="IR37" s="9" t="str">
        <f t="shared" si="137"/>
        <v/>
      </c>
      <c r="IS37" s="5" t="str">
        <f t="shared" si="91"/>
        <v/>
      </c>
      <c r="IT37" s="5" t="str">
        <f t="shared" si="92"/>
        <v/>
      </c>
      <c r="IU37" s="5" t="str">
        <f t="shared" si="93"/>
        <v/>
      </c>
      <c r="IV37" s="670" t="str">
        <f t="shared" si="94"/>
        <v/>
      </c>
      <c r="IW37" s="9" t="str">
        <f t="shared" si="95"/>
        <v/>
      </c>
      <c r="IX37" s="5" t="str">
        <f t="shared" si="96"/>
        <v/>
      </c>
      <c r="IY37" s="5" t="str">
        <f t="shared" si="97"/>
        <v/>
      </c>
      <c r="IZ37" s="5" t="str">
        <f t="shared" si="98"/>
        <v/>
      </c>
      <c r="JA37" s="705" t="str">
        <f t="shared" si="99"/>
        <v/>
      </c>
    </row>
    <row r="38" spans="1:269" ht="15" customHeight="1" x14ac:dyDescent="0.25">
      <c r="A38" s="75">
        <f t="shared" si="1"/>
        <v>0</v>
      </c>
      <c r="B38" s="578">
        <f t="shared" si="2"/>
        <v>-2.0895187323868982</v>
      </c>
      <c r="C38" s="572">
        <f t="shared" si="3"/>
        <v>0.94761912713016816</v>
      </c>
      <c r="D38" s="576">
        <f t="shared" si="4"/>
        <v>-0.13729999999999995</v>
      </c>
      <c r="E38" s="580">
        <f t="shared" si="5"/>
        <v>-0.45647848258653895</v>
      </c>
      <c r="F38" s="572">
        <f t="shared" si="6"/>
        <v>-0.85137226977572877</v>
      </c>
      <c r="G38" s="579">
        <f t="shared" si="7"/>
        <v>0.25844274644960463</v>
      </c>
      <c r="H38" s="580">
        <f t="shared" si="8"/>
        <v>0.3125</v>
      </c>
      <c r="I38" s="572">
        <f t="shared" si="9"/>
        <v>0.52</v>
      </c>
      <c r="J38" s="483">
        <f t="shared" si="10"/>
        <v>6.109</v>
      </c>
      <c r="K38" s="806">
        <f t="shared" si="11"/>
        <v>1613</v>
      </c>
      <c r="L38" s="309"/>
      <c r="M38" s="164">
        <f t="shared" si="12"/>
        <v>6.109</v>
      </c>
      <c r="N38" s="575">
        <f t="shared" si="13"/>
        <v>-2.0895187323868982</v>
      </c>
      <c r="O38" s="572">
        <f t="shared" si="14"/>
        <v>0.94761912713016816</v>
      </c>
      <c r="P38" s="576">
        <f t="shared" si="15"/>
        <v>-0.13729999999999995</v>
      </c>
      <c r="Q38" s="528">
        <f t="shared" si="138"/>
        <v>155.60519899208413</v>
      </c>
      <c r="R38" s="572">
        <f t="shared" si="100"/>
        <v>2.2943562371825985</v>
      </c>
      <c r="S38" s="577">
        <f t="shared" si="101"/>
        <v>-0.13729999999999995</v>
      </c>
      <c r="T38" s="578">
        <f t="shared" si="102"/>
        <v>0.92574971597397304</v>
      </c>
      <c r="U38" s="572">
        <f t="shared" si="103"/>
        <v>2.0992994084867456</v>
      </c>
      <c r="V38" s="579">
        <f t="shared" si="139"/>
        <v>-0.13729999999999995</v>
      </c>
      <c r="W38" s="528">
        <f t="shared" si="252"/>
        <v>66.203464914748551</v>
      </c>
      <c r="X38" s="572">
        <f t="shared" si="104"/>
        <v>2.2943562371825985</v>
      </c>
      <c r="Y38" s="573">
        <f t="shared" si="253"/>
        <v>-0.13729999999999995</v>
      </c>
      <c r="Z38" s="575">
        <f t="shared" si="18"/>
        <v>0.45647848258653895</v>
      </c>
      <c r="AA38" s="572">
        <f t="shared" si="19"/>
        <v>0.85137226977572877</v>
      </c>
      <c r="AB38" s="572">
        <f t="shared" si="20"/>
        <v>-0.25844274644960463</v>
      </c>
      <c r="AC38" s="579">
        <f t="shared" si="105"/>
        <v>1</v>
      </c>
      <c r="AD38" s="580">
        <f t="shared" si="140"/>
        <v>0.45647848258653895</v>
      </c>
      <c r="AE38" s="572">
        <f t="shared" si="106"/>
        <v>0.85137226977572877</v>
      </c>
      <c r="AF38" s="576">
        <f t="shared" si="107"/>
        <v>-0.25844274644960463</v>
      </c>
      <c r="AG38" s="545">
        <f t="shared" si="108"/>
        <v>73.113797328217089</v>
      </c>
      <c r="AH38" s="546">
        <f t="shared" si="109"/>
        <v>62.839897182363778</v>
      </c>
      <c r="AI38" s="528">
        <f t="shared" si="110"/>
        <v>-75.022319726244831</v>
      </c>
      <c r="AJ38" s="529">
        <f t="shared" si="111"/>
        <v>151.80121911945577</v>
      </c>
      <c r="AK38" s="578">
        <f t="shared" si="237"/>
        <v>0.96389828715927106</v>
      </c>
      <c r="AL38" s="572">
        <f t="shared" si="112"/>
        <v>-6.4089303467964653E-2</v>
      </c>
      <c r="AM38" s="577">
        <f t="shared" si="113"/>
        <v>-0.25844274644960463</v>
      </c>
      <c r="AN38" s="524">
        <f t="shared" si="114"/>
        <v>-13.927402596117105</v>
      </c>
      <c r="AO38" s="525">
        <f t="shared" si="115"/>
        <v>15.442472381298492</v>
      </c>
      <c r="AP38" s="528">
        <f t="shared" si="116"/>
        <v>-3.8039798726283642</v>
      </c>
      <c r="AQ38" s="529">
        <f t="shared" si="21"/>
        <v>0.99352406455429165</v>
      </c>
      <c r="AS38" s="946">
        <f t="shared" si="141"/>
        <v>-293.79653508525143</v>
      </c>
      <c r="AT38" s="942">
        <f t="shared" si="22"/>
        <v>7.0998887516047993E-2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2"/>
        <v/>
      </c>
      <c r="BA38" s="296" t="str">
        <f t="shared" si="24"/>
        <v/>
      </c>
      <c r="BB38" s="190" t="str">
        <f t="shared" si="143"/>
        <v/>
      </c>
      <c r="BC38" s="9"/>
      <c r="BD38" s="5" t="str">
        <f t="shared" si="144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5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6"/>
        <v/>
      </c>
      <c r="BP38" s="5" t="str">
        <f t="shared" si="147"/>
        <v/>
      </c>
      <c r="BQ38" s="5" t="str">
        <f t="shared" si="148"/>
        <v/>
      </c>
      <c r="BR38" s="6" t="str">
        <f t="shared" si="149"/>
        <v/>
      </c>
      <c r="BS38" s="4" t="str">
        <f t="shared" si="117"/>
        <v/>
      </c>
      <c r="BT38" s="5" t="str">
        <f t="shared" si="117"/>
        <v/>
      </c>
      <c r="BU38" s="10" t="str">
        <f t="shared" si="118"/>
        <v/>
      </c>
      <c r="BV38" s="9" t="str">
        <f t="shared" si="119"/>
        <v/>
      </c>
      <c r="BW38" s="5" t="str">
        <f t="shared" si="120"/>
        <v/>
      </c>
      <c r="BX38" s="8" t="str">
        <f t="shared" si="121"/>
        <v/>
      </c>
      <c r="BY38" s="173" t="str">
        <f t="shared" si="122"/>
        <v/>
      </c>
      <c r="BZ38" s="5" t="str">
        <f t="shared" si="123"/>
        <v/>
      </c>
      <c r="CA38" s="6" t="str">
        <f t="shared" si="124"/>
        <v/>
      </c>
      <c r="CB38" s="4" t="str">
        <f t="shared" si="150"/>
        <v/>
      </c>
      <c r="CC38" s="5" t="str">
        <f t="shared" si="151"/>
        <v/>
      </c>
      <c r="CD38" s="5" t="str">
        <f t="shared" si="152"/>
        <v/>
      </c>
      <c r="CE38" s="6" t="str">
        <f t="shared" si="153"/>
        <v/>
      </c>
      <c r="CF38" s="4" t="str">
        <f t="shared" si="154"/>
        <v/>
      </c>
      <c r="CG38" s="5" t="str">
        <f t="shared" si="155"/>
        <v/>
      </c>
      <c r="CH38" s="5" t="str">
        <f t="shared" si="156"/>
        <v/>
      </c>
      <c r="CI38" s="4" t="str">
        <f t="shared" si="125"/>
        <v/>
      </c>
      <c r="CJ38" s="5" t="str">
        <f t="shared" si="126"/>
        <v/>
      </c>
      <c r="CK38" s="8" t="str">
        <f t="shared" si="127"/>
        <v/>
      </c>
      <c r="CL38" s="173" t="str">
        <f t="shared" si="128"/>
        <v/>
      </c>
      <c r="CM38" s="5" t="str">
        <f t="shared" si="129"/>
        <v/>
      </c>
      <c r="CN38" s="6" t="str">
        <f t="shared" si="130"/>
        <v/>
      </c>
      <c r="CO38" s="167" t="str">
        <f t="shared" si="34"/>
        <v/>
      </c>
      <c r="CP38" s="4" t="str">
        <f t="shared" si="238"/>
        <v/>
      </c>
      <c r="CQ38" s="5" t="str">
        <f t="shared" si="239"/>
        <v/>
      </c>
      <c r="CR38" s="5" t="str">
        <f t="shared" si="157"/>
        <v/>
      </c>
      <c r="CS38" s="8" t="str">
        <f t="shared" si="158"/>
        <v/>
      </c>
      <c r="CT38" s="9" t="str">
        <f t="shared" si="159"/>
        <v/>
      </c>
      <c r="CU38" s="6" t="str">
        <f t="shared" si="160"/>
        <v/>
      </c>
      <c r="CV38" s="4" t="str">
        <f t="shared" si="240"/>
        <v/>
      </c>
      <c r="CW38" s="5" t="str">
        <f t="shared" si="161"/>
        <v/>
      </c>
      <c r="CX38" s="8" t="str">
        <f t="shared" si="162"/>
        <v/>
      </c>
      <c r="CY38" s="9" t="str">
        <f t="shared" si="163"/>
        <v/>
      </c>
      <c r="CZ38" s="5" t="str">
        <f t="shared" si="164"/>
        <v/>
      </c>
      <c r="DA38" s="6" t="str">
        <f t="shared" si="165"/>
        <v/>
      </c>
      <c r="DB38" s="4" t="str">
        <f t="shared" si="166"/>
        <v/>
      </c>
      <c r="DC38" s="5" t="str">
        <f t="shared" si="166"/>
        <v/>
      </c>
      <c r="DD38" s="10" t="str">
        <f t="shared" si="167"/>
        <v/>
      </c>
      <c r="DE38" s="9" t="str">
        <f t="shared" si="168"/>
        <v/>
      </c>
      <c r="DF38" s="5" t="str">
        <f t="shared" si="168"/>
        <v/>
      </c>
      <c r="DG38" s="10" t="str">
        <f t="shared" si="169"/>
        <v/>
      </c>
      <c r="DH38" s="70" t="str">
        <f t="shared" si="170"/>
        <v/>
      </c>
      <c r="DI38" s="4" t="str">
        <f t="shared" si="171"/>
        <v/>
      </c>
      <c r="DJ38" s="5" t="str">
        <f t="shared" si="172"/>
        <v/>
      </c>
      <c r="DK38" s="10" t="str">
        <f t="shared" si="173"/>
        <v/>
      </c>
      <c r="DL38" s="9" t="str">
        <f t="shared" si="174"/>
        <v/>
      </c>
      <c r="DM38" s="173" t="str">
        <f t="shared" si="175"/>
        <v/>
      </c>
      <c r="DN38" s="178" t="str">
        <f t="shared" si="176"/>
        <v/>
      </c>
      <c r="DO38" s="9" t="str">
        <f t="shared" si="177"/>
        <v/>
      </c>
      <c r="DP38" s="173" t="str">
        <f t="shared" si="178"/>
        <v/>
      </c>
      <c r="DQ38" s="11" t="str">
        <f t="shared" si="179"/>
        <v/>
      </c>
      <c r="DR38" s="173" t="str">
        <f t="shared" si="180"/>
        <v/>
      </c>
      <c r="DS38" s="5" t="str">
        <f t="shared" si="181"/>
        <v/>
      </c>
      <c r="DT38" s="5" t="str">
        <f t="shared" si="182"/>
        <v/>
      </c>
      <c r="DU38" s="5" t="str">
        <f t="shared" si="183"/>
        <v/>
      </c>
      <c r="DV38" s="5" t="str">
        <f t="shared" si="184"/>
        <v/>
      </c>
      <c r="DW38" s="5" t="str">
        <f t="shared" si="185"/>
        <v/>
      </c>
      <c r="DX38" s="167" t="str">
        <f t="shared" si="186"/>
        <v/>
      </c>
      <c r="DY38" s="9" t="str">
        <f t="shared" si="187"/>
        <v/>
      </c>
      <c r="DZ38" s="5" t="str">
        <f t="shared" si="188"/>
        <v/>
      </c>
      <c r="EA38" s="10" t="str">
        <f t="shared" si="189"/>
        <v/>
      </c>
      <c r="EB38" s="6" t="str">
        <f t="shared" si="190"/>
        <v/>
      </c>
      <c r="EC38" s="173" t="str">
        <f t="shared" si="191"/>
        <v/>
      </c>
      <c r="ED38" s="5" t="str">
        <f t="shared" si="192"/>
        <v/>
      </c>
      <c r="EE38" s="4" t="str">
        <f t="shared" si="193"/>
        <v/>
      </c>
      <c r="EF38" s="5" t="str">
        <f t="shared" si="194"/>
        <v/>
      </c>
      <c r="EG38" s="10" t="str">
        <f t="shared" si="195"/>
        <v/>
      </c>
      <c r="EH38" s="9" t="str">
        <f t="shared" si="196"/>
        <v/>
      </c>
      <c r="EI38" s="5" t="str">
        <f t="shared" si="197"/>
        <v/>
      </c>
      <c r="EJ38" s="6" t="str">
        <f t="shared" si="198"/>
        <v/>
      </c>
      <c r="EK38" s="236" t="str">
        <f t="shared" si="199"/>
        <v/>
      </c>
      <c r="EL38" s="238" t="str">
        <f t="shared" si="200"/>
        <v/>
      </c>
      <c r="EM38" s="4" t="str">
        <f t="shared" si="201"/>
        <v/>
      </c>
      <c r="EN38" s="5" t="str">
        <f t="shared" si="202"/>
        <v/>
      </c>
      <c r="EO38" s="10" t="str">
        <f t="shared" si="203"/>
        <v/>
      </c>
      <c r="EP38" s="9" t="str">
        <f t="shared" si="204"/>
        <v/>
      </c>
      <c r="EQ38" s="5" t="str">
        <f t="shared" si="205"/>
        <v/>
      </c>
      <c r="ER38" s="7" t="str">
        <f t="shared" si="206"/>
        <v/>
      </c>
      <c r="ES38" s="21" t="str">
        <f t="shared" si="131"/>
        <v/>
      </c>
      <c r="ET38" s="5" t="str">
        <f t="shared" si="43"/>
        <v/>
      </c>
      <c r="EU38" s="10" t="str">
        <f t="shared" si="44"/>
        <v/>
      </c>
      <c r="EV38" s="174" t="str">
        <f t="shared" si="250"/>
        <v/>
      </c>
      <c r="EW38" s="9" t="str">
        <f t="shared" si="132"/>
        <v/>
      </c>
      <c r="EX38" s="5" t="str">
        <f t="shared" si="45"/>
        <v/>
      </c>
      <c r="EY38" s="6" t="str">
        <f t="shared" si="207"/>
        <v/>
      </c>
      <c r="EZ38" s="51" t="str">
        <f t="shared" si="208"/>
        <v/>
      </c>
      <c r="FA38" s="266" t="str">
        <f t="shared" si="133"/>
        <v/>
      </c>
      <c r="FB38" s="267" t="str">
        <f t="shared" si="134"/>
        <v/>
      </c>
      <c r="FC38" s="269" t="str">
        <f t="shared" si="46"/>
        <v/>
      </c>
      <c r="FD38" s="4" t="str">
        <f t="shared" si="135"/>
        <v/>
      </c>
      <c r="FE38" s="5" t="str">
        <f t="shared" si="47"/>
        <v/>
      </c>
      <c r="FF38" s="7" t="str">
        <f t="shared" si="209"/>
        <v/>
      </c>
      <c r="FG38" s="173" t="str">
        <f t="shared" si="210"/>
        <v/>
      </c>
      <c r="FH38" s="5" t="str">
        <f t="shared" si="48"/>
        <v/>
      </c>
      <c r="FI38" s="10" t="str">
        <f t="shared" si="49"/>
        <v/>
      </c>
      <c r="FJ38" s="279" t="str">
        <f t="shared" si="211"/>
        <v/>
      </c>
      <c r="FK38" s="4" t="str">
        <f t="shared" si="50"/>
        <v/>
      </c>
      <c r="FL38" s="5" t="str">
        <f t="shared" si="212"/>
        <v/>
      </c>
      <c r="FM38" s="8" t="str">
        <f t="shared" si="213"/>
        <v/>
      </c>
      <c r="FN38" s="9" t="str">
        <f t="shared" si="214"/>
        <v/>
      </c>
      <c r="FO38" s="10" t="str">
        <f t="shared" si="51"/>
        <v/>
      </c>
      <c r="FP38" s="277" t="str">
        <f t="shared" si="52"/>
        <v/>
      </c>
      <c r="FQ38" s="173" t="str">
        <f t="shared" si="241"/>
        <v/>
      </c>
      <c r="FR38" s="10" t="str">
        <f t="shared" si="215"/>
        <v/>
      </c>
      <c r="FS38" s="9" t="str">
        <f t="shared" si="216"/>
        <v/>
      </c>
      <c r="FT38" s="6" t="str">
        <f t="shared" si="217"/>
        <v/>
      </c>
      <c r="FU38" s="4" t="str">
        <f t="shared" si="218"/>
        <v/>
      </c>
      <c r="FV38" s="5" t="str">
        <f t="shared" si="219"/>
        <v/>
      </c>
      <c r="FW38" s="8" t="str">
        <f t="shared" si="242"/>
        <v/>
      </c>
      <c r="FX38" s="9" t="str">
        <f t="shared" si="243"/>
        <v/>
      </c>
      <c r="FY38" s="10" t="str">
        <f t="shared" si="53"/>
        <v/>
      </c>
      <c r="FZ38" s="277" t="str">
        <f t="shared" si="244"/>
        <v/>
      </c>
      <c r="GA38" s="177" t="str">
        <f t="shared" si="220"/>
        <v/>
      </c>
      <c r="GB38" s="4" t="str">
        <f t="shared" si="221"/>
        <v/>
      </c>
      <c r="GC38" s="5" t="str">
        <f t="shared" si="222"/>
        <v/>
      </c>
      <c r="GD38" s="10" t="str">
        <f t="shared" si="223"/>
        <v/>
      </c>
      <c r="GE38" s="311" t="str">
        <f t="shared" si="224"/>
        <v/>
      </c>
      <c r="GF38" s="341" t="str">
        <f t="shared" si="245"/>
        <v/>
      </c>
      <c r="GG38" s="285" t="str">
        <f t="shared" si="54"/>
        <v/>
      </c>
      <c r="GH38" s="286" t="str">
        <f t="shared" si="55"/>
        <v/>
      </c>
      <c r="GI38" s="281" t="str">
        <f t="shared" si="56"/>
        <v/>
      </c>
      <c r="GJ38" s="167" t="str">
        <f t="shared" si="225"/>
        <v/>
      </c>
      <c r="GK38" s="174" t="str">
        <f t="shared" si="57"/>
        <v/>
      </c>
      <c r="GL38" s="174" t="str">
        <f t="shared" si="226"/>
        <v/>
      </c>
      <c r="GM38" s="177" t="str">
        <f t="shared" si="246"/>
        <v/>
      </c>
      <c r="GN38" s="280" t="str">
        <f t="shared" si="227"/>
        <v/>
      </c>
      <c r="GO38" s="4" t="str">
        <f t="shared" si="228"/>
        <v/>
      </c>
      <c r="GP38" s="8" t="str">
        <f t="shared" si="247"/>
        <v/>
      </c>
      <c r="GQ38" s="177" t="str">
        <f t="shared" si="229"/>
        <v/>
      </c>
      <c r="GR38" s="371" t="str">
        <f t="shared" si="248"/>
        <v/>
      </c>
      <c r="GS38" s="342" t="str">
        <f t="shared" si="59"/>
        <v/>
      </c>
      <c r="GT38" s="343" t="str">
        <f t="shared" si="60"/>
        <v/>
      </c>
      <c r="GU38" s="344" t="str">
        <f t="shared" si="61"/>
        <v/>
      </c>
      <c r="GV38" s="343" t="str">
        <f t="shared" si="251"/>
        <v/>
      </c>
      <c r="GW38" s="345" t="str">
        <f t="shared" si="62"/>
        <v/>
      </c>
      <c r="GX38" s="346" t="str">
        <f t="shared" si="63"/>
        <v/>
      </c>
      <c r="GY38" s="344" t="str">
        <f t="shared" si="64"/>
        <v/>
      </c>
      <c r="GZ38" s="345" t="str">
        <f t="shared" si="65"/>
        <v/>
      </c>
      <c r="HA38" s="342" t="str">
        <f t="shared" si="66"/>
        <v/>
      </c>
      <c r="HB38" s="5" t="str">
        <f t="shared" si="230"/>
        <v/>
      </c>
      <c r="HC38" s="343" t="str">
        <f t="shared" si="231"/>
        <v/>
      </c>
      <c r="HD38" s="363" t="str">
        <f t="shared" si="232"/>
        <v/>
      </c>
      <c r="HE38" s="344" t="str">
        <f t="shared" si="67"/>
        <v/>
      </c>
      <c r="HF38" s="5" t="str">
        <f t="shared" si="68"/>
        <v/>
      </c>
      <c r="HG38" s="343" t="str">
        <f t="shared" si="233"/>
        <v/>
      </c>
      <c r="HH38" s="349" t="str">
        <f t="shared" si="234"/>
        <v/>
      </c>
      <c r="HI38" s="317" t="str">
        <f t="shared" si="69"/>
        <v/>
      </c>
      <c r="HJ38" s="336"/>
      <c r="HK38" s="310" t="str">
        <f t="shared" si="136"/>
        <v/>
      </c>
      <c r="HL38" s="348" t="str">
        <f t="shared" si="70"/>
        <v/>
      </c>
      <c r="HM38" s="923" t="str">
        <f t="shared" si="71"/>
        <v/>
      </c>
      <c r="HN38" s="924" t="str">
        <f t="shared" si="72"/>
        <v/>
      </c>
      <c r="HO38" s="925"/>
      <c r="HP38" s="926"/>
      <c r="HQ38" s="924" t="str">
        <f t="shared" si="73"/>
        <v/>
      </c>
      <c r="HR38" s="927" t="str">
        <f t="shared" si="74"/>
        <v/>
      </c>
      <c r="HS38" s="879" t="str">
        <f t="shared" si="249"/>
        <v/>
      </c>
      <c r="HT38" s="889" t="str">
        <f t="shared" si="75"/>
        <v/>
      </c>
      <c r="HU38" s="890" t="str">
        <f t="shared" si="76"/>
        <v/>
      </c>
      <c r="HV38" s="886" t="str">
        <f t="shared" si="77"/>
        <v/>
      </c>
      <c r="HW38" s="880" t="str">
        <f t="shared" si="78"/>
        <v/>
      </c>
      <c r="HX38" s="881" t="str">
        <f t="shared" si="79"/>
        <v/>
      </c>
      <c r="HY38" s="880" t="str">
        <f t="shared" si="80"/>
        <v/>
      </c>
      <c r="HZ38" s="882" t="str">
        <f t="shared" si="81"/>
        <v/>
      </c>
      <c r="IA38" s="883" t="str">
        <f t="shared" si="82"/>
        <v/>
      </c>
      <c r="IB38" s="884" t="str">
        <f t="shared" si="83"/>
        <v/>
      </c>
      <c r="IC38" s="855" t="str">
        <f t="shared" si="84"/>
        <v/>
      </c>
      <c r="ID38" s="351" t="str">
        <f t="shared" si="85"/>
        <v/>
      </c>
      <c r="IE38" s="857" t="str">
        <f t="shared" si="86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5"/>
        <v>6.109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7"/>
        <v>1613</v>
      </c>
      <c r="IM38" s="482" t="str">
        <f t="shared" si="236"/>
        <v/>
      </c>
      <c r="IN38" s="670" t="str">
        <f t="shared" si="89"/>
        <v/>
      </c>
      <c r="IO38" s="702"/>
      <c r="IP38" s="5" t="str">
        <f t="shared" si="90"/>
        <v/>
      </c>
      <c r="IQ38" s="714"/>
      <c r="IR38" s="9" t="str">
        <f t="shared" si="137"/>
        <v/>
      </c>
      <c r="IS38" s="5" t="str">
        <f t="shared" si="91"/>
        <v/>
      </c>
      <c r="IT38" s="5" t="str">
        <f t="shared" si="92"/>
        <v/>
      </c>
      <c r="IU38" s="5" t="str">
        <f t="shared" si="93"/>
        <v/>
      </c>
      <c r="IV38" s="670" t="str">
        <f t="shared" si="94"/>
        <v/>
      </c>
      <c r="IW38" s="9" t="str">
        <f t="shared" si="95"/>
        <v/>
      </c>
      <c r="IX38" s="5" t="str">
        <f t="shared" si="96"/>
        <v/>
      </c>
      <c r="IY38" s="5" t="str">
        <f t="shared" si="97"/>
        <v/>
      </c>
      <c r="IZ38" s="5" t="str">
        <f t="shared" si="98"/>
        <v/>
      </c>
      <c r="JA38" s="705" t="str">
        <f t="shared" si="99"/>
        <v/>
      </c>
    </row>
    <row r="39" spans="1:269" ht="15" customHeight="1" x14ac:dyDescent="0.25">
      <c r="A39" s="75">
        <f t="shared" si="1"/>
        <v>0</v>
      </c>
      <c r="B39" s="578">
        <f t="shared" si="2"/>
        <v>-2.7430765623198758</v>
      </c>
      <c r="C39" s="572">
        <f t="shared" si="3"/>
        <v>1.2972856295768513</v>
      </c>
      <c r="D39" s="576">
        <f t="shared" si="4"/>
        <v>-0.3661000000000002</v>
      </c>
      <c r="E39" s="580">
        <f t="shared" si="5"/>
        <v>-0.5870233052390561</v>
      </c>
      <c r="F39" s="572">
        <f t="shared" si="6"/>
        <v>-0.78595380742634813</v>
      </c>
      <c r="G39" s="579">
        <f t="shared" si="7"/>
        <v>0.1941140172636712</v>
      </c>
      <c r="H39" s="580">
        <f t="shared" si="8"/>
        <v>0.3125</v>
      </c>
      <c r="I39" s="572">
        <f t="shared" si="9"/>
        <v>0.52</v>
      </c>
      <c r="J39" s="483">
        <f t="shared" si="10"/>
        <v>6.1120000000000001</v>
      </c>
      <c r="K39" s="806">
        <f t="shared" si="11"/>
        <v>1613</v>
      </c>
      <c r="L39" s="309"/>
      <c r="M39" s="164">
        <f t="shared" si="12"/>
        <v>6.1120000000000001</v>
      </c>
      <c r="N39" s="575">
        <f t="shared" si="13"/>
        <v>-2.7430765623198758</v>
      </c>
      <c r="O39" s="572">
        <f t="shared" si="14"/>
        <v>1.2972856295768513</v>
      </c>
      <c r="P39" s="576">
        <f t="shared" si="15"/>
        <v>-0.3661000000000002</v>
      </c>
      <c r="Q39" s="528">
        <f t="shared" si="138"/>
        <v>154.68908680039456</v>
      </c>
      <c r="R39" s="572">
        <f t="shared" si="100"/>
        <v>3.034372922278215</v>
      </c>
      <c r="S39" s="577">
        <f t="shared" si="101"/>
        <v>-0.3661000000000002</v>
      </c>
      <c r="T39" s="578">
        <f t="shared" si="102"/>
        <v>1.2685730192233178</v>
      </c>
      <c r="U39" s="572">
        <f t="shared" si="103"/>
        <v>2.7564726601861791</v>
      </c>
      <c r="V39" s="579">
        <f t="shared" si="139"/>
        <v>-0.3661000000000002</v>
      </c>
      <c r="W39" s="528">
        <f t="shared" si="252"/>
        <v>65.287352723058987</v>
      </c>
      <c r="X39" s="572">
        <f t="shared" si="104"/>
        <v>3.034372922278215</v>
      </c>
      <c r="Y39" s="573">
        <f t="shared" si="253"/>
        <v>-0.3661000000000002</v>
      </c>
      <c r="Z39" s="575">
        <f t="shared" si="18"/>
        <v>0.5870233052390561</v>
      </c>
      <c r="AA39" s="572">
        <f t="shared" si="19"/>
        <v>0.78595380742634813</v>
      </c>
      <c r="AB39" s="572">
        <f t="shared" si="20"/>
        <v>-0.1941140172636712</v>
      </c>
      <c r="AC39" s="579">
        <f t="shared" si="105"/>
        <v>1</v>
      </c>
      <c r="AD39" s="580">
        <f t="shared" si="140"/>
        <v>0.5870233052390561</v>
      </c>
      <c r="AE39" s="572">
        <f t="shared" si="106"/>
        <v>0.78595380742634813</v>
      </c>
      <c r="AF39" s="576">
        <f t="shared" si="107"/>
        <v>-0.1941140172636712</v>
      </c>
      <c r="AG39" s="545">
        <f t="shared" si="108"/>
        <v>76.12678540858515</v>
      </c>
      <c r="AH39" s="546">
        <f t="shared" si="109"/>
        <v>54.053943774906337</v>
      </c>
      <c r="AI39" s="528">
        <f t="shared" si="110"/>
        <v>-78.807028398879254</v>
      </c>
      <c r="AJ39" s="529">
        <f t="shared" si="111"/>
        <v>143.24420817982065</v>
      </c>
      <c r="AK39" s="578">
        <f t="shared" si="237"/>
        <v>0.96147324045462912</v>
      </c>
      <c r="AL39" s="572">
        <f t="shared" si="112"/>
        <v>-0.19465085715566244</v>
      </c>
      <c r="AM39" s="577">
        <f t="shared" si="113"/>
        <v>-0.1941140172636712</v>
      </c>
      <c r="AN39" s="524">
        <f t="shared" si="114"/>
        <v>-45.079118877652334</v>
      </c>
      <c r="AO39" s="525">
        <f t="shared" si="115"/>
        <v>15.955967967082886</v>
      </c>
      <c r="AP39" s="528">
        <f t="shared" si="116"/>
        <v>-11.444878620573911</v>
      </c>
      <c r="AQ39" s="529">
        <f t="shared" si="21"/>
        <v>0.75125768765003043</v>
      </c>
      <c r="AS39" s="946">
        <f t="shared" si="141"/>
        <v>-294.71264727694103</v>
      </c>
      <c r="AT39" s="942">
        <f t="shared" si="22"/>
        <v>-0.1571649234619456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2"/>
        <v/>
      </c>
      <c r="BA39" s="296" t="str">
        <f t="shared" si="24"/>
        <v/>
      </c>
      <c r="BB39" s="190" t="str">
        <f t="shared" si="143"/>
        <v/>
      </c>
      <c r="BC39" s="9"/>
      <c r="BD39" s="5" t="str">
        <f t="shared" si="144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5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6"/>
        <v/>
      </c>
      <c r="BP39" s="5" t="str">
        <f t="shared" si="147"/>
        <v/>
      </c>
      <c r="BQ39" s="5" t="str">
        <f t="shared" si="148"/>
        <v/>
      </c>
      <c r="BR39" s="6" t="str">
        <f t="shared" si="149"/>
        <v/>
      </c>
      <c r="BS39" s="4" t="str">
        <f t="shared" si="117"/>
        <v/>
      </c>
      <c r="BT39" s="5" t="str">
        <f t="shared" si="117"/>
        <v/>
      </c>
      <c r="BU39" s="10" t="str">
        <f t="shared" si="118"/>
        <v/>
      </c>
      <c r="BV39" s="9" t="str">
        <f t="shared" si="119"/>
        <v/>
      </c>
      <c r="BW39" s="5" t="str">
        <f t="shared" si="120"/>
        <v/>
      </c>
      <c r="BX39" s="8" t="str">
        <f t="shared" si="121"/>
        <v/>
      </c>
      <c r="BY39" s="173" t="str">
        <f t="shared" si="122"/>
        <v/>
      </c>
      <c r="BZ39" s="5" t="str">
        <f t="shared" si="123"/>
        <v/>
      </c>
      <c r="CA39" s="6" t="str">
        <f t="shared" si="124"/>
        <v/>
      </c>
      <c r="CB39" s="4" t="str">
        <f t="shared" si="150"/>
        <v/>
      </c>
      <c r="CC39" s="5" t="str">
        <f t="shared" si="151"/>
        <v/>
      </c>
      <c r="CD39" s="5" t="str">
        <f t="shared" si="152"/>
        <v/>
      </c>
      <c r="CE39" s="6" t="str">
        <f t="shared" si="153"/>
        <v/>
      </c>
      <c r="CF39" s="4" t="str">
        <f t="shared" si="154"/>
        <v/>
      </c>
      <c r="CG39" s="5" t="str">
        <f t="shared" si="155"/>
        <v/>
      </c>
      <c r="CH39" s="5" t="str">
        <f t="shared" si="156"/>
        <v/>
      </c>
      <c r="CI39" s="4" t="str">
        <f t="shared" si="125"/>
        <v/>
      </c>
      <c r="CJ39" s="5" t="str">
        <f t="shared" si="126"/>
        <v/>
      </c>
      <c r="CK39" s="8" t="str">
        <f t="shared" si="127"/>
        <v/>
      </c>
      <c r="CL39" s="173" t="str">
        <f t="shared" si="128"/>
        <v/>
      </c>
      <c r="CM39" s="5" t="str">
        <f t="shared" si="129"/>
        <v/>
      </c>
      <c r="CN39" s="6" t="str">
        <f t="shared" si="130"/>
        <v/>
      </c>
      <c r="CO39" s="167" t="str">
        <f t="shared" si="34"/>
        <v/>
      </c>
      <c r="CP39" s="4" t="str">
        <f t="shared" si="238"/>
        <v/>
      </c>
      <c r="CQ39" s="5" t="str">
        <f t="shared" si="239"/>
        <v/>
      </c>
      <c r="CR39" s="5" t="str">
        <f t="shared" si="157"/>
        <v/>
      </c>
      <c r="CS39" s="8" t="str">
        <f t="shared" si="158"/>
        <v/>
      </c>
      <c r="CT39" s="9" t="str">
        <f t="shared" si="159"/>
        <v/>
      </c>
      <c r="CU39" s="6" t="str">
        <f t="shared" si="160"/>
        <v/>
      </c>
      <c r="CV39" s="4" t="str">
        <f t="shared" si="240"/>
        <v/>
      </c>
      <c r="CW39" s="5" t="str">
        <f t="shared" si="161"/>
        <v/>
      </c>
      <c r="CX39" s="8" t="str">
        <f t="shared" si="162"/>
        <v/>
      </c>
      <c r="CY39" s="9" t="str">
        <f t="shared" si="163"/>
        <v/>
      </c>
      <c r="CZ39" s="5" t="str">
        <f t="shared" si="164"/>
        <v/>
      </c>
      <c r="DA39" s="6" t="str">
        <f t="shared" si="165"/>
        <v/>
      </c>
      <c r="DB39" s="4" t="str">
        <f t="shared" si="166"/>
        <v/>
      </c>
      <c r="DC39" s="5" t="str">
        <f t="shared" si="166"/>
        <v/>
      </c>
      <c r="DD39" s="10" t="str">
        <f t="shared" si="167"/>
        <v/>
      </c>
      <c r="DE39" s="9" t="str">
        <f t="shared" si="168"/>
        <v/>
      </c>
      <c r="DF39" s="5" t="str">
        <f t="shared" si="168"/>
        <v/>
      </c>
      <c r="DG39" s="10" t="str">
        <f t="shared" si="169"/>
        <v/>
      </c>
      <c r="DH39" s="70" t="str">
        <f t="shared" si="170"/>
        <v/>
      </c>
      <c r="DI39" s="4" t="str">
        <f t="shared" si="171"/>
        <v/>
      </c>
      <c r="DJ39" s="5" t="str">
        <f t="shared" si="172"/>
        <v/>
      </c>
      <c r="DK39" s="10" t="str">
        <f t="shared" si="173"/>
        <v/>
      </c>
      <c r="DL39" s="9" t="str">
        <f t="shared" si="174"/>
        <v/>
      </c>
      <c r="DM39" s="173" t="str">
        <f t="shared" si="175"/>
        <v/>
      </c>
      <c r="DN39" s="178" t="str">
        <f t="shared" si="176"/>
        <v/>
      </c>
      <c r="DO39" s="9" t="str">
        <f t="shared" si="177"/>
        <v/>
      </c>
      <c r="DP39" s="173" t="str">
        <f t="shared" si="178"/>
        <v/>
      </c>
      <c r="DQ39" s="11" t="str">
        <f t="shared" si="179"/>
        <v/>
      </c>
      <c r="DR39" s="173" t="str">
        <f t="shared" si="180"/>
        <v/>
      </c>
      <c r="DS39" s="5" t="str">
        <f t="shared" si="181"/>
        <v/>
      </c>
      <c r="DT39" s="5" t="str">
        <f t="shared" si="182"/>
        <v/>
      </c>
      <c r="DU39" s="5" t="str">
        <f t="shared" si="183"/>
        <v/>
      </c>
      <c r="DV39" s="5" t="str">
        <f t="shared" si="184"/>
        <v/>
      </c>
      <c r="DW39" s="5" t="str">
        <f t="shared" si="185"/>
        <v/>
      </c>
      <c r="DX39" s="167" t="str">
        <f t="shared" si="186"/>
        <v/>
      </c>
      <c r="DY39" s="9" t="str">
        <f t="shared" si="187"/>
        <v/>
      </c>
      <c r="DZ39" s="5" t="str">
        <f t="shared" si="188"/>
        <v/>
      </c>
      <c r="EA39" s="10" t="str">
        <f t="shared" si="189"/>
        <v/>
      </c>
      <c r="EB39" s="6" t="str">
        <f t="shared" si="190"/>
        <v/>
      </c>
      <c r="EC39" s="173" t="str">
        <f t="shared" si="191"/>
        <v/>
      </c>
      <c r="ED39" s="5" t="str">
        <f t="shared" si="192"/>
        <v/>
      </c>
      <c r="EE39" s="4" t="str">
        <f t="shared" si="193"/>
        <v/>
      </c>
      <c r="EF39" s="5" t="str">
        <f t="shared" si="194"/>
        <v/>
      </c>
      <c r="EG39" s="10" t="str">
        <f t="shared" si="195"/>
        <v/>
      </c>
      <c r="EH39" s="9" t="str">
        <f t="shared" si="196"/>
        <v/>
      </c>
      <c r="EI39" s="5" t="str">
        <f t="shared" si="197"/>
        <v/>
      </c>
      <c r="EJ39" s="6" t="str">
        <f t="shared" si="198"/>
        <v/>
      </c>
      <c r="EK39" s="236" t="str">
        <f t="shared" si="199"/>
        <v/>
      </c>
      <c r="EL39" s="238" t="str">
        <f t="shared" si="200"/>
        <v/>
      </c>
      <c r="EM39" s="4" t="str">
        <f t="shared" si="201"/>
        <v/>
      </c>
      <c r="EN39" s="5" t="str">
        <f t="shared" si="202"/>
        <v/>
      </c>
      <c r="EO39" s="10" t="str">
        <f t="shared" si="203"/>
        <v/>
      </c>
      <c r="EP39" s="9" t="str">
        <f t="shared" si="204"/>
        <v/>
      </c>
      <c r="EQ39" s="5" t="str">
        <f t="shared" si="205"/>
        <v/>
      </c>
      <c r="ER39" s="7" t="str">
        <f t="shared" si="206"/>
        <v/>
      </c>
      <c r="ES39" s="21" t="str">
        <f t="shared" si="131"/>
        <v/>
      </c>
      <c r="ET39" s="5" t="str">
        <f t="shared" si="43"/>
        <v/>
      </c>
      <c r="EU39" s="10" t="str">
        <f t="shared" si="44"/>
        <v/>
      </c>
      <c r="EV39" s="174" t="str">
        <f t="shared" si="250"/>
        <v/>
      </c>
      <c r="EW39" s="9" t="str">
        <f t="shared" si="132"/>
        <v/>
      </c>
      <c r="EX39" s="5" t="str">
        <f t="shared" si="45"/>
        <v/>
      </c>
      <c r="EY39" s="6" t="str">
        <f t="shared" si="207"/>
        <v/>
      </c>
      <c r="EZ39" s="51" t="str">
        <f t="shared" si="208"/>
        <v/>
      </c>
      <c r="FA39" s="266" t="str">
        <f t="shared" si="133"/>
        <v/>
      </c>
      <c r="FB39" s="267" t="str">
        <f t="shared" si="134"/>
        <v/>
      </c>
      <c r="FC39" s="269" t="str">
        <f t="shared" si="46"/>
        <v/>
      </c>
      <c r="FD39" s="4" t="str">
        <f t="shared" si="135"/>
        <v/>
      </c>
      <c r="FE39" s="5" t="str">
        <f t="shared" si="47"/>
        <v/>
      </c>
      <c r="FF39" s="7" t="str">
        <f t="shared" si="209"/>
        <v/>
      </c>
      <c r="FG39" s="173" t="str">
        <f t="shared" si="210"/>
        <v/>
      </c>
      <c r="FH39" s="5" t="str">
        <f t="shared" si="48"/>
        <v/>
      </c>
      <c r="FI39" s="10" t="str">
        <f t="shared" si="49"/>
        <v/>
      </c>
      <c r="FJ39" s="279" t="str">
        <f t="shared" si="211"/>
        <v/>
      </c>
      <c r="FK39" s="4" t="str">
        <f t="shared" si="50"/>
        <v/>
      </c>
      <c r="FL39" s="5" t="str">
        <f t="shared" si="212"/>
        <v/>
      </c>
      <c r="FM39" s="8" t="str">
        <f t="shared" si="213"/>
        <v/>
      </c>
      <c r="FN39" s="9" t="str">
        <f t="shared" si="214"/>
        <v/>
      </c>
      <c r="FO39" s="10" t="str">
        <f t="shared" si="51"/>
        <v/>
      </c>
      <c r="FP39" s="277" t="str">
        <f t="shared" si="52"/>
        <v/>
      </c>
      <c r="FQ39" s="173" t="str">
        <f t="shared" si="241"/>
        <v/>
      </c>
      <c r="FR39" s="10" t="str">
        <f t="shared" si="215"/>
        <v/>
      </c>
      <c r="FS39" s="9" t="str">
        <f t="shared" si="216"/>
        <v/>
      </c>
      <c r="FT39" s="6" t="str">
        <f t="shared" si="217"/>
        <v/>
      </c>
      <c r="FU39" s="4" t="str">
        <f t="shared" si="218"/>
        <v/>
      </c>
      <c r="FV39" s="5" t="str">
        <f t="shared" si="219"/>
        <v/>
      </c>
      <c r="FW39" s="8" t="str">
        <f t="shared" si="242"/>
        <v/>
      </c>
      <c r="FX39" s="9" t="str">
        <f t="shared" si="243"/>
        <v/>
      </c>
      <c r="FY39" s="10" t="str">
        <f t="shared" si="53"/>
        <v/>
      </c>
      <c r="FZ39" s="277" t="str">
        <f t="shared" si="244"/>
        <v/>
      </c>
      <c r="GA39" s="177" t="str">
        <f t="shared" si="220"/>
        <v/>
      </c>
      <c r="GB39" s="4" t="str">
        <f t="shared" si="221"/>
        <v/>
      </c>
      <c r="GC39" s="5" t="str">
        <f t="shared" si="222"/>
        <v/>
      </c>
      <c r="GD39" s="10" t="str">
        <f t="shared" si="223"/>
        <v/>
      </c>
      <c r="GE39" s="311" t="str">
        <f t="shared" si="224"/>
        <v/>
      </c>
      <c r="GF39" s="341" t="str">
        <f t="shared" si="245"/>
        <v/>
      </c>
      <c r="GG39" s="285" t="str">
        <f t="shared" si="54"/>
        <v/>
      </c>
      <c r="GH39" s="286" t="str">
        <f t="shared" si="55"/>
        <v/>
      </c>
      <c r="GI39" s="281" t="str">
        <f t="shared" si="56"/>
        <v/>
      </c>
      <c r="GJ39" s="167" t="str">
        <f t="shared" si="225"/>
        <v/>
      </c>
      <c r="GK39" s="174" t="str">
        <f t="shared" si="57"/>
        <v/>
      </c>
      <c r="GL39" s="174" t="str">
        <f t="shared" si="226"/>
        <v/>
      </c>
      <c r="GM39" s="177" t="str">
        <f t="shared" si="246"/>
        <v/>
      </c>
      <c r="GN39" s="280" t="str">
        <f t="shared" si="227"/>
        <v/>
      </c>
      <c r="GO39" s="4" t="str">
        <f t="shared" si="228"/>
        <v/>
      </c>
      <c r="GP39" s="8" t="str">
        <f t="shared" si="247"/>
        <v/>
      </c>
      <c r="GQ39" s="177" t="str">
        <f t="shared" si="229"/>
        <v/>
      </c>
      <c r="GR39" s="371" t="str">
        <f t="shared" si="248"/>
        <v/>
      </c>
      <c r="GS39" s="342" t="str">
        <f t="shared" si="59"/>
        <v/>
      </c>
      <c r="GT39" s="343" t="str">
        <f t="shared" si="60"/>
        <v/>
      </c>
      <c r="GU39" s="344" t="str">
        <f t="shared" si="61"/>
        <v/>
      </c>
      <c r="GV39" s="343" t="str">
        <f t="shared" si="251"/>
        <v/>
      </c>
      <c r="GW39" s="345" t="str">
        <f t="shared" si="62"/>
        <v/>
      </c>
      <c r="GX39" s="346" t="str">
        <f t="shared" si="63"/>
        <v/>
      </c>
      <c r="GY39" s="344" t="str">
        <f t="shared" si="64"/>
        <v/>
      </c>
      <c r="GZ39" s="345" t="str">
        <f t="shared" si="65"/>
        <v/>
      </c>
      <c r="HA39" s="342" t="str">
        <f t="shared" si="66"/>
        <v/>
      </c>
      <c r="HB39" s="5" t="str">
        <f t="shared" si="230"/>
        <v/>
      </c>
      <c r="HC39" s="343" t="str">
        <f t="shared" si="231"/>
        <v/>
      </c>
      <c r="HD39" s="363" t="str">
        <f t="shared" si="232"/>
        <v/>
      </c>
      <c r="HE39" s="344" t="str">
        <f t="shared" si="67"/>
        <v/>
      </c>
      <c r="HF39" s="5" t="str">
        <f t="shared" si="68"/>
        <v/>
      </c>
      <c r="HG39" s="343" t="str">
        <f t="shared" si="233"/>
        <v/>
      </c>
      <c r="HH39" s="349" t="str">
        <f t="shared" si="234"/>
        <v/>
      </c>
      <c r="HI39" s="317" t="str">
        <f t="shared" si="69"/>
        <v/>
      </c>
      <c r="HJ39" s="336"/>
      <c r="HK39" s="310" t="str">
        <f t="shared" si="136"/>
        <v/>
      </c>
      <c r="HL39" s="348" t="str">
        <f t="shared" si="70"/>
        <v/>
      </c>
      <c r="HM39" s="923" t="str">
        <f t="shared" si="71"/>
        <v/>
      </c>
      <c r="HN39" s="924" t="str">
        <f t="shared" si="72"/>
        <v/>
      </c>
      <c r="HO39" s="925"/>
      <c r="HP39" s="926"/>
      <c r="HQ39" s="924" t="str">
        <f t="shared" si="73"/>
        <v/>
      </c>
      <c r="HR39" s="927" t="str">
        <f t="shared" si="74"/>
        <v/>
      </c>
      <c r="HS39" s="879" t="str">
        <f t="shared" si="249"/>
        <v/>
      </c>
      <c r="HT39" s="889" t="str">
        <f t="shared" si="75"/>
        <v/>
      </c>
      <c r="HU39" s="890" t="str">
        <f t="shared" si="76"/>
        <v/>
      </c>
      <c r="HV39" s="886" t="str">
        <f t="shared" si="77"/>
        <v/>
      </c>
      <c r="HW39" s="880" t="str">
        <f t="shared" si="78"/>
        <v/>
      </c>
      <c r="HX39" s="881" t="str">
        <f t="shared" si="79"/>
        <v/>
      </c>
      <c r="HY39" s="880" t="str">
        <f t="shared" si="80"/>
        <v/>
      </c>
      <c r="HZ39" s="882" t="str">
        <f t="shared" si="81"/>
        <v/>
      </c>
      <c r="IA39" s="883" t="str">
        <f t="shared" si="82"/>
        <v/>
      </c>
      <c r="IB39" s="884" t="str">
        <f t="shared" si="83"/>
        <v/>
      </c>
      <c r="IC39" s="855" t="str">
        <f t="shared" si="84"/>
        <v/>
      </c>
      <c r="ID39" s="351" t="str">
        <f t="shared" si="85"/>
        <v/>
      </c>
      <c r="IE39" s="857" t="str">
        <f t="shared" si="86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5"/>
        <v>6.1120000000000001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7"/>
        <v>1613</v>
      </c>
      <c r="IM39" s="482" t="str">
        <f t="shared" si="236"/>
        <v/>
      </c>
      <c r="IN39" s="670" t="str">
        <f t="shared" si="89"/>
        <v/>
      </c>
      <c r="IO39" s="702"/>
      <c r="IP39" s="5" t="str">
        <f t="shared" si="90"/>
        <v/>
      </c>
      <c r="IQ39" s="714"/>
      <c r="IR39" s="9" t="str">
        <f t="shared" si="137"/>
        <v/>
      </c>
      <c r="IS39" s="5" t="str">
        <f t="shared" si="91"/>
        <v/>
      </c>
      <c r="IT39" s="5" t="str">
        <f t="shared" si="92"/>
        <v/>
      </c>
      <c r="IU39" s="5" t="str">
        <f t="shared" si="93"/>
        <v/>
      </c>
      <c r="IV39" s="670" t="str">
        <f t="shared" si="94"/>
        <v/>
      </c>
      <c r="IW39" s="9" t="str">
        <f t="shared" si="95"/>
        <v/>
      </c>
      <c r="IX39" s="5" t="str">
        <f t="shared" si="96"/>
        <v/>
      </c>
      <c r="IY39" s="5" t="str">
        <f t="shared" si="97"/>
        <v/>
      </c>
      <c r="IZ39" s="5" t="str">
        <f t="shared" si="98"/>
        <v/>
      </c>
      <c r="JA39" s="705" t="str">
        <f t="shared" si="99"/>
        <v/>
      </c>
    </row>
    <row r="40" spans="1:269" ht="15" customHeight="1" x14ac:dyDescent="0.25">
      <c r="A40" s="75">
        <f t="shared" si="1"/>
        <v>0</v>
      </c>
      <c r="B40" s="578">
        <f t="shared" si="2"/>
        <v>-3.1680171516429398</v>
      </c>
      <c r="C40" s="572">
        <f t="shared" si="3"/>
        <v>1.5468560916627463</v>
      </c>
      <c r="D40" s="576">
        <f t="shared" si="4"/>
        <v>-0.95809999999999984</v>
      </c>
      <c r="E40" s="580">
        <f t="shared" si="5"/>
        <v>-0.70005555711045819</v>
      </c>
      <c r="F40" s="572">
        <f t="shared" si="6"/>
        <v>-0.69992310955129655</v>
      </c>
      <c r="G40" s="579">
        <f t="shared" si="7"/>
        <v>0.14152687969007807</v>
      </c>
      <c r="H40" s="580">
        <f t="shared" si="8"/>
        <v>0.3125</v>
      </c>
      <c r="I40" s="572">
        <f t="shared" si="9"/>
        <v>0.52</v>
      </c>
      <c r="J40" s="483">
        <f t="shared" si="10"/>
        <v>6.1150000000000002</v>
      </c>
      <c r="K40" s="806">
        <f t="shared" si="11"/>
        <v>1613</v>
      </c>
      <c r="L40" s="309"/>
      <c r="M40" s="164">
        <f t="shared" si="12"/>
        <v>6.1150000000000002</v>
      </c>
      <c r="N40" s="575">
        <f t="shared" si="13"/>
        <v>-3.1680171516429398</v>
      </c>
      <c r="O40" s="572">
        <f t="shared" si="14"/>
        <v>1.5468560916627463</v>
      </c>
      <c r="P40" s="576">
        <f t="shared" si="15"/>
        <v>-0.95809999999999984</v>
      </c>
      <c r="Q40" s="528">
        <f t="shared" si="138"/>
        <v>153.97500897648317</v>
      </c>
      <c r="R40" s="572">
        <f t="shared" si="100"/>
        <v>3.5254923686512205</v>
      </c>
      <c r="S40" s="577">
        <f t="shared" si="101"/>
        <v>-0.95809999999999984</v>
      </c>
      <c r="T40" s="578">
        <f t="shared" si="102"/>
        <v>1.5136928503477969</v>
      </c>
      <c r="U40" s="572">
        <f t="shared" si="103"/>
        <v>3.1839959793039871</v>
      </c>
      <c r="V40" s="579">
        <f t="shared" si="139"/>
        <v>-0.95809999999999984</v>
      </c>
      <c r="W40" s="528">
        <f t="shared" si="252"/>
        <v>64.573274899147592</v>
      </c>
      <c r="X40" s="572">
        <f t="shared" si="104"/>
        <v>3.5254923686512205</v>
      </c>
      <c r="Y40" s="573">
        <f t="shared" si="253"/>
        <v>-0.95809999999999984</v>
      </c>
      <c r="Z40" s="575">
        <f t="shared" si="18"/>
        <v>0.70005555711045819</v>
      </c>
      <c r="AA40" s="572">
        <f t="shared" si="19"/>
        <v>0.69992310955129655</v>
      </c>
      <c r="AB40" s="572">
        <f t="shared" si="20"/>
        <v>-0.14152687969007807</v>
      </c>
      <c r="AC40" s="579">
        <f t="shared" si="105"/>
        <v>1</v>
      </c>
      <c r="AD40" s="580">
        <f t="shared" si="140"/>
        <v>0.70005555711045819</v>
      </c>
      <c r="AE40" s="572">
        <f t="shared" si="106"/>
        <v>0.69992310955129655</v>
      </c>
      <c r="AF40" s="576">
        <f t="shared" si="107"/>
        <v>-0.14152687969007807</v>
      </c>
      <c r="AG40" s="545">
        <f t="shared" si="108"/>
        <v>78.568725486557327</v>
      </c>
      <c r="AH40" s="546">
        <f t="shared" si="109"/>
        <v>45.568538474537583</v>
      </c>
      <c r="AI40" s="528">
        <f t="shared" si="110"/>
        <v>-81.863790168070409</v>
      </c>
      <c r="AJ40" s="529">
        <f t="shared" si="111"/>
        <v>134.99457942731212</v>
      </c>
      <c r="AK40" s="578">
        <f t="shared" si="237"/>
        <v>0.93611140624055456</v>
      </c>
      <c r="AL40" s="572">
        <f t="shared" si="112"/>
        <v>-0.32197139225639548</v>
      </c>
      <c r="AM40" s="577">
        <f t="shared" si="113"/>
        <v>-0.14152687969007807</v>
      </c>
      <c r="AN40" s="524">
        <f t="shared" si="114"/>
        <v>-66.2714608329415</v>
      </c>
      <c r="AO40" s="525">
        <f t="shared" si="115"/>
        <v>20.591551472358034</v>
      </c>
      <c r="AP40" s="528">
        <f t="shared" si="116"/>
        <v>-18.980429549171053</v>
      </c>
      <c r="AQ40" s="529">
        <f t="shared" si="21"/>
        <v>0.64661318430323378</v>
      </c>
      <c r="AS40" s="946">
        <f t="shared" si="141"/>
        <v>-295.42672510085242</v>
      </c>
      <c r="AT40" s="942">
        <f t="shared" si="22"/>
        <v>-0.74866903608422897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2"/>
        <v/>
      </c>
      <c r="BA40" s="296" t="str">
        <f t="shared" si="24"/>
        <v/>
      </c>
      <c r="BB40" s="190" t="str">
        <f t="shared" si="143"/>
        <v/>
      </c>
      <c r="BC40" s="9"/>
      <c r="BD40" s="5" t="str">
        <f t="shared" si="144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5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6"/>
        <v/>
      </c>
      <c r="BP40" s="5" t="str">
        <f t="shared" si="147"/>
        <v/>
      </c>
      <c r="BQ40" s="5" t="str">
        <f t="shared" si="148"/>
        <v/>
      </c>
      <c r="BR40" s="6" t="str">
        <f t="shared" si="149"/>
        <v/>
      </c>
      <c r="BS40" s="4" t="str">
        <f t="shared" si="117"/>
        <v/>
      </c>
      <c r="BT40" s="5" t="str">
        <f t="shared" si="117"/>
        <v/>
      </c>
      <c r="BU40" s="10" t="str">
        <f t="shared" si="118"/>
        <v/>
      </c>
      <c r="BV40" s="9" t="str">
        <f t="shared" si="119"/>
        <v/>
      </c>
      <c r="BW40" s="5" t="str">
        <f t="shared" si="120"/>
        <v/>
      </c>
      <c r="BX40" s="8" t="str">
        <f t="shared" si="121"/>
        <v/>
      </c>
      <c r="BY40" s="173" t="str">
        <f t="shared" si="122"/>
        <v/>
      </c>
      <c r="BZ40" s="5" t="str">
        <f t="shared" si="123"/>
        <v/>
      </c>
      <c r="CA40" s="6" t="str">
        <f t="shared" si="124"/>
        <v/>
      </c>
      <c r="CB40" s="4" t="str">
        <f t="shared" si="150"/>
        <v/>
      </c>
      <c r="CC40" s="5" t="str">
        <f t="shared" si="151"/>
        <v/>
      </c>
      <c r="CD40" s="5" t="str">
        <f t="shared" si="152"/>
        <v/>
      </c>
      <c r="CE40" s="6" t="str">
        <f t="shared" si="153"/>
        <v/>
      </c>
      <c r="CF40" s="4" t="str">
        <f t="shared" si="154"/>
        <v/>
      </c>
      <c r="CG40" s="5" t="str">
        <f t="shared" si="155"/>
        <v/>
      </c>
      <c r="CH40" s="5" t="str">
        <f t="shared" si="156"/>
        <v/>
      </c>
      <c r="CI40" s="4" t="str">
        <f t="shared" si="125"/>
        <v/>
      </c>
      <c r="CJ40" s="5" t="str">
        <f t="shared" si="126"/>
        <v/>
      </c>
      <c r="CK40" s="8" t="str">
        <f t="shared" si="127"/>
        <v/>
      </c>
      <c r="CL40" s="173" t="str">
        <f t="shared" si="128"/>
        <v/>
      </c>
      <c r="CM40" s="5" t="str">
        <f t="shared" si="129"/>
        <v/>
      </c>
      <c r="CN40" s="6" t="str">
        <f t="shared" si="130"/>
        <v/>
      </c>
      <c r="CO40" s="167" t="str">
        <f t="shared" si="34"/>
        <v/>
      </c>
      <c r="CP40" s="4" t="str">
        <f t="shared" si="238"/>
        <v/>
      </c>
      <c r="CQ40" s="5" t="str">
        <f t="shared" si="239"/>
        <v/>
      </c>
      <c r="CR40" s="5" t="str">
        <f t="shared" si="157"/>
        <v/>
      </c>
      <c r="CS40" s="8" t="str">
        <f t="shared" si="158"/>
        <v/>
      </c>
      <c r="CT40" s="9" t="str">
        <f t="shared" si="159"/>
        <v/>
      </c>
      <c r="CU40" s="6" t="str">
        <f t="shared" si="160"/>
        <v/>
      </c>
      <c r="CV40" s="4" t="str">
        <f t="shared" si="240"/>
        <v/>
      </c>
      <c r="CW40" s="5" t="str">
        <f t="shared" si="161"/>
        <v/>
      </c>
      <c r="CX40" s="8" t="str">
        <f t="shared" si="162"/>
        <v/>
      </c>
      <c r="CY40" s="9" t="str">
        <f t="shared" si="163"/>
        <v/>
      </c>
      <c r="CZ40" s="5" t="str">
        <f t="shared" si="164"/>
        <v/>
      </c>
      <c r="DA40" s="6" t="str">
        <f t="shared" si="165"/>
        <v/>
      </c>
      <c r="DB40" s="4" t="str">
        <f t="shared" si="166"/>
        <v/>
      </c>
      <c r="DC40" s="5" t="str">
        <f t="shared" si="166"/>
        <v/>
      </c>
      <c r="DD40" s="10" t="str">
        <f t="shared" si="167"/>
        <v/>
      </c>
      <c r="DE40" s="9" t="str">
        <f t="shared" si="168"/>
        <v/>
      </c>
      <c r="DF40" s="5" t="str">
        <f t="shared" si="168"/>
        <v/>
      </c>
      <c r="DG40" s="10" t="str">
        <f t="shared" si="169"/>
        <v/>
      </c>
      <c r="DH40" s="70" t="str">
        <f t="shared" si="170"/>
        <v/>
      </c>
      <c r="DI40" s="4" t="str">
        <f t="shared" si="171"/>
        <v/>
      </c>
      <c r="DJ40" s="5" t="str">
        <f t="shared" si="172"/>
        <v/>
      </c>
      <c r="DK40" s="10" t="str">
        <f t="shared" si="173"/>
        <v/>
      </c>
      <c r="DL40" s="9" t="str">
        <f t="shared" si="174"/>
        <v/>
      </c>
      <c r="DM40" s="173" t="str">
        <f t="shared" si="175"/>
        <v/>
      </c>
      <c r="DN40" s="178" t="str">
        <f t="shared" si="176"/>
        <v/>
      </c>
      <c r="DO40" s="9" t="str">
        <f t="shared" si="177"/>
        <v/>
      </c>
      <c r="DP40" s="173" t="str">
        <f t="shared" si="178"/>
        <v/>
      </c>
      <c r="DQ40" s="11" t="str">
        <f t="shared" si="179"/>
        <v/>
      </c>
      <c r="DR40" s="173" t="str">
        <f t="shared" si="180"/>
        <v/>
      </c>
      <c r="DS40" s="5" t="str">
        <f t="shared" si="181"/>
        <v/>
      </c>
      <c r="DT40" s="5" t="str">
        <f t="shared" si="182"/>
        <v/>
      </c>
      <c r="DU40" s="5" t="str">
        <f t="shared" si="183"/>
        <v/>
      </c>
      <c r="DV40" s="5" t="str">
        <f t="shared" si="184"/>
        <v/>
      </c>
      <c r="DW40" s="5" t="str">
        <f t="shared" si="185"/>
        <v/>
      </c>
      <c r="DX40" s="167" t="str">
        <f t="shared" si="186"/>
        <v/>
      </c>
      <c r="DY40" s="9" t="str">
        <f t="shared" si="187"/>
        <v/>
      </c>
      <c r="DZ40" s="5" t="str">
        <f t="shared" si="188"/>
        <v/>
      </c>
      <c r="EA40" s="10" t="str">
        <f t="shared" si="189"/>
        <v/>
      </c>
      <c r="EB40" s="6" t="str">
        <f t="shared" si="190"/>
        <v/>
      </c>
      <c r="EC40" s="173" t="str">
        <f t="shared" si="191"/>
        <v/>
      </c>
      <c r="ED40" s="5" t="str">
        <f t="shared" si="192"/>
        <v/>
      </c>
      <c r="EE40" s="4" t="str">
        <f t="shared" si="193"/>
        <v/>
      </c>
      <c r="EF40" s="5" t="str">
        <f t="shared" si="194"/>
        <v/>
      </c>
      <c r="EG40" s="10" t="str">
        <f t="shared" si="195"/>
        <v/>
      </c>
      <c r="EH40" s="9" t="str">
        <f t="shared" si="196"/>
        <v/>
      </c>
      <c r="EI40" s="5" t="str">
        <f t="shared" si="197"/>
        <v/>
      </c>
      <c r="EJ40" s="6" t="str">
        <f t="shared" si="198"/>
        <v/>
      </c>
      <c r="EK40" s="236" t="str">
        <f t="shared" si="199"/>
        <v/>
      </c>
      <c r="EL40" s="238" t="str">
        <f t="shared" si="200"/>
        <v/>
      </c>
      <c r="EM40" s="4" t="str">
        <f t="shared" si="201"/>
        <v/>
      </c>
      <c r="EN40" s="5" t="str">
        <f t="shared" si="202"/>
        <v/>
      </c>
      <c r="EO40" s="10" t="str">
        <f t="shared" si="203"/>
        <v/>
      </c>
      <c r="EP40" s="9" t="str">
        <f t="shared" si="204"/>
        <v/>
      </c>
      <c r="EQ40" s="5" t="str">
        <f t="shared" si="205"/>
        <v/>
      </c>
      <c r="ER40" s="7" t="str">
        <f t="shared" si="206"/>
        <v/>
      </c>
      <c r="ES40" s="21" t="str">
        <f t="shared" si="131"/>
        <v/>
      </c>
      <c r="ET40" s="5" t="str">
        <f t="shared" si="43"/>
        <v/>
      </c>
      <c r="EU40" s="10" t="str">
        <f t="shared" si="44"/>
        <v/>
      </c>
      <c r="EV40" s="174" t="str">
        <f t="shared" si="250"/>
        <v/>
      </c>
      <c r="EW40" s="9" t="str">
        <f t="shared" si="132"/>
        <v/>
      </c>
      <c r="EX40" s="5" t="str">
        <f t="shared" si="45"/>
        <v/>
      </c>
      <c r="EY40" s="6" t="str">
        <f t="shared" si="207"/>
        <v/>
      </c>
      <c r="EZ40" s="51" t="str">
        <f t="shared" si="208"/>
        <v/>
      </c>
      <c r="FA40" s="266" t="str">
        <f t="shared" si="133"/>
        <v/>
      </c>
      <c r="FB40" s="267" t="str">
        <f t="shared" si="134"/>
        <v/>
      </c>
      <c r="FC40" s="269" t="str">
        <f t="shared" si="46"/>
        <v/>
      </c>
      <c r="FD40" s="4" t="str">
        <f t="shared" si="135"/>
        <v/>
      </c>
      <c r="FE40" s="5" t="str">
        <f t="shared" si="47"/>
        <v/>
      </c>
      <c r="FF40" s="7" t="str">
        <f t="shared" si="209"/>
        <v/>
      </c>
      <c r="FG40" s="173" t="str">
        <f t="shared" si="210"/>
        <v/>
      </c>
      <c r="FH40" s="5" t="str">
        <f t="shared" si="48"/>
        <v/>
      </c>
      <c r="FI40" s="10" t="str">
        <f t="shared" si="49"/>
        <v/>
      </c>
      <c r="FJ40" s="279" t="str">
        <f t="shared" si="211"/>
        <v/>
      </c>
      <c r="FK40" s="4" t="str">
        <f t="shared" si="50"/>
        <v/>
      </c>
      <c r="FL40" s="5" t="str">
        <f t="shared" si="212"/>
        <v/>
      </c>
      <c r="FM40" s="8" t="str">
        <f t="shared" si="213"/>
        <v/>
      </c>
      <c r="FN40" s="9" t="str">
        <f t="shared" si="214"/>
        <v/>
      </c>
      <c r="FO40" s="10" t="str">
        <f t="shared" si="51"/>
        <v/>
      </c>
      <c r="FP40" s="277" t="str">
        <f t="shared" si="52"/>
        <v/>
      </c>
      <c r="FQ40" s="173" t="str">
        <f t="shared" si="241"/>
        <v/>
      </c>
      <c r="FR40" s="10" t="str">
        <f t="shared" si="215"/>
        <v/>
      </c>
      <c r="FS40" s="9" t="str">
        <f t="shared" si="216"/>
        <v/>
      </c>
      <c r="FT40" s="6" t="str">
        <f t="shared" si="217"/>
        <v/>
      </c>
      <c r="FU40" s="4" t="str">
        <f t="shared" si="218"/>
        <v/>
      </c>
      <c r="FV40" s="5" t="str">
        <f t="shared" si="219"/>
        <v/>
      </c>
      <c r="FW40" s="8" t="str">
        <f t="shared" si="242"/>
        <v/>
      </c>
      <c r="FX40" s="9" t="str">
        <f t="shared" si="243"/>
        <v/>
      </c>
      <c r="FY40" s="10" t="str">
        <f t="shared" si="53"/>
        <v/>
      </c>
      <c r="FZ40" s="277" t="str">
        <f t="shared" si="244"/>
        <v/>
      </c>
      <c r="GA40" s="177" t="str">
        <f t="shared" si="220"/>
        <v/>
      </c>
      <c r="GB40" s="4" t="str">
        <f t="shared" si="221"/>
        <v/>
      </c>
      <c r="GC40" s="5" t="str">
        <f t="shared" si="222"/>
        <v/>
      </c>
      <c r="GD40" s="10" t="str">
        <f t="shared" si="223"/>
        <v/>
      </c>
      <c r="GE40" s="311" t="str">
        <f t="shared" si="224"/>
        <v/>
      </c>
      <c r="GF40" s="341" t="str">
        <f t="shared" si="245"/>
        <v/>
      </c>
      <c r="GG40" s="285" t="str">
        <f t="shared" si="54"/>
        <v/>
      </c>
      <c r="GH40" s="286" t="str">
        <f t="shared" si="55"/>
        <v/>
      </c>
      <c r="GI40" s="281" t="str">
        <f t="shared" si="56"/>
        <v/>
      </c>
      <c r="GJ40" s="167" t="str">
        <f t="shared" si="225"/>
        <v/>
      </c>
      <c r="GK40" s="174" t="str">
        <f t="shared" si="57"/>
        <v/>
      </c>
      <c r="GL40" s="174" t="str">
        <f t="shared" si="226"/>
        <v/>
      </c>
      <c r="GM40" s="177" t="str">
        <f t="shared" si="246"/>
        <v/>
      </c>
      <c r="GN40" s="280" t="str">
        <f t="shared" si="227"/>
        <v/>
      </c>
      <c r="GO40" s="4" t="str">
        <f t="shared" si="228"/>
        <v/>
      </c>
      <c r="GP40" s="8" t="str">
        <f t="shared" si="247"/>
        <v/>
      </c>
      <c r="GQ40" s="177" t="str">
        <f t="shared" si="229"/>
        <v/>
      </c>
      <c r="GR40" s="371" t="str">
        <f t="shared" si="248"/>
        <v/>
      </c>
      <c r="GS40" s="342" t="str">
        <f t="shared" si="59"/>
        <v/>
      </c>
      <c r="GT40" s="343" t="str">
        <f t="shared" si="60"/>
        <v/>
      </c>
      <c r="GU40" s="344" t="str">
        <f t="shared" si="61"/>
        <v/>
      </c>
      <c r="GV40" s="343" t="str">
        <f t="shared" si="251"/>
        <v/>
      </c>
      <c r="GW40" s="345" t="str">
        <f t="shared" si="62"/>
        <v/>
      </c>
      <c r="GX40" s="346" t="str">
        <f t="shared" si="63"/>
        <v/>
      </c>
      <c r="GY40" s="344" t="str">
        <f t="shared" si="64"/>
        <v/>
      </c>
      <c r="GZ40" s="345" t="str">
        <f t="shared" si="65"/>
        <v/>
      </c>
      <c r="HA40" s="342" t="str">
        <f t="shared" si="66"/>
        <v/>
      </c>
      <c r="HB40" s="5" t="str">
        <f t="shared" si="230"/>
        <v/>
      </c>
      <c r="HC40" s="343" t="str">
        <f t="shared" si="231"/>
        <v/>
      </c>
      <c r="HD40" s="363" t="str">
        <f t="shared" si="232"/>
        <v/>
      </c>
      <c r="HE40" s="344" t="str">
        <f t="shared" si="67"/>
        <v/>
      </c>
      <c r="HF40" s="5" t="str">
        <f t="shared" si="68"/>
        <v/>
      </c>
      <c r="HG40" s="343" t="str">
        <f t="shared" si="233"/>
        <v/>
      </c>
      <c r="HH40" s="349" t="str">
        <f t="shared" si="234"/>
        <v/>
      </c>
      <c r="HI40" s="317" t="str">
        <f t="shared" si="69"/>
        <v/>
      </c>
      <c r="HJ40" s="336"/>
      <c r="HK40" s="310" t="str">
        <f t="shared" si="136"/>
        <v/>
      </c>
      <c r="HL40" s="348" t="str">
        <f t="shared" si="70"/>
        <v/>
      </c>
      <c r="HM40" s="923" t="str">
        <f t="shared" si="71"/>
        <v/>
      </c>
      <c r="HN40" s="924" t="str">
        <f t="shared" si="72"/>
        <v/>
      </c>
      <c r="HO40" s="925"/>
      <c r="HP40" s="926"/>
      <c r="HQ40" s="924" t="str">
        <f t="shared" si="73"/>
        <v/>
      </c>
      <c r="HR40" s="927" t="str">
        <f t="shared" si="74"/>
        <v/>
      </c>
      <c r="HS40" s="879" t="str">
        <f t="shared" si="249"/>
        <v/>
      </c>
      <c r="HT40" s="889" t="str">
        <f t="shared" si="75"/>
        <v/>
      </c>
      <c r="HU40" s="890" t="str">
        <f t="shared" si="76"/>
        <v/>
      </c>
      <c r="HV40" s="886" t="str">
        <f t="shared" si="77"/>
        <v/>
      </c>
      <c r="HW40" s="880" t="str">
        <f t="shared" si="78"/>
        <v/>
      </c>
      <c r="HX40" s="881" t="str">
        <f t="shared" si="79"/>
        <v/>
      </c>
      <c r="HY40" s="880" t="str">
        <f t="shared" si="80"/>
        <v/>
      </c>
      <c r="HZ40" s="882" t="str">
        <f t="shared" si="81"/>
        <v/>
      </c>
      <c r="IA40" s="883" t="str">
        <f t="shared" si="82"/>
        <v/>
      </c>
      <c r="IB40" s="884" t="str">
        <f t="shared" si="83"/>
        <v/>
      </c>
      <c r="IC40" s="855" t="str">
        <f t="shared" si="84"/>
        <v/>
      </c>
      <c r="ID40" s="351" t="str">
        <f t="shared" si="85"/>
        <v/>
      </c>
      <c r="IE40" s="857" t="str">
        <f t="shared" si="86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5"/>
        <v>6.1150000000000002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7"/>
        <v>1613</v>
      </c>
      <c r="IM40" s="482" t="str">
        <f t="shared" si="236"/>
        <v/>
      </c>
      <c r="IN40" s="670" t="str">
        <f t="shared" si="89"/>
        <v/>
      </c>
      <c r="IO40" s="702"/>
      <c r="IP40" s="5" t="str">
        <f t="shared" si="90"/>
        <v/>
      </c>
      <c r="IQ40" s="714"/>
      <c r="IR40" s="9" t="str">
        <f t="shared" si="137"/>
        <v/>
      </c>
      <c r="IS40" s="5" t="str">
        <f t="shared" si="91"/>
        <v/>
      </c>
      <c r="IT40" s="5" t="str">
        <f t="shared" si="92"/>
        <v/>
      </c>
      <c r="IU40" s="5" t="str">
        <f t="shared" si="93"/>
        <v/>
      </c>
      <c r="IV40" s="670" t="str">
        <f t="shared" si="94"/>
        <v/>
      </c>
      <c r="IW40" s="9" t="str">
        <f t="shared" si="95"/>
        <v/>
      </c>
      <c r="IX40" s="5" t="str">
        <f t="shared" si="96"/>
        <v/>
      </c>
      <c r="IY40" s="5" t="str">
        <f t="shared" si="97"/>
        <v/>
      </c>
      <c r="IZ40" s="5" t="str">
        <f t="shared" si="98"/>
        <v/>
      </c>
      <c r="JA40" s="705" t="str">
        <f t="shared" si="99"/>
        <v/>
      </c>
    </row>
    <row r="41" spans="1:269" ht="15" customHeight="1" x14ac:dyDescent="0.25">
      <c r="A41" s="75">
        <f t="shared" ref="A41:A72" si="254">IF($K41="","",IF(AND($A$8="Y",ISNUMBER($K41)),$A$5,0))</f>
        <v>0</v>
      </c>
      <c r="B41" s="578">
        <f t="shared" ref="B41:B72" si="255">IFERROR(Q196+($A41*-E41),"")</f>
        <v>-3.3698147522047077</v>
      </c>
      <c r="C41" s="572">
        <f t="shared" ref="C41:C72" si="256">IFERROR(R196+($A41*-F41),"")</f>
        <v>1.6789120586143118</v>
      </c>
      <c r="D41" s="576">
        <f t="shared" ref="D41:D72" si="257">IFERROR(S196+($A41*-G41),"")</f>
        <v>-1.6297000000000001</v>
      </c>
      <c r="E41" s="580">
        <f t="shared" ref="E41:E72" si="258">T196</f>
        <v>-0.82851588755163097</v>
      </c>
      <c r="F41" s="572">
        <f t="shared" ref="F41:F72" si="259">U196</f>
        <v>-0.55656895692106378</v>
      </c>
      <c r="G41" s="579">
        <f t="shared" ref="G41:G72" si="260">V196</f>
        <v>6.1582629582798941E-2</v>
      </c>
      <c r="H41" s="580">
        <f t="shared" ref="H41:H72" si="261">W196</f>
        <v>0.26450000000000001</v>
      </c>
      <c r="I41" s="572">
        <f t="shared" ref="I41:I72" si="262">X196</f>
        <v>0.52</v>
      </c>
      <c r="J41" s="483">
        <f t="shared" ref="J41:J72" si="263">IF(Y196=0,"",Y196)</f>
        <v>6.1180000000000003</v>
      </c>
      <c r="K41" s="806">
        <f t="shared" ref="K41:K72" si="264">Z196</f>
        <v>1313</v>
      </c>
      <c r="L41" s="309"/>
      <c r="M41" s="164">
        <f t="shared" ref="M41:M72" si="265">IF(J41="","",VALUE(J41))</f>
        <v>6.1180000000000003</v>
      </c>
      <c r="N41" s="575">
        <f t="shared" ref="N41:N72" si="266">IF(M41="","",B41)</f>
        <v>-3.3698147522047077</v>
      </c>
      <c r="O41" s="572">
        <f t="shared" ref="O41:O72" si="267">IF(M41="","",C41)</f>
        <v>1.6789120586143118</v>
      </c>
      <c r="P41" s="576">
        <f t="shared" ref="P41:P72" si="268">IF(M41="","",D41)</f>
        <v>-1.6297000000000001</v>
      </c>
      <c r="Q41" s="528">
        <f t="shared" si="138"/>
        <v>153.51655586947462</v>
      </c>
      <c r="R41" s="572">
        <f t="shared" si="100"/>
        <v>3.764890060112914</v>
      </c>
      <c r="S41" s="577">
        <f t="shared" si="101"/>
        <v>-1.6297000000000001</v>
      </c>
      <c r="T41" s="578">
        <f t="shared" si="102"/>
        <v>1.6436345446138876</v>
      </c>
      <c r="U41" s="572">
        <f t="shared" si="103"/>
        <v>3.3871614441134805</v>
      </c>
      <c r="V41" s="579">
        <f t="shared" si="139"/>
        <v>-1.6297000000000001</v>
      </c>
      <c r="W41" s="528">
        <f t="shared" si="252"/>
        <v>64.11482179213904</v>
      </c>
      <c r="X41" s="572">
        <f t="shared" si="104"/>
        <v>3.764890060112914</v>
      </c>
      <c r="Y41" s="573">
        <f t="shared" si="253"/>
        <v>-1.6297000000000001</v>
      </c>
      <c r="Z41" s="575">
        <f t="shared" ref="Z41:Z72" si="269">IF(M41="","",-E41)</f>
        <v>0.82851588755163097</v>
      </c>
      <c r="AA41" s="572">
        <f t="shared" ref="AA41:AA72" si="270">IF(M41="","",-F41)</f>
        <v>0.55656895692106378</v>
      </c>
      <c r="AB41" s="572">
        <f t="shared" ref="AB41:AB72" si="271">IF(M41="","",-G41)</f>
        <v>-6.1582629582798941E-2</v>
      </c>
      <c r="AC41" s="579">
        <f t="shared" si="105"/>
        <v>1</v>
      </c>
      <c r="AD41" s="580">
        <f t="shared" si="140"/>
        <v>0.82851588755163097</v>
      </c>
      <c r="AE41" s="572">
        <f t="shared" si="106"/>
        <v>0.55656895692106378</v>
      </c>
      <c r="AF41" s="576">
        <f t="shared" si="107"/>
        <v>-6.1582629582798941E-2</v>
      </c>
      <c r="AG41" s="545">
        <f t="shared" si="108"/>
        <v>83.686082584528037</v>
      </c>
      <c r="AH41" s="546">
        <f t="shared" si="109"/>
        <v>34.053415754505217</v>
      </c>
      <c r="AI41" s="528">
        <f t="shared" si="110"/>
        <v>-86.469341207320554</v>
      </c>
      <c r="AJ41" s="529">
        <f t="shared" si="111"/>
        <v>123.89187078657055</v>
      </c>
      <c r="AK41" s="578">
        <f t="shared" si="237"/>
        <v>0.8676321337037376</v>
      </c>
      <c r="AL41" s="572">
        <f t="shared" si="112"/>
        <v>-0.49337821222503075</v>
      </c>
      <c r="AM41" s="577">
        <f t="shared" si="113"/>
        <v>-6.1582629582798941E-2</v>
      </c>
      <c r="AN41" s="524">
        <f t="shared" si="114"/>
        <v>-82.885234373821604</v>
      </c>
      <c r="AO41" s="525">
        <f t="shared" si="115"/>
        <v>29.815366732757649</v>
      </c>
      <c r="AP41" s="528">
        <f t="shared" si="116"/>
        <v>-29.624685082904055</v>
      </c>
      <c r="AQ41" s="529">
        <f t="shared" ref="AQ41:AQ72" si="272">IF(M41="","",DEGREES(ATAN(($AS$5*SIN(RADIANS(90)))/(($X41*2*PI())-($AS$5*COS(RADIANS(90)))))))</f>
        <v>0.60550022092198474</v>
      </c>
      <c r="AS41" s="946">
        <f t="shared" si="141"/>
        <v>-295.88517820786097</v>
      </c>
      <c r="AT41" s="942">
        <f t="shared" ref="AT41:AT72" si="273">IF(M41="","",Y41+(((AS41-$AS$9)*$AS$6)*-1))</f>
        <v>-1.419950665871029</v>
      </c>
      <c r="AU41" s="418"/>
      <c r="AV41" s="164" t="str">
        <f t="shared" ref="AV41:AV72" si="27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5">IF(ISNUMBER(AV41),$AY41*SQRT((2*PI()*$AW41)^2+$AS$5^2),"")</f>
        <v/>
      </c>
      <c r="BA41" s="296" t="str">
        <f t="shared" ref="BA41:BA72" si="276">IF(ISNUMBER(AV41),AZ41/$AZ$151,"")</f>
        <v/>
      </c>
      <c r="BB41" s="190" t="str">
        <f t="shared" si="143"/>
        <v/>
      </c>
      <c r="BC41" s="9"/>
      <c r="BD41" s="5" t="str">
        <f t="shared" ref="BD41:BD53" si="277">IF(ISNUMBER(AV41),AW41,"")</f>
        <v/>
      </c>
      <c r="BE41" s="6" t="str">
        <f t="shared" ref="BE41:BE72" si="278">IF(ISNUMBER(AV41),Y41+BB41,"")</f>
        <v/>
      </c>
      <c r="BF41" s="4" t="str">
        <f t="shared" ref="BF41:BF72" si="279">IF(ISNUMBER($AV41),N41,"")</f>
        <v/>
      </c>
      <c r="BG41" s="5" t="str">
        <f t="shared" ref="BG41:BG72" si="280">IF(ISNUMBER($AV41),O41,"")</f>
        <v/>
      </c>
      <c r="BH41" s="10" t="str">
        <f t="shared" ref="BH41:BH72" si="281">IF(ISNUMBER($AV41),P41,"")</f>
        <v/>
      </c>
      <c r="BI41" s="9" t="str">
        <f t="shared" ref="BI41:BI53" si="282">IF(ISNUMBER($AV41),BF41+0,"")</f>
        <v/>
      </c>
      <c r="BJ41" s="5" t="str">
        <f t="shared" ref="BJ41:BJ72" si="283">IF(ISNUMBER($AV41),BG41+COS(RADIANS($AG41)),"")</f>
        <v/>
      </c>
      <c r="BK41" s="8" t="str">
        <f t="shared" ref="BK41:BK72" si="284">IF(ISNUMBER($AV41),BH41+SIN(RADIANS($AG41)),"")</f>
        <v/>
      </c>
      <c r="BL41" s="173" t="str">
        <f t="shared" ref="BL41:BL72" si="285">IF(ISNUMBER($AV41),BF41+SIN(RADIANS($AH41)),"")</f>
        <v/>
      </c>
      <c r="BM41" s="5" t="str">
        <f t="shared" ref="BM41:BM72" si="286">IF(ISNUMBER($AV41),BG41-SIN(RADIANS($AG41))*COS(RADIANS($AH41)),"")</f>
        <v/>
      </c>
      <c r="BN41" s="6" t="str">
        <f t="shared" ref="BN41:BN72" si="287">IF(ISNUMBER($AV41),BH41+COS(RADIANS($AG41))*COS(RADIANS($AH41)),"")</f>
        <v/>
      </c>
      <c r="BO41" s="4" t="str">
        <f t="shared" ref="BO41:BO53" si="288">IF(ISNUMBER($AV41),BJ41*BN41-BM41*BK41-BG41*(BN41-BK41)+BH41*(BM41-BJ41),"")</f>
        <v/>
      </c>
      <c r="BP41" s="5" t="str">
        <f t="shared" ref="BP41:BP53" si="289">IF(ISNUMBER($AV41),BF41*(BN41-BK41)-(BI41*BN41-BL41*BK41)+BH41*(BI41-BL41),"")</f>
        <v/>
      </c>
      <c r="BQ41" s="5" t="str">
        <f t="shared" ref="BQ41:BQ53" si="290">IF(ISNUMBER($AV41),BF41*(BJ41-BM41)-BG41*(BI41-BL41)+(BI41*BM41-BL41*BJ41),"")</f>
        <v/>
      </c>
      <c r="BR41" s="6" t="str">
        <f t="shared" ref="BR41:BR53" si="291">IF(ISNUMBER($AV41),-(BF41*(BJ41*BN41-BM41*BK41)-BG41*(BI41*BN41-BL41*BK41)+BH41*(BI41*BM41-BL41*BJ41)),"")</f>
        <v/>
      </c>
      <c r="BS41" s="4" t="str">
        <f t="shared" si="117"/>
        <v/>
      </c>
      <c r="BT41" s="5" t="str">
        <f t="shared" si="117"/>
        <v/>
      </c>
      <c r="BU41" s="10" t="str">
        <f t="shared" si="118"/>
        <v/>
      </c>
      <c r="BV41" s="9" t="str">
        <f t="shared" si="119"/>
        <v/>
      </c>
      <c r="BW41" s="5" t="str">
        <f t="shared" si="120"/>
        <v/>
      </c>
      <c r="BX41" s="8" t="str">
        <f t="shared" si="121"/>
        <v/>
      </c>
      <c r="BY41" s="173" t="str">
        <f t="shared" si="122"/>
        <v/>
      </c>
      <c r="BZ41" s="5" t="str">
        <f t="shared" si="123"/>
        <v/>
      </c>
      <c r="CA41" s="6" t="str">
        <f t="shared" si="124"/>
        <v/>
      </c>
      <c r="CB41" s="4" t="str">
        <f t="shared" ref="CB41:CB53" si="292">IF(ISNUMBER($AV41),BW41*CA41-BZ41*BX41-BT41*(CA41-BX41)+BU41*(BZ41-BW41),"")</f>
        <v/>
      </c>
      <c r="CC41" s="5" t="str">
        <f t="shared" ref="CC41:CC53" si="293">IF(ISNUMBER($AV41),BS41*(CA41-BX41)-(BV41*CA41-BY41*BX41)+BU41*(BV41-BY41),"")</f>
        <v/>
      </c>
      <c r="CD41" s="5" t="str">
        <f t="shared" ref="CD41:CD53" si="294">IF(ISNUMBER($AV41),BS41*(BW41-BZ41)-BT41*(BV41-BY41)+(BV41*BZ41-BY41*BW41),"")</f>
        <v/>
      </c>
      <c r="CE41" s="6" t="str">
        <f t="shared" ref="CE41:CE53" si="295">IF(ISNUMBER($AV41),-(BS41*(BW41*CA41-BZ41*BX41)-BT41*(BV41*CA41-BY41*BX41)+BU41*(BV41*BZ41-BY41*BW41)),"")</f>
        <v/>
      </c>
      <c r="CF41" s="4" t="str">
        <f t="shared" ref="CF41:CF53" si="296">IF(ISNUMBER($AV41),(BP41*CD41)-(BQ41*CC41),"")</f>
        <v/>
      </c>
      <c r="CG41" s="5" t="str">
        <f t="shared" ref="CG41:CG53" si="297">IF(ISNUMBER($AV41),(BQ41*CB41)-(BO41*CD41),"")</f>
        <v/>
      </c>
      <c r="CH41" s="5" t="str">
        <f t="shared" ref="CH41:CH53" si="298">IF(ISNUMBER($AV41),(BO41*CC41)-(BP41*CB41),"")</f>
        <v/>
      </c>
      <c r="CI41" s="4" t="str">
        <f t="shared" si="125"/>
        <v/>
      </c>
      <c r="CJ41" s="5" t="str">
        <f t="shared" ref="CJ41:CJ53" si="299">IF(ISNUMBER($AV41),(CD41*BR41-BQ41*CE41)/(BQ41*CC41-CD41*BP41),"")</f>
        <v/>
      </c>
      <c r="CK41" s="8" t="str">
        <f t="shared" ref="CK41:CK53" si="300">IF(ISNUMBER($AV41),(CC41*BR41-BP41*CE41)/(-CC41*BQ41+BP41*CD41),"")</f>
        <v/>
      </c>
      <c r="CL41" s="173" t="str">
        <f t="shared" ref="CL41:CL53" si="301">IF(ISNUMBER($AV41),CI41+CF41,"")</f>
        <v/>
      </c>
      <c r="CM41" s="5" t="str">
        <f t="shared" ref="CM41:CM53" si="302">IF(ISNUMBER($AV41),CJ41+CG41,"")</f>
        <v/>
      </c>
      <c r="CN41" s="6" t="str">
        <f t="shared" ref="CN41:CN53" si="303">IF(ISNUMBER($AV41),CK41+CH41,"")</f>
        <v/>
      </c>
      <c r="CO41" s="167" t="str">
        <f t="shared" ref="CO41:CO72" si="304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5">IF(ISNUMBER($AV41),(CL41-CI41)^2+(CM41-CJ41)^2+(CN41-CK41)^2,"")</f>
        <v/>
      </c>
      <c r="CQ41" s="5" t="str">
        <f t="shared" ref="CQ41:CQ53" si="306">IF(ISNUMBER($AV41),2*((CL41-CI41)*(CI41-BF41)+(CM41-CJ41)*(CJ41-BG41)+(CN41-CK41)*(CK41-BH41)),"")</f>
        <v/>
      </c>
      <c r="CR41" s="5" t="str">
        <f t="shared" ref="CR41:CR53" si="307">IF(ISNUMBER($AV41),BF41^2+BG41^2+BH41^2+CI41^2+CJ41^2+CK41^2-2*(BF41*CI41+BG41*CJ41+BH41*CK41)-CO41^2,"")</f>
        <v/>
      </c>
      <c r="CS41" s="8" t="str">
        <f t="shared" ref="CS41:CS53" si="308">IF(ISNUMBER($AV41),CQ41^2-(4*CP41*CR41),"")</f>
        <v/>
      </c>
      <c r="CT41" s="9" t="str">
        <f t="shared" si="159"/>
        <v/>
      </c>
      <c r="CU41" s="6" t="str">
        <f t="shared" ref="CU41:CU53" si="309">IF(ISNUMBER($AV41),(-CQ41-SQRT(CS41))/(CP41*2),"")</f>
        <v/>
      </c>
      <c r="CV41" s="4" t="str">
        <f t="shared" ref="CV41:CV53" si="310">IF(ISNUMBER($AV41),CI41+($CT41*(CL41-CI41)),"")</f>
        <v/>
      </c>
      <c r="CW41" s="5" t="str">
        <f t="shared" ref="CW41:CW53" si="311">IF(ISNUMBER($AV41),CJ41+($CT41*(CM41-CJ41)),"")</f>
        <v/>
      </c>
      <c r="CX41" s="8" t="str">
        <f t="shared" ref="CX41:CX53" si="312">IF(ISNUMBER($AV41),CK41+($CT41*(CN41-CK41)),"")</f>
        <v/>
      </c>
      <c r="CY41" s="9" t="str">
        <f t="shared" ref="CY41:CY53" si="313">IF(ISNUMBER($AV41),CI41+($CU41*(CL41-CI41)),"")</f>
        <v/>
      </c>
      <c r="CZ41" s="5" t="str">
        <f t="shared" ref="CZ41:CZ53" si="314">IF(ISNUMBER($AV41),CJ41+($CU41*(CM41-CJ41)),"")</f>
        <v/>
      </c>
      <c r="DA41" s="6" t="str">
        <f t="shared" ref="DA41:DA53" si="315">IF(ISNUMBER($AV41),CK41+($CU41*(CN41-CK41)),"")</f>
        <v/>
      </c>
      <c r="DB41" s="4" t="str">
        <f t="shared" si="166"/>
        <v/>
      </c>
      <c r="DC41" s="5" t="str">
        <f t="shared" si="166"/>
        <v/>
      </c>
      <c r="DD41" s="10" t="str">
        <f t="shared" si="167"/>
        <v/>
      </c>
      <c r="DE41" s="9" t="str">
        <f t="shared" si="168"/>
        <v/>
      </c>
      <c r="DF41" s="5" t="str">
        <f t="shared" si="168"/>
        <v/>
      </c>
      <c r="DG41" s="10" t="str">
        <f t="shared" si="169"/>
        <v/>
      </c>
      <c r="DH41" s="70" t="str">
        <f t="shared" ref="DH41:DH53" si="316">IF(ISNUMBER($AV41),BD41,"")</f>
        <v/>
      </c>
      <c r="DI41" s="4" t="str">
        <f t="shared" ref="DI41:DI53" si="317">IF(ISNUMBER($AV41),DE41-DB41,"")</f>
        <v/>
      </c>
      <c r="DJ41" s="5" t="str">
        <f t="shared" ref="DJ41:DJ53" si="318">IF(ISNUMBER($AV41),DF41-DC41,"")</f>
        <v/>
      </c>
      <c r="DK41" s="10" t="str">
        <f t="shared" ref="DK41:DK53" si="319">IF(ISNUMBER($AV41),DG41-DD41,"")</f>
        <v/>
      </c>
      <c r="DL41" s="9" t="str">
        <f t="shared" ref="DL41:DL53" si="320">IF(ISNUMBER($AV41),CV41-DB41,"")</f>
        <v/>
      </c>
      <c r="DM41" s="173" t="str">
        <f t="shared" ref="DM41:DM53" si="321">IF(ISNUMBER($AV41),CW41-DC41,"")</f>
        <v/>
      </c>
      <c r="DN41" s="178" t="str">
        <f t="shared" ref="DN41:DN53" si="322">IF(ISNUMBER($AV41),CX41-DD41,"")</f>
        <v/>
      </c>
      <c r="DO41" s="9" t="str">
        <f t="shared" ref="DO41:DO53" si="323">IF(ISNUMBER($AV41),CY41-CV41,"")</f>
        <v/>
      </c>
      <c r="DP41" s="173" t="str">
        <f t="shared" ref="DP41:DP53" si="324">IF(ISNUMBER($AV41),CZ41-CW41,"")</f>
        <v/>
      </c>
      <c r="DQ41" s="11" t="str">
        <f t="shared" ref="DQ41:DQ53" si="325">IF(ISNUMBER($AV41),DA41-CX41,"")</f>
        <v/>
      </c>
      <c r="DR41" s="173" t="str">
        <f t="shared" ref="DR41:DR53" si="326">IF(ISNUMBER($AV41),SUMPRODUCT(DI41:DK41,DL41:DN41),"")</f>
        <v/>
      </c>
      <c r="DS41" s="5" t="str">
        <f t="shared" ref="DS41:DS53" si="327">IF(ISNUMBER($AV41),SUMPRODUCT(DO41:DQ41,DI41:DK41),"")</f>
        <v/>
      </c>
      <c r="DT41" s="5" t="str">
        <f t="shared" ref="DT41:DT53" si="328">IF(ISNUMBER($AV41),SUMPRODUCT(DI41:DK41,DI41:DK41),"")</f>
        <v/>
      </c>
      <c r="DU41" s="5" t="str">
        <f t="shared" ref="DU41:DU53" si="329">IF(ISNUMBER($AV41),SUMPRODUCT(DO41:DQ41,DO41:DQ41),"")</f>
        <v/>
      </c>
      <c r="DV41" s="5" t="str">
        <f t="shared" ref="DV41:DV53" si="330">IF(ISNUMBER($AV41),SUMPRODUCT(DL41:DN41,DO41:DQ41),"")</f>
        <v/>
      </c>
      <c r="DW41" s="5" t="str">
        <f t="shared" ref="DW41:DW53" si="331">IF(ISNUMBER($AV41),SUMPRODUCT(DL41:DN41,DL41:DN41),"")</f>
        <v/>
      </c>
      <c r="DX41" s="167" t="str">
        <f t="shared" ref="DX41:DX53" si="332">IF(ISNUMBER($AV41),DW41-DH41*DH41,"")</f>
        <v/>
      </c>
      <c r="DY41" s="9" t="str">
        <f t="shared" ref="DY41:DY53" si="333">IF(ISNUMBER($AV41),DT41*DU41-DS41*DS41,"")</f>
        <v/>
      </c>
      <c r="DZ41" s="5" t="str">
        <f t="shared" ref="DZ41:DZ53" si="334">IF(ISNUMBER($AV41),DT41*DV41-DS41*DR41,"")</f>
        <v/>
      </c>
      <c r="EA41" s="10" t="str">
        <f t="shared" ref="EA41:EA53" si="335">IF(ISNUMBER($AV41),DT41*DX41-DR41*DR41,"")</f>
        <v/>
      </c>
      <c r="EB41" s="6" t="str">
        <f t="shared" ref="EB41:EB53" si="336">IF(ISNUMBER($AV41),DZ41*DZ41-DY41*EA41,"")</f>
        <v/>
      </c>
      <c r="EC41" s="173" t="str">
        <f t="shared" ref="EC41:EC53" si="337">IF(ISNUMBER($AV41),(-DZ41+SQRT(DZ41^2-DY41*EA41))/DY41,"")</f>
        <v/>
      </c>
      <c r="ED41" s="5" t="str">
        <f t="shared" ref="ED41:ED53" si="338">IF(ISNUMBER($AV41),(-DZ41-SQRT(DZ41^2-DY41*EA41))/DY41,"")</f>
        <v/>
      </c>
      <c r="EE41" s="4" t="str">
        <f t="shared" ref="EE41:EE53" si="339">IF(ISNUMBER($AV41),CV41+DO41*$EC41,"")</f>
        <v/>
      </c>
      <c r="EF41" s="5" t="str">
        <f t="shared" ref="EF41:EF53" si="340">IF(ISNUMBER($AV41),CW41+DP41*$EC41,"")</f>
        <v/>
      </c>
      <c r="EG41" s="10" t="str">
        <f t="shared" ref="EG41:EG53" si="341">IF(ISNUMBER($AV41),CX41+DQ41*$EC41,"")</f>
        <v/>
      </c>
      <c r="EH41" s="9" t="str">
        <f t="shared" ref="EH41:EH53" si="342">IF(ISNUMBER($AV41),CV41+DO41*$ED41,"")</f>
        <v/>
      </c>
      <c r="EI41" s="5" t="str">
        <f t="shared" ref="EI41:EI53" si="343">IF(ISNUMBER($AV41),CW41+DP41*$ED41,"")</f>
        <v/>
      </c>
      <c r="EJ41" s="6" t="str">
        <f t="shared" ref="EJ41:EJ53" si="344">IF(ISNUMBER($AV41),CX41+DQ41*$ED41,"")</f>
        <v/>
      </c>
      <c r="EK41" s="236" t="str">
        <f t="shared" si="199"/>
        <v/>
      </c>
      <c r="EL41" s="238" t="str">
        <f t="shared" si="200"/>
        <v/>
      </c>
      <c r="EM41" s="4" t="str">
        <f t="shared" ref="EM41:EM53" si="345">IF(ISNUMBER($AV41),IF($EK41=TRUE,EE41,IF($EL41=TRUE,EH41,"")),"")</f>
        <v/>
      </c>
      <c r="EN41" s="5" t="str">
        <f t="shared" ref="EN41:EN53" si="346">IF(ISNUMBER($AV41),IF($EK41=TRUE,EF41,IF($EL41=TRUE,EI41,"")),"")</f>
        <v/>
      </c>
      <c r="EO41" s="10" t="str">
        <f t="shared" ref="EO41:EO53" si="347">IF(ISNUMBER($AV41),IF($EK41=TRUE,EG41,IF($EL41=TRUE,EJ41,"")),"")</f>
        <v/>
      </c>
      <c r="EP41" s="9" t="str">
        <f t="shared" ref="EP41:EP53" si="34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49">IF(ISNUMBER($AV41),SQRT(EM41^2+EN41^2),"")</f>
        <v/>
      </c>
      <c r="ER41" s="7" t="str">
        <f t="shared" ref="ER41:ER53" si="350">IF(ISNUMBER($AV41),EO41,"")</f>
        <v/>
      </c>
      <c r="ES41" s="21" t="str">
        <f t="shared" ref="ES41:ES72" si="351">IF(ISNUMBER($AV41),AD41,"")</f>
        <v/>
      </c>
      <c r="ET41" s="5" t="str">
        <f t="shared" ref="ET41:ET72" si="352">IF(ISNUMBER($AV41),AE41,"")</f>
        <v/>
      </c>
      <c r="EU41" s="10" t="str">
        <f t="shared" ref="EU41:EU72" si="353">IF(ISNUMBER($AV41),AF41,"")</f>
        <v/>
      </c>
      <c r="EV41" s="174" t="str">
        <f t="shared" ref="EV41:EV53" si="354">IF(ISNUMBER($AV41),IF(($EV$1-EP41)&lt;0,(360+($EV$1-EP41)),($EV$1-EP41)),"")</f>
        <v/>
      </c>
      <c r="EW41" s="9" t="str">
        <f t="shared" ref="EW41:EW53" si="355">IF(ISNUMBER($AV41),(COS(RADIANS($EV41))*ES41)+(-SIN(RADIANS($EV41))*ET41),"")</f>
        <v/>
      </c>
      <c r="EX41" s="5" t="str">
        <f t="shared" ref="EX41:EX53" si="356">IF(ISNUMBER($AV41),(SIN(RADIANS($EV41))*ES41)+(COS(RADIANS($EV41))*ET41),"")</f>
        <v/>
      </c>
      <c r="EY41" s="6" t="str">
        <f t="shared" ref="EY41:EY53" si="357">IF(ISNUMBER($AV41),EU41,"")</f>
        <v/>
      </c>
      <c r="EZ41" s="51" t="str">
        <f t="shared" si="208"/>
        <v/>
      </c>
      <c r="FA41" s="266" t="str">
        <f t="shared" si="133"/>
        <v/>
      </c>
      <c r="FB41" s="267" t="str">
        <f t="shared" si="134"/>
        <v/>
      </c>
      <c r="FC41" s="269" t="str">
        <f t="shared" si="46"/>
        <v/>
      </c>
      <c r="FD41" s="4" t="str">
        <f t="shared" ref="FD41:FD53" si="358">IF(ISNUMBER($AV41),(COS(RADIANS($EV41))*FA41)+(-SIN(RADIANS($EV41))*FB41),"")</f>
        <v/>
      </c>
      <c r="FE41" s="5" t="str">
        <f t="shared" ref="FE41:FE53" si="359">IF(ISNUMBER($AV41),(SIN(RADIANS($EV41))*FA41)+(COS(RADIANS($EV41))*FB41),"")</f>
        <v/>
      </c>
      <c r="FF41" s="7" t="str">
        <f t="shared" ref="FF41:FF53" si="360">IF(ISNUMBER($AV41),FC41,"")</f>
        <v/>
      </c>
      <c r="FG41" s="173" t="str">
        <f t="shared" ref="FG41:FG53" si="361">IF(ISNUMBER($AV41),EW41-FD41,"")</f>
        <v/>
      </c>
      <c r="FH41" s="5" t="str">
        <f t="shared" ref="FH41:FH53" si="362">IF(ISNUMBER($AV41),EX41-FE41,"")</f>
        <v/>
      </c>
      <c r="FI41" s="10" t="str">
        <f t="shared" ref="FI41:FI53" si="363">IF(ISNUMBER($AV41),EY41-FF41,"")</f>
        <v/>
      </c>
      <c r="FJ41" s="279" t="str">
        <f t="shared" ref="FJ41:FJ53" si="364">IF(ISNUMBER($AV41),DEGREES(ACOS((2-SQRT((FG41)^2+(FH41)^2+(FI41)^2)^2)/2)),"")</f>
        <v/>
      </c>
      <c r="FK41" s="4" t="str">
        <f t="shared" ref="FK41:FK53" si="365">IF(ISNUMBER($AV41),SQRT(ES41^2+ET41^2),"")</f>
        <v/>
      </c>
      <c r="FL41" s="5" t="str">
        <f t="shared" ref="FL41:FL53" si="366">IF(ISNUMBER($AV41),SQRT(FA41^2+FB41^2),"")</f>
        <v/>
      </c>
      <c r="FM41" s="8" t="str">
        <f t="shared" ref="FM41:FM53" si="367">IF(ISNUMBER($AV41),SQRT(FG41^2+FH41^2),"")</f>
        <v/>
      </c>
      <c r="FN41" s="9" t="str">
        <f t="shared" ref="FN41:FN53" si="368">IF(ISNUMBER($AV41),DEGREES(ACOS((FK41^2+FL41^2-FM41^2)/(2*FK41*FL41))),"")</f>
        <v/>
      </c>
      <c r="FO41" s="10" t="str">
        <f t="shared" ref="FO41:FO53" si="36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0">IF(ISNUMBER($AV41),FN41*FO41,"")</f>
        <v/>
      </c>
      <c r="FQ41" s="173" t="str">
        <f t="shared" ref="FQ41:FQ53" si="371">IF(ISNUMBER($AV41),SIN(RADIANS(FN41)),"")</f>
        <v/>
      </c>
      <c r="FR41" s="10" t="str">
        <f t="shared" ref="FR41:FR53" si="372">IF(ISNUMBER($AV41),COS(RADIANS(FN41)),"")</f>
        <v/>
      </c>
      <c r="FS41" s="9" t="str">
        <f t="shared" ref="FS41:FS53" si="373">IF(ISNUMBER($AV41),FQ41/(FQ41+FR41),"")</f>
        <v/>
      </c>
      <c r="FT41" s="6" t="str">
        <f t="shared" ref="FT41:FT53" si="374">IF(ISNUMBER($AV41),FR41/(FQ41+FR41),"")</f>
        <v/>
      </c>
      <c r="FU41" s="4" t="str">
        <f t="shared" ref="FU41:FU53" si="375">IF(ISNUMBER($AV41),SQRT(EW41^2+EY41^2),"")</f>
        <v/>
      </c>
      <c r="FV41" s="5" t="str">
        <f t="shared" ref="FV41:FV53" si="376">IF(ISNUMBER($AV41),SQRT(FD41^2+FF41^2),"")</f>
        <v/>
      </c>
      <c r="FW41" s="8" t="str">
        <f t="shared" ref="FW41:FW53" si="377">IF(ISNUMBER($AV41),SQRT(FG41^2+FI41^2),"")</f>
        <v/>
      </c>
      <c r="FX41" s="9" t="str">
        <f t="shared" ref="FX41:FX53" si="378">IF(ISNUMBER($AV41),DEGREES(ACOS((FU41^2+FV41^2-FW41^2)/(2*FU41*FV41))),"")</f>
        <v/>
      </c>
      <c r="FY41" s="10" t="str">
        <f t="shared" ref="FY41:FY53" si="379">IF(ISNUMBER($AV41),IF(EU41&lt;FC41,1,-1),"")</f>
        <v/>
      </c>
      <c r="FZ41" s="277" t="str">
        <f t="shared" ref="FZ41:FZ53" si="380">IF(ISNUMBER($AV41),FX41*FY41,"")</f>
        <v/>
      </c>
      <c r="GA41" s="177" t="str">
        <f t="shared" ref="GA41:GA53" si="381">IF(ISNUMBER($AV41),DEGREES(FZ41*SIN(RADIANS(FU41))),"")</f>
        <v/>
      </c>
      <c r="GB41" s="4" t="str">
        <f t="shared" ref="GB41:GB53" si="382">IF(ISNUMBER($AV41),COS(RADIANS(FP41+90))*COS(RADIANS(FZ41)),"")</f>
        <v/>
      </c>
      <c r="GC41" s="5" t="str">
        <f t="shared" ref="GC41:GC53" si="383">IF(ISNUMBER($AV41),SIN(RADIANS(FP41+90))*COS(RADIANS(FZ41)),"")</f>
        <v/>
      </c>
      <c r="GD41" s="10" t="str">
        <f t="shared" ref="GD41:GD53" si="384">IF(ISNUMBER($AV41),-SIN(RADIANS(FZ41)),"")</f>
        <v/>
      </c>
      <c r="GE41" s="311" t="str">
        <f t="shared" ref="GE41:GE53" si="385">IF(ISNUMBER($AV41),SUM(ABS(GB41),ABS(GC41),ABS(GD41)),"")</f>
        <v/>
      </c>
      <c r="GF41" s="341" t="str">
        <f t="shared" ref="GF41:GF53" si="386">IF(ISNUMBER($AV41),1/GE41,"")</f>
        <v/>
      </c>
      <c r="GG41" s="285" t="str">
        <f t="shared" ref="GG41:GG53" si="387">IF(ISNUMBER($AV41),ABS(GB41)/(ABS($GB41)+ABS($GC41)+ABS($GD41)),"")</f>
        <v/>
      </c>
      <c r="GH41" s="286" t="str">
        <f t="shared" ref="GH41:GH53" si="388">IF(ISNUMBER($AV41),ABS(GC41)/(ABS($GB41)+ABS($GC41)+ABS($GD41)),"")</f>
        <v/>
      </c>
      <c r="GI41" s="281" t="str">
        <f t="shared" ref="GI41:GI53" si="389">IF(ISNUMBER($AV41),ABS(GD41)/(ABS($GB41)+ABS($GC41)+ABS($GD41)),"")</f>
        <v/>
      </c>
      <c r="GJ41" s="167" t="str">
        <f t="shared" ref="GJ41:GJ53" si="390">IF(ISNUMBER($AV41),AW41,"")</f>
        <v/>
      </c>
      <c r="GK41" s="174" t="str">
        <f t="shared" si="57"/>
        <v/>
      </c>
      <c r="GL41" s="174" t="str">
        <f t="shared" ref="GL41:GL53" si="391">IF(ISNUMBER($AV41),AY41,"")</f>
        <v/>
      </c>
      <c r="GM41" s="177" t="str">
        <f t="shared" ref="GM41:GM53" si="392">IF(ISNUMBER($AV41),AZ41,"")</f>
        <v/>
      </c>
      <c r="GN41" s="280" t="str">
        <f t="shared" ref="GN41:GN53" si="393">IF(ISNUMBER($AV41),BA41,"")</f>
        <v/>
      </c>
      <c r="GO41" s="4" t="str">
        <f t="shared" ref="GO41:GO53" si="394">IF(ISNUMBER($AV41),FP41,"")</f>
        <v/>
      </c>
      <c r="GP41" s="8" t="str">
        <f t="shared" ref="GP41:GP53" si="395">IF(ISNUMBER($AV41),FZ41,"")</f>
        <v/>
      </c>
      <c r="GQ41" s="177" t="str">
        <f t="shared" ref="GQ41:GQ53" si="396">IF(ISNUMBER($AV41),FJ41,"")</f>
        <v/>
      </c>
      <c r="GR41" s="371" t="str">
        <f t="shared" ref="GR41:GR53" si="397">IF(ISNUMBER($AV41),GS41+GU41+GY41,"")</f>
        <v/>
      </c>
      <c r="GS41" s="342" t="str">
        <f t="shared" ref="GS41:GS53" si="398">IF(ISNUMBER($AV41),GU41/GH41*GG41,"")</f>
        <v/>
      </c>
      <c r="GT41" s="343" t="str">
        <f t="shared" ref="GT41:GT53" si="399">IF(ISNUMBER($AV41),GS41/$GK41,"")</f>
        <v/>
      </c>
      <c r="GU41" s="344" t="str">
        <f t="shared" si="61"/>
        <v/>
      </c>
      <c r="GV41" s="343" t="str">
        <f t="shared" ref="GV41:GV53" si="400">IF(ISNUMBER($AV41),GW41*$GL41,"")</f>
        <v/>
      </c>
      <c r="GW41" s="345" t="str">
        <f t="shared" si="62"/>
        <v/>
      </c>
      <c r="GX41" s="346" t="str">
        <f t="shared" si="63"/>
        <v/>
      </c>
      <c r="GY41" s="344" t="str">
        <f t="shared" ref="GY41:GY53" si="401">IF(ISNUMBER($AV41),GU41/GH41*GI41,"")</f>
        <v/>
      </c>
      <c r="GZ41" s="345" t="str">
        <f t="shared" ref="GZ41:GZ53" si="402">IF(ISNUMBER($AV41),GY41/$GK41,"")</f>
        <v/>
      </c>
      <c r="HA41" s="342" t="str">
        <f t="shared" si="66"/>
        <v/>
      </c>
      <c r="HB41" s="5" t="str">
        <f t="shared" si="230"/>
        <v/>
      </c>
      <c r="HC41" s="343" t="str">
        <f t="shared" ref="HC41:HC53" si="403">IF(ISNUMBER($AV41),HA41*COS(RADIANS(HB41)),"")</f>
        <v/>
      </c>
      <c r="HD41" s="345" t="str">
        <f t="shared" ref="HD41:HD53" si="404">IF(ISNUMBER($AV41),HA41*SIN(RADIANS(HB41)),"")</f>
        <v/>
      </c>
      <c r="HE41" s="344" t="str">
        <f t="shared" si="67"/>
        <v/>
      </c>
      <c r="HF41" s="5" t="str">
        <f t="shared" si="68"/>
        <v/>
      </c>
      <c r="HG41" s="343" t="str">
        <f t="shared" ref="HG41:HG53" si="405">IF(ISNUMBER($AV41),HE41*COS(RADIANS(HF41)),"")</f>
        <v/>
      </c>
      <c r="HH41" s="349" t="str">
        <f t="shared" ref="HH41:HH53" si="406">IF(ISNUMBER($AV41),HE41*SIN(RADIANS(HF41)),"")</f>
        <v/>
      </c>
      <c r="HI41" s="317" t="str">
        <f t="shared" ref="HI41:HI72" si="407">IF(ISNUMBER($AV41),$M41,"")</f>
        <v/>
      </c>
      <c r="HJ41" s="336"/>
      <c r="HK41" s="310" t="str">
        <f t="shared" si="136"/>
        <v/>
      </c>
      <c r="HL41" s="348" t="str">
        <f t="shared" ref="HL41:HL72" si="408">IF(ISNUMBER($HS41),INDEX(HI$9:HI$150,MATCH($HS41,$GJ$9:$GJ$150,0)),"")</f>
        <v/>
      </c>
      <c r="HM41" s="923" t="str">
        <f t="shared" ref="HM41:HM72" si="409">IF(ISNUMBER($HL41),INDEX(GO$9:GO$150,MATCH($HL41,$AV$9:$AV$150,0)),"")</f>
        <v/>
      </c>
      <c r="HN41" s="924" t="str">
        <f t="shared" ref="HN41:HN72" si="410">IF(ISNUMBER($HL41),INDEX(AO$9:AO$150,MATCH($HL41,$AV$9:$AV$150,0)),"")</f>
        <v/>
      </c>
      <c r="HO41" s="925"/>
      <c r="HP41" s="926"/>
      <c r="HQ41" s="924" t="str">
        <f t="shared" ref="HQ41:HQ72" si="411">IF(ISNUMBER($HL41),INDEX(GQ$9:GQ$150,MATCH($HL41,$AV$9:$AV$150,0)),"")</f>
        <v/>
      </c>
      <c r="HR41" s="927" t="str">
        <f t="shared" ref="HR41:HR72" si="412">IF(ISNUMBER($HL41),INDEX(GP$9:GP$150,MATCH($HL41,$AV$9:$AV$150,0)),"")</f>
        <v/>
      </c>
      <c r="HS41" s="879" t="str">
        <f t="shared" si="249"/>
        <v/>
      </c>
      <c r="HT41" s="889" t="str">
        <f t="shared" ref="HT41:HT72" si="413">IF(ISNUMBER($HL41),INDEX(GL$9:GL$150,MATCH($HL41,$AV$9:$AV$150,0)),"")</f>
        <v/>
      </c>
      <c r="HU41" s="890" t="str">
        <f t="shared" ref="HU41:HU72" si="414">IF(ISNUMBER($HL41),INDEX(GM$9:GM$150,MATCH($HL41,$AV$9:$AV$150,0)),"")</f>
        <v/>
      </c>
      <c r="HV41" s="886" t="str">
        <f t="shared" ref="HV41:HV72" si="415">IF(ISNUMBER($HL41),INDEX(GN$9:GN$150,MATCH($HL41,$AV$9:$AV$150,0)),"")</f>
        <v/>
      </c>
      <c r="HW41" s="880" t="str">
        <f t="shared" ref="HW41:HW72" si="416">IF(ISNUMBER($HL41),INDEX(GW$9:GW$150,MATCH($HL41,$AV$9:$AV$150,0)),"")</f>
        <v/>
      </c>
      <c r="HX41" s="881" t="str">
        <f t="shared" ref="HX41:HX72" si="417">IF(ISNUMBER($HL41),INDEX(GX$9:GX$150,MATCH($HL41,$AV$9:$AV$150,0)),"")</f>
        <v/>
      </c>
      <c r="HY41" s="880" t="str">
        <f t="shared" ref="HY41:HY72" si="418">IF(ISNUMBER($HL41),INDEX(GS$9:GS$150,MATCH($HL41,$AV$9:$AV$150,0)),"")</f>
        <v/>
      </c>
      <c r="HZ41" s="882" t="str">
        <f t="shared" ref="HZ41:HZ72" si="419">IF(ISNUMBER($HL41),INDEX(GU$9:GU$150,MATCH($HL41,$AV$9:$AV$150,0)),"")</f>
        <v/>
      </c>
      <c r="IA41" s="883" t="str">
        <f t="shared" ref="IA41:IA72" si="420">IF(ISNUMBER($HL41),INDEX(GY$9:GY$150,MATCH($HL41,$AV$9:$AV$150,0)),"")</f>
        <v/>
      </c>
      <c r="IB41" s="884" t="str">
        <f t="shared" ref="IB41:IB72" si="421">IF(ISNUMBER($HL41),INDEX(GR$9:GR$150,MATCH($HL41,$AV$9:$AV$150,0)),"")</f>
        <v/>
      </c>
      <c r="IC41" s="855" t="str">
        <f t="shared" ref="IC41:IC72" si="422">IF(ISNUMBER($HL41),INDEX(GT$9:GT$150,MATCH($HL41,$AV$9:$AV$150,0)),"")</f>
        <v/>
      </c>
      <c r="ID41" s="351" t="str">
        <f t="shared" ref="ID41:ID72" si="423">IF(ISNUMBER($HL41),INDEX(GV$9:GV$150,MATCH($HL41,$AV$9:$AV$150,0)),"")</f>
        <v/>
      </c>
      <c r="IE41" s="857" t="str">
        <f t="shared" ref="IE41:IE72" si="42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5"/>
        <v>6.1180000000000003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5">IF(ISNUMBER($IK41),INDEX($K$9:$K$150,MATCH($IK41,$M$9:$M$150,0)),$K41)</f>
        <v>1313</v>
      </c>
      <c r="IM41" s="482" t="str">
        <f t="shared" si="236"/>
        <v/>
      </c>
      <c r="IN41" s="670" t="str">
        <f t="shared" ref="IN41:IN72" si="42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7">IF(ISNUMBER($IK41),(($IQ41*12)/60)/$AS$3,"")</f>
        <v/>
      </c>
      <c r="IQ41" s="714"/>
      <c r="IR41" s="9" t="str">
        <f t="shared" ref="IR41:IR72" si="428">IF(ISNUMBER($IK41),(INDEX($X$9:$X$150,MATCH($IK41,$M$9:$M$150,0))*-1),"")</f>
        <v/>
      </c>
      <c r="IS41" s="5" t="str">
        <f t="shared" ref="IS41:IS72" si="429">IF(ISNUMBER($IK41),INDEX($Y$9:$Y$150,MATCH($IK41,$M$9:$M$150,0)),"")</f>
        <v/>
      </c>
      <c r="IT41" s="5" t="str">
        <f t="shared" ref="IT41:IT72" si="430">IF(ISNUMBER($IK41),INDEX($H$9:$H$150,MATCH($IK41,$M$9:$M$150,0)),"")</f>
        <v/>
      </c>
      <c r="IU41" s="5" t="str">
        <f t="shared" ref="IU41:IU72" si="431">IF(ISNUMBER($IK41),$IT41*COS(RADIANS(INDEX($AO$9:$AO$150,MATCH($IK41,$M$9:$M$150,0)))),"")</f>
        <v/>
      </c>
      <c r="IV41" s="670" t="str">
        <f t="shared" ref="IV41:IV72" si="432">IF(ISNUMBER($IK41),(-1*INDEX($AN$9:$AN$150,MATCH($IK41,$M$9:$M$150,0))),"")</f>
        <v/>
      </c>
      <c r="IW41" s="9" t="str">
        <f t="shared" ref="IW41:IW72" si="433">IF(ISNUMBER($IK41),-$X41,"")</f>
        <v/>
      </c>
      <c r="IX41" s="5" t="str">
        <f t="shared" ref="IX41:IX72" si="434">IF(ISNUMBER($IK41),$Y41,"")</f>
        <v/>
      </c>
      <c r="IY41" s="5" t="str">
        <f t="shared" ref="IY41:IY72" si="435">IF(ISNUMBER($IK41),$H41,"")</f>
        <v/>
      </c>
      <c r="IZ41" s="5" t="str">
        <f t="shared" ref="IZ41:IZ72" si="436">IF(ISNUMBER($IK41),$IY41*COS(RADIANS($AO41)),"")</f>
        <v/>
      </c>
      <c r="JA41" s="705" t="str">
        <f t="shared" ref="JA41:JA72" si="437">IF(ISNUMBER($IK41),(-1*$AN41),"")</f>
        <v/>
      </c>
    </row>
    <row r="42" spans="1:269" ht="15" customHeight="1" x14ac:dyDescent="0.25">
      <c r="A42" s="75" t="str">
        <f t="shared" si="254"/>
        <v/>
      </c>
      <c r="B42" s="578" t="str">
        <f t="shared" si="255"/>
        <v/>
      </c>
      <c r="C42" s="572" t="str">
        <f t="shared" si="256"/>
        <v/>
      </c>
      <c r="D42" s="576" t="str">
        <f t="shared" si="257"/>
        <v/>
      </c>
      <c r="E42" s="580" t="str">
        <f t="shared" si="258"/>
        <v/>
      </c>
      <c r="F42" s="572" t="str">
        <f t="shared" si="259"/>
        <v/>
      </c>
      <c r="G42" s="579" t="str">
        <f t="shared" si="260"/>
        <v/>
      </c>
      <c r="H42" s="580" t="str">
        <f t="shared" si="261"/>
        <v/>
      </c>
      <c r="I42" s="572" t="str">
        <f t="shared" si="262"/>
        <v/>
      </c>
      <c r="J42" s="483" t="str">
        <f t="shared" si="263"/>
        <v/>
      </c>
      <c r="K42" s="806" t="str">
        <f t="shared" si="264"/>
        <v/>
      </c>
      <c r="L42" s="309"/>
      <c r="M42" s="164" t="str">
        <f t="shared" si="265"/>
        <v/>
      </c>
      <c r="N42" s="575" t="str">
        <f t="shared" si="266"/>
        <v/>
      </c>
      <c r="O42" s="572" t="str">
        <f t="shared" si="267"/>
        <v/>
      </c>
      <c r="P42" s="576" t="str">
        <f t="shared" si="268"/>
        <v/>
      </c>
      <c r="Q42" s="528" t="str">
        <f t="shared" si="138"/>
        <v/>
      </c>
      <c r="R42" s="572" t="str">
        <f t="shared" ref="R42:R47" si="438">IF(M42="","",SQRT(N42^2+O42^2))</f>
        <v/>
      </c>
      <c r="S42" s="577" t="str">
        <f t="shared" ref="S42:S47" si="439">IF(M42="","",P42)</f>
        <v/>
      </c>
      <c r="T42" s="578" t="str">
        <f t="shared" ref="T42:T47" si="440">IF(M42="","",X42*COS(RADIANS(W42)))</f>
        <v/>
      </c>
      <c r="U42" s="572" t="str">
        <f t="shared" ref="U42:U47" si="441">IF(M42="","",X42*SIN(RADIANS(W42)))</f>
        <v/>
      </c>
      <c r="V42" s="579" t="str">
        <f t="shared" ref="V42:V47" si="442">IF(M42="","",Y42)</f>
        <v/>
      </c>
      <c r="W42" s="528" t="str">
        <f t="shared" si="252"/>
        <v/>
      </c>
      <c r="X42" s="572" t="str">
        <f t="shared" ref="X42:X47" si="443">IF(M42="","",R42)</f>
        <v/>
      </c>
      <c r="Y42" s="573" t="str">
        <f t="shared" si="253"/>
        <v/>
      </c>
      <c r="Z42" s="575" t="str">
        <f t="shared" si="269"/>
        <v/>
      </c>
      <c r="AA42" s="572" t="str">
        <f t="shared" si="270"/>
        <v/>
      </c>
      <c r="AB42" s="572" t="str">
        <f t="shared" si="271"/>
        <v/>
      </c>
      <c r="AC42" s="579" t="str">
        <f t="shared" ref="AC42:AC47" si="444">IF(M42="","",SQRT(Z42^2+AA42^2+AB42^2))</f>
        <v/>
      </c>
      <c r="AD42" s="580" t="str">
        <f t="shared" ref="AD42:AD47" si="445">IF(M42="","",Z42*(1/SQRT(Z42^2+AA42^2+AB42^2)))</f>
        <v/>
      </c>
      <c r="AE42" s="572" t="str">
        <f t="shared" ref="AE42:AE47" si="446">IF(M42="","",AA42*(1/SQRT(Z42^2+AA42^2+AB42^2)))</f>
        <v/>
      </c>
      <c r="AF42" s="576" t="str">
        <f t="shared" ref="AF42:AF47" si="447">IF(M42="","",AB42*(1/SQRT(Z42^2+AA42^2+AB42^2)))</f>
        <v/>
      </c>
      <c r="AG42" s="545" t="str">
        <f t="shared" ref="AG42:AG47" si="448">IF(M42="","",DEGREES(ATAN2(-AF42,AE42)))</f>
        <v/>
      </c>
      <c r="AH42" s="546" t="str">
        <f t="shared" ref="AH42:AH47" si="449">IF(M42="","",DEGREES(ACOS(AD42)))</f>
        <v/>
      </c>
      <c r="AI42" s="528" t="str">
        <f t="shared" ref="AI42:AI47" si="450">IF(M42="","",DEGREES(-ACOS(-AF42)))</f>
        <v/>
      </c>
      <c r="AJ42" s="529" t="str">
        <f t="shared" ref="AJ42:AJ47" si="451">IF(M42="","",DEGREES(ATAN2(-AE42,AD42)))</f>
        <v/>
      </c>
      <c r="AK42" s="578" t="str">
        <f t="shared" ref="AK42:AK47" si="452">IF(M42="","",(COS(RADIANS((90-$Q$8)-W42))*AD42)+(-SIN(RADIANS((90-$Q$8)-W42))*AE42))</f>
        <v/>
      </c>
      <c r="AL42" s="572" t="str">
        <f t="shared" ref="AL42:AL47" si="453">IF(M42="","",(SIN(RADIANS((90-$Q$8)-W42))*AD42)+(COS(RADIANS((90-$Q$8)-W42))*AE42))</f>
        <v/>
      </c>
      <c r="AM42" s="577" t="str">
        <f t="shared" ref="AM42:AM47" si="454">IF(M42="","",AF42)</f>
        <v/>
      </c>
      <c r="AN42" s="524" t="str">
        <f t="shared" ref="AN42:AN47" si="455">IF(M42="","",DEGREES(ATAN2(-AM42,AL42)))</f>
        <v/>
      </c>
      <c r="AO42" s="525" t="str">
        <f t="shared" si="115"/>
        <v/>
      </c>
      <c r="AP42" s="528" t="str">
        <f t="shared" ref="AP42:AP47" si="456">IF(M42="","",DEGREES(ATAN2(AK42,AL42)))</f>
        <v/>
      </c>
      <c r="AQ42" s="529" t="str">
        <f t="shared" si="272"/>
        <v/>
      </c>
      <c r="AS42" s="946" t="str">
        <f t="shared" si="141"/>
        <v/>
      </c>
      <c r="AT42" s="942" t="str">
        <f t="shared" si="273"/>
        <v/>
      </c>
      <c r="AU42" s="418"/>
      <c r="AV42" s="164" t="str">
        <f t="shared" si="27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5"/>
        <v/>
      </c>
      <c r="BA42" s="296" t="str">
        <f t="shared" si="276"/>
        <v/>
      </c>
      <c r="BB42" s="190" t="str">
        <f t="shared" si="143"/>
        <v/>
      </c>
      <c r="BC42" s="9"/>
      <c r="BD42" s="5" t="str">
        <f t="shared" si="277"/>
        <v/>
      </c>
      <c r="BE42" s="6" t="str">
        <f t="shared" si="278"/>
        <v/>
      </c>
      <c r="BF42" s="4" t="str">
        <f t="shared" si="279"/>
        <v/>
      </c>
      <c r="BG42" s="5" t="str">
        <f t="shared" si="280"/>
        <v/>
      </c>
      <c r="BH42" s="10" t="str">
        <f t="shared" si="281"/>
        <v/>
      </c>
      <c r="BI42" s="9" t="str">
        <f t="shared" si="282"/>
        <v/>
      </c>
      <c r="BJ42" s="5" t="str">
        <f t="shared" si="283"/>
        <v/>
      </c>
      <c r="BK42" s="8" t="str">
        <f t="shared" si="284"/>
        <v/>
      </c>
      <c r="BL42" s="173" t="str">
        <f t="shared" si="285"/>
        <v/>
      </c>
      <c r="BM42" s="5" t="str">
        <f t="shared" si="286"/>
        <v/>
      </c>
      <c r="BN42" s="6" t="str">
        <f t="shared" si="287"/>
        <v/>
      </c>
      <c r="BO42" s="4" t="str">
        <f t="shared" si="288"/>
        <v/>
      </c>
      <c r="BP42" s="5" t="str">
        <f t="shared" si="289"/>
        <v/>
      </c>
      <c r="BQ42" s="5" t="str">
        <f t="shared" si="290"/>
        <v/>
      </c>
      <c r="BR42" s="6" t="str">
        <f t="shared" si="291"/>
        <v/>
      </c>
      <c r="BS42" s="4" t="str">
        <f t="shared" ref="BS42:BT53" si="457">IF(ISNUMBER($AV42),0,"")</f>
        <v/>
      </c>
      <c r="BT42" s="5" t="str">
        <f t="shared" si="457"/>
        <v/>
      </c>
      <c r="BU42" s="10" t="str">
        <f t="shared" si="118"/>
        <v/>
      </c>
      <c r="BV42" s="9" t="str">
        <f t="shared" si="119"/>
        <v/>
      </c>
      <c r="BW42" s="5" t="str">
        <f t="shared" si="120"/>
        <v/>
      </c>
      <c r="BX42" s="8" t="str">
        <f t="shared" si="121"/>
        <v/>
      </c>
      <c r="BY42" s="173" t="str">
        <f t="shared" si="122"/>
        <v/>
      </c>
      <c r="BZ42" s="5" t="str">
        <f t="shared" si="123"/>
        <v/>
      </c>
      <c r="CA42" s="6" t="str">
        <f t="shared" si="124"/>
        <v/>
      </c>
      <c r="CB42" s="4" t="str">
        <f t="shared" si="292"/>
        <v/>
      </c>
      <c r="CC42" s="5" t="str">
        <f t="shared" si="293"/>
        <v/>
      </c>
      <c r="CD42" s="5" t="str">
        <f t="shared" si="294"/>
        <v/>
      </c>
      <c r="CE42" s="6" t="str">
        <f t="shared" si="295"/>
        <v/>
      </c>
      <c r="CF42" s="4" t="str">
        <f t="shared" si="296"/>
        <v/>
      </c>
      <c r="CG42" s="5" t="str">
        <f t="shared" si="297"/>
        <v/>
      </c>
      <c r="CH42" s="5" t="str">
        <f t="shared" si="298"/>
        <v/>
      </c>
      <c r="CI42" s="4" t="str">
        <f t="shared" si="125"/>
        <v/>
      </c>
      <c r="CJ42" s="5" t="str">
        <f t="shared" si="299"/>
        <v/>
      </c>
      <c r="CK42" s="8" t="str">
        <f t="shared" si="300"/>
        <v/>
      </c>
      <c r="CL42" s="173" t="str">
        <f t="shared" si="301"/>
        <v/>
      </c>
      <c r="CM42" s="5" t="str">
        <f t="shared" si="302"/>
        <v/>
      </c>
      <c r="CN42" s="6" t="str">
        <f t="shared" si="303"/>
        <v/>
      </c>
      <c r="CO42" s="167" t="str">
        <f t="shared" si="304"/>
        <v/>
      </c>
      <c r="CP42" s="4" t="str">
        <f t="shared" si="305"/>
        <v/>
      </c>
      <c r="CQ42" s="5" t="str">
        <f t="shared" si="306"/>
        <v/>
      </c>
      <c r="CR42" s="5" t="str">
        <f t="shared" si="307"/>
        <v/>
      </c>
      <c r="CS42" s="8" t="str">
        <f t="shared" si="308"/>
        <v/>
      </c>
      <c r="CT42" s="9" t="str">
        <f t="shared" si="159"/>
        <v/>
      </c>
      <c r="CU42" s="6" t="str">
        <f t="shared" si="309"/>
        <v/>
      </c>
      <c r="CV42" s="4" t="str">
        <f t="shared" si="310"/>
        <v/>
      </c>
      <c r="CW42" s="5" t="str">
        <f t="shared" si="311"/>
        <v/>
      </c>
      <c r="CX42" s="8" t="str">
        <f t="shared" si="312"/>
        <v/>
      </c>
      <c r="CY42" s="9" t="str">
        <f t="shared" si="313"/>
        <v/>
      </c>
      <c r="CZ42" s="5" t="str">
        <f t="shared" si="314"/>
        <v/>
      </c>
      <c r="DA42" s="6" t="str">
        <f t="shared" si="315"/>
        <v/>
      </c>
      <c r="DB42" s="4" t="str">
        <f t="shared" si="166"/>
        <v/>
      </c>
      <c r="DC42" s="5" t="str">
        <f t="shared" si="166"/>
        <v/>
      </c>
      <c r="DD42" s="10" t="str">
        <f t="shared" si="167"/>
        <v/>
      </c>
      <c r="DE42" s="9" t="str">
        <f t="shared" si="168"/>
        <v/>
      </c>
      <c r="DF42" s="5" t="str">
        <f t="shared" si="168"/>
        <v/>
      </c>
      <c r="DG42" s="10" t="str">
        <f t="shared" si="169"/>
        <v/>
      </c>
      <c r="DH42" s="70" t="str">
        <f t="shared" si="316"/>
        <v/>
      </c>
      <c r="DI42" s="4" t="str">
        <f t="shared" si="317"/>
        <v/>
      </c>
      <c r="DJ42" s="5" t="str">
        <f t="shared" si="318"/>
        <v/>
      </c>
      <c r="DK42" s="10" t="str">
        <f t="shared" si="319"/>
        <v/>
      </c>
      <c r="DL42" s="9" t="str">
        <f t="shared" si="320"/>
        <v/>
      </c>
      <c r="DM42" s="173" t="str">
        <f t="shared" si="321"/>
        <v/>
      </c>
      <c r="DN42" s="178" t="str">
        <f t="shared" si="322"/>
        <v/>
      </c>
      <c r="DO42" s="9" t="str">
        <f t="shared" si="323"/>
        <v/>
      </c>
      <c r="DP42" s="173" t="str">
        <f t="shared" si="324"/>
        <v/>
      </c>
      <c r="DQ42" s="11" t="str">
        <f t="shared" si="325"/>
        <v/>
      </c>
      <c r="DR42" s="173" t="str">
        <f t="shared" si="326"/>
        <v/>
      </c>
      <c r="DS42" s="5" t="str">
        <f t="shared" si="327"/>
        <v/>
      </c>
      <c r="DT42" s="5" t="str">
        <f t="shared" si="328"/>
        <v/>
      </c>
      <c r="DU42" s="5" t="str">
        <f t="shared" si="329"/>
        <v/>
      </c>
      <c r="DV42" s="5" t="str">
        <f t="shared" si="330"/>
        <v/>
      </c>
      <c r="DW42" s="5" t="str">
        <f t="shared" si="331"/>
        <v/>
      </c>
      <c r="DX42" s="167" t="str">
        <f t="shared" si="332"/>
        <v/>
      </c>
      <c r="DY42" s="9" t="str">
        <f t="shared" si="333"/>
        <v/>
      </c>
      <c r="DZ42" s="5" t="str">
        <f t="shared" si="334"/>
        <v/>
      </c>
      <c r="EA42" s="10" t="str">
        <f t="shared" si="335"/>
        <v/>
      </c>
      <c r="EB42" s="6" t="str">
        <f t="shared" si="336"/>
        <v/>
      </c>
      <c r="EC42" s="173" t="str">
        <f t="shared" si="337"/>
        <v/>
      </c>
      <c r="ED42" s="5" t="str">
        <f t="shared" si="338"/>
        <v/>
      </c>
      <c r="EE42" s="4" t="str">
        <f t="shared" si="339"/>
        <v/>
      </c>
      <c r="EF42" s="5" t="str">
        <f t="shared" si="340"/>
        <v/>
      </c>
      <c r="EG42" s="10" t="str">
        <f t="shared" si="341"/>
        <v/>
      </c>
      <c r="EH42" s="9" t="str">
        <f t="shared" si="342"/>
        <v/>
      </c>
      <c r="EI42" s="5" t="str">
        <f t="shared" si="343"/>
        <v/>
      </c>
      <c r="EJ42" s="6" t="str">
        <f t="shared" si="344"/>
        <v/>
      </c>
      <c r="EK42" s="236" t="str">
        <f t="shared" si="199"/>
        <v/>
      </c>
      <c r="EL42" s="238" t="str">
        <f t="shared" si="200"/>
        <v/>
      </c>
      <c r="EM42" s="4" t="str">
        <f t="shared" si="345"/>
        <v/>
      </c>
      <c r="EN42" s="5" t="str">
        <f t="shared" si="346"/>
        <v/>
      </c>
      <c r="EO42" s="10" t="str">
        <f t="shared" si="347"/>
        <v/>
      </c>
      <c r="EP42" s="9" t="str">
        <f t="shared" si="348"/>
        <v/>
      </c>
      <c r="EQ42" s="5" t="str">
        <f t="shared" si="349"/>
        <v/>
      </c>
      <c r="ER42" s="7" t="str">
        <f t="shared" si="350"/>
        <v/>
      </c>
      <c r="ES42" s="21" t="str">
        <f t="shared" si="351"/>
        <v/>
      </c>
      <c r="ET42" s="5" t="str">
        <f t="shared" si="352"/>
        <v/>
      </c>
      <c r="EU42" s="10" t="str">
        <f t="shared" si="353"/>
        <v/>
      </c>
      <c r="EV42" s="174" t="str">
        <f t="shared" si="354"/>
        <v/>
      </c>
      <c r="EW42" s="9" t="str">
        <f t="shared" si="355"/>
        <v/>
      </c>
      <c r="EX42" s="5" t="str">
        <f t="shared" si="356"/>
        <v/>
      </c>
      <c r="EY42" s="6" t="str">
        <f t="shared" si="357"/>
        <v/>
      </c>
      <c r="EZ42" s="51" t="str">
        <f t="shared" si="208"/>
        <v/>
      </c>
      <c r="FA42" s="266" t="str">
        <f t="shared" si="133"/>
        <v/>
      </c>
      <c r="FB42" s="267" t="str">
        <f t="shared" si="134"/>
        <v/>
      </c>
      <c r="FC42" s="269" t="str">
        <f t="shared" si="46"/>
        <v/>
      </c>
      <c r="FD42" s="4" t="str">
        <f t="shared" si="358"/>
        <v/>
      </c>
      <c r="FE42" s="5" t="str">
        <f t="shared" si="359"/>
        <v/>
      </c>
      <c r="FF42" s="7" t="str">
        <f t="shared" si="360"/>
        <v/>
      </c>
      <c r="FG42" s="173" t="str">
        <f t="shared" si="361"/>
        <v/>
      </c>
      <c r="FH42" s="5" t="str">
        <f t="shared" si="362"/>
        <v/>
      </c>
      <c r="FI42" s="10" t="str">
        <f t="shared" si="363"/>
        <v/>
      </c>
      <c r="FJ42" s="279" t="str">
        <f t="shared" si="364"/>
        <v/>
      </c>
      <c r="FK42" s="4" t="str">
        <f t="shared" si="365"/>
        <v/>
      </c>
      <c r="FL42" s="5" t="str">
        <f t="shared" si="366"/>
        <v/>
      </c>
      <c r="FM42" s="8" t="str">
        <f t="shared" si="367"/>
        <v/>
      </c>
      <c r="FN42" s="9" t="str">
        <f t="shared" si="368"/>
        <v/>
      </c>
      <c r="FO42" s="10" t="str">
        <f t="shared" si="369"/>
        <v/>
      </c>
      <c r="FP42" s="277" t="str">
        <f t="shared" si="370"/>
        <v/>
      </c>
      <c r="FQ42" s="173" t="str">
        <f t="shared" si="371"/>
        <v/>
      </c>
      <c r="FR42" s="10" t="str">
        <f t="shared" si="372"/>
        <v/>
      </c>
      <c r="FS42" s="9" t="str">
        <f t="shared" si="373"/>
        <v/>
      </c>
      <c r="FT42" s="6" t="str">
        <f t="shared" si="374"/>
        <v/>
      </c>
      <c r="FU42" s="4" t="str">
        <f t="shared" si="375"/>
        <v/>
      </c>
      <c r="FV42" s="5" t="str">
        <f t="shared" si="376"/>
        <v/>
      </c>
      <c r="FW42" s="8" t="str">
        <f t="shared" si="377"/>
        <v/>
      </c>
      <c r="FX42" s="9" t="str">
        <f t="shared" si="378"/>
        <v/>
      </c>
      <c r="FY42" s="10" t="str">
        <f t="shared" si="379"/>
        <v/>
      </c>
      <c r="FZ42" s="277" t="str">
        <f t="shared" si="380"/>
        <v/>
      </c>
      <c r="GA42" s="177" t="str">
        <f t="shared" si="381"/>
        <v/>
      </c>
      <c r="GB42" s="4" t="str">
        <f t="shared" si="382"/>
        <v/>
      </c>
      <c r="GC42" s="5" t="str">
        <f t="shared" si="383"/>
        <v/>
      </c>
      <c r="GD42" s="10" t="str">
        <f t="shared" si="384"/>
        <v/>
      </c>
      <c r="GE42" s="311" t="str">
        <f t="shared" si="385"/>
        <v/>
      </c>
      <c r="GF42" s="341" t="str">
        <f t="shared" si="386"/>
        <v/>
      </c>
      <c r="GG42" s="285" t="str">
        <f t="shared" si="387"/>
        <v/>
      </c>
      <c r="GH42" s="286" t="str">
        <f t="shared" si="388"/>
        <v/>
      </c>
      <c r="GI42" s="281" t="str">
        <f t="shared" si="389"/>
        <v/>
      </c>
      <c r="GJ42" s="167" t="str">
        <f t="shared" si="390"/>
        <v/>
      </c>
      <c r="GK42" s="174" t="str">
        <f t="shared" si="57"/>
        <v/>
      </c>
      <c r="GL42" s="174" t="str">
        <f t="shared" si="391"/>
        <v/>
      </c>
      <c r="GM42" s="177" t="str">
        <f t="shared" si="392"/>
        <v/>
      </c>
      <c r="GN42" s="280" t="str">
        <f t="shared" si="393"/>
        <v/>
      </c>
      <c r="GO42" s="4" t="str">
        <f t="shared" si="394"/>
        <v/>
      </c>
      <c r="GP42" s="8" t="str">
        <f t="shared" si="395"/>
        <v/>
      </c>
      <c r="GQ42" s="177" t="str">
        <f t="shared" si="396"/>
        <v/>
      </c>
      <c r="GR42" s="371" t="str">
        <f t="shared" si="397"/>
        <v/>
      </c>
      <c r="GS42" s="342" t="str">
        <f t="shared" si="398"/>
        <v/>
      </c>
      <c r="GT42" s="343" t="str">
        <f t="shared" si="399"/>
        <v/>
      </c>
      <c r="GU42" s="344" t="str">
        <f t="shared" si="61"/>
        <v/>
      </c>
      <c r="GV42" s="343" t="str">
        <f t="shared" si="400"/>
        <v/>
      </c>
      <c r="GW42" s="345" t="str">
        <f t="shared" si="62"/>
        <v/>
      </c>
      <c r="GX42" s="346" t="str">
        <f t="shared" si="63"/>
        <v/>
      </c>
      <c r="GY42" s="344" t="str">
        <f t="shared" si="401"/>
        <v/>
      </c>
      <c r="GZ42" s="345" t="str">
        <f t="shared" si="402"/>
        <v/>
      </c>
      <c r="HA42" s="342" t="str">
        <f t="shared" si="66"/>
        <v/>
      </c>
      <c r="HB42" s="5" t="str">
        <f t="shared" si="230"/>
        <v/>
      </c>
      <c r="HC42" s="343" t="str">
        <f t="shared" si="403"/>
        <v/>
      </c>
      <c r="HD42" s="345" t="str">
        <f t="shared" si="404"/>
        <v/>
      </c>
      <c r="HE42" s="344" t="str">
        <f t="shared" si="67"/>
        <v/>
      </c>
      <c r="HF42" s="5" t="str">
        <f t="shared" si="68"/>
        <v/>
      </c>
      <c r="HG42" s="343" t="str">
        <f t="shared" si="405"/>
        <v/>
      </c>
      <c r="HH42" s="349" t="str">
        <f t="shared" si="406"/>
        <v/>
      </c>
      <c r="HI42" s="317" t="str">
        <f t="shared" si="407"/>
        <v/>
      </c>
      <c r="HJ42" s="336"/>
      <c r="HK42" s="310" t="str">
        <f t="shared" ref="HK42:HK73" si="458">IF(ISNUMBER(HS42),HK41+1,"")</f>
        <v/>
      </c>
      <c r="HL42" s="348" t="str">
        <f t="shared" si="408"/>
        <v/>
      </c>
      <c r="HM42" s="923" t="str">
        <f t="shared" si="409"/>
        <v/>
      </c>
      <c r="HN42" s="924" t="str">
        <f t="shared" si="410"/>
        <v/>
      </c>
      <c r="HO42" s="925"/>
      <c r="HP42" s="926"/>
      <c r="HQ42" s="924" t="str">
        <f t="shared" si="411"/>
        <v/>
      </c>
      <c r="HR42" s="927" t="str">
        <f t="shared" si="412"/>
        <v/>
      </c>
      <c r="HS42" s="879" t="str">
        <f t="shared" ref="HS42:HS73" si="459">IFERROR(SMALL($GJ$9:$GJ$150,($HK41+1)),"")</f>
        <v/>
      </c>
      <c r="HT42" s="889" t="str">
        <f t="shared" si="413"/>
        <v/>
      </c>
      <c r="HU42" s="890" t="str">
        <f t="shared" si="414"/>
        <v/>
      </c>
      <c r="HV42" s="886" t="str">
        <f t="shared" si="415"/>
        <v/>
      </c>
      <c r="HW42" s="880" t="str">
        <f t="shared" si="416"/>
        <v/>
      </c>
      <c r="HX42" s="881" t="str">
        <f t="shared" si="417"/>
        <v/>
      </c>
      <c r="HY42" s="880" t="str">
        <f t="shared" si="418"/>
        <v/>
      </c>
      <c r="HZ42" s="882" t="str">
        <f t="shared" si="419"/>
        <v/>
      </c>
      <c r="IA42" s="883" t="str">
        <f t="shared" si="420"/>
        <v/>
      </c>
      <c r="IB42" s="884" t="str">
        <f t="shared" si="421"/>
        <v/>
      </c>
      <c r="IC42" s="855" t="str">
        <f t="shared" si="422"/>
        <v/>
      </c>
      <c r="ID42" s="351" t="str">
        <f t="shared" si="423"/>
        <v/>
      </c>
      <c r="IE42" s="857" t="str">
        <f t="shared" si="42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35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25"/>
        <v/>
      </c>
      <c r="IM42" s="482" t="str">
        <f t="shared" si="236"/>
        <v/>
      </c>
      <c r="IN42" s="670" t="str">
        <f t="shared" si="426"/>
        <v/>
      </c>
      <c r="IO42" s="702">
        <v>2.0920738220930001E-2</v>
      </c>
      <c r="IP42" s="5" t="str">
        <f t="shared" si="427"/>
        <v/>
      </c>
      <c r="IQ42" s="714">
        <v>160</v>
      </c>
      <c r="IR42" s="9" t="str">
        <f t="shared" si="428"/>
        <v/>
      </c>
      <c r="IS42" s="5" t="str">
        <f t="shared" si="429"/>
        <v/>
      </c>
      <c r="IT42" s="5" t="str">
        <f t="shared" si="430"/>
        <v/>
      </c>
      <c r="IU42" s="5" t="str">
        <f t="shared" si="431"/>
        <v/>
      </c>
      <c r="IV42" s="670" t="str">
        <f t="shared" si="432"/>
        <v/>
      </c>
      <c r="IW42" s="9" t="str">
        <f t="shared" si="433"/>
        <v/>
      </c>
      <c r="IX42" s="5" t="str">
        <f t="shared" si="434"/>
        <v/>
      </c>
      <c r="IY42" s="5" t="str">
        <f t="shared" si="435"/>
        <v/>
      </c>
      <c r="IZ42" s="5" t="str">
        <f t="shared" si="436"/>
        <v/>
      </c>
      <c r="JA42" s="705" t="str">
        <f t="shared" si="437"/>
        <v/>
      </c>
    </row>
    <row r="43" spans="1:269" ht="15" customHeight="1" x14ac:dyDescent="0.25">
      <c r="A43" s="75" t="str">
        <f t="shared" si="254"/>
        <v/>
      </c>
      <c r="B43" s="578" t="str">
        <f t="shared" si="255"/>
        <v/>
      </c>
      <c r="C43" s="572" t="str">
        <f t="shared" si="256"/>
        <v/>
      </c>
      <c r="D43" s="576" t="str">
        <f t="shared" si="257"/>
        <v/>
      </c>
      <c r="E43" s="580" t="str">
        <f t="shared" si="258"/>
        <v/>
      </c>
      <c r="F43" s="572" t="str">
        <f t="shared" si="259"/>
        <v/>
      </c>
      <c r="G43" s="579" t="str">
        <f t="shared" si="260"/>
        <v/>
      </c>
      <c r="H43" s="580" t="str">
        <f t="shared" si="261"/>
        <v/>
      </c>
      <c r="I43" s="572" t="str">
        <f t="shared" si="262"/>
        <v/>
      </c>
      <c r="J43" s="483" t="str">
        <f t="shared" si="263"/>
        <v/>
      </c>
      <c r="K43" s="806" t="str">
        <f t="shared" si="264"/>
        <v/>
      </c>
      <c r="L43" s="309"/>
      <c r="M43" s="164" t="str">
        <f t="shared" si="265"/>
        <v/>
      </c>
      <c r="N43" s="575" t="str">
        <f t="shared" si="266"/>
        <v/>
      </c>
      <c r="O43" s="572" t="str">
        <f t="shared" si="267"/>
        <v/>
      </c>
      <c r="P43" s="576" t="str">
        <f t="shared" si="268"/>
        <v/>
      </c>
      <c r="Q43" s="528" t="str">
        <f t="shared" si="138"/>
        <v/>
      </c>
      <c r="R43" s="572" t="str">
        <f t="shared" si="438"/>
        <v/>
      </c>
      <c r="S43" s="577" t="str">
        <f t="shared" si="439"/>
        <v/>
      </c>
      <c r="T43" s="578" t="str">
        <f t="shared" si="440"/>
        <v/>
      </c>
      <c r="U43" s="572" t="str">
        <f t="shared" si="441"/>
        <v/>
      </c>
      <c r="V43" s="579" t="str">
        <f t="shared" si="442"/>
        <v/>
      </c>
      <c r="W43" s="528" t="str">
        <f t="shared" si="252"/>
        <v/>
      </c>
      <c r="X43" s="572" t="str">
        <f t="shared" si="443"/>
        <v/>
      </c>
      <c r="Y43" s="573" t="str">
        <f t="shared" si="253"/>
        <v/>
      </c>
      <c r="Z43" s="575" t="str">
        <f t="shared" si="269"/>
        <v/>
      </c>
      <c r="AA43" s="572" t="str">
        <f t="shared" si="270"/>
        <v/>
      </c>
      <c r="AB43" s="572" t="str">
        <f t="shared" si="271"/>
        <v/>
      </c>
      <c r="AC43" s="579" t="str">
        <f t="shared" si="444"/>
        <v/>
      </c>
      <c r="AD43" s="580" t="str">
        <f t="shared" si="445"/>
        <v/>
      </c>
      <c r="AE43" s="572" t="str">
        <f t="shared" si="446"/>
        <v/>
      </c>
      <c r="AF43" s="576" t="str">
        <f t="shared" si="447"/>
        <v/>
      </c>
      <c r="AG43" s="545" t="str">
        <f t="shared" si="448"/>
        <v/>
      </c>
      <c r="AH43" s="546" t="str">
        <f t="shared" si="449"/>
        <v/>
      </c>
      <c r="AI43" s="528" t="str">
        <f t="shared" si="450"/>
        <v/>
      </c>
      <c r="AJ43" s="529" t="str">
        <f t="shared" si="451"/>
        <v/>
      </c>
      <c r="AK43" s="578" t="str">
        <f t="shared" si="452"/>
        <v/>
      </c>
      <c r="AL43" s="572" t="str">
        <f t="shared" si="453"/>
        <v/>
      </c>
      <c r="AM43" s="577" t="str">
        <f t="shared" si="454"/>
        <v/>
      </c>
      <c r="AN43" s="524" t="str">
        <f t="shared" si="455"/>
        <v/>
      </c>
      <c r="AO43" s="525" t="str">
        <f t="shared" si="115"/>
        <v/>
      </c>
      <c r="AP43" s="528" t="str">
        <f t="shared" si="456"/>
        <v/>
      </c>
      <c r="AQ43" s="529" t="str">
        <f t="shared" si="272"/>
        <v/>
      </c>
      <c r="AS43" s="946" t="str">
        <f t="shared" ref="AS43:AS74" si="460">IF(G43="","",IF(AND(W43&lt;(AS42+180),W43&gt;(AS42-180)),W43,IF(W43&gt;(AS42+180),W43-360,IF(W43&lt;(AS42-180),W43+360,"Error"))))</f>
        <v/>
      </c>
      <c r="AT43" s="942" t="str">
        <f t="shared" si="273"/>
        <v/>
      </c>
      <c r="AU43" s="418"/>
      <c r="AV43" s="164" t="str">
        <f t="shared" si="27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5"/>
        <v/>
      </c>
      <c r="BA43" s="296" t="str">
        <f t="shared" si="276"/>
        <v/>
      </c>
      <c r="BB43" s="190" t="str">
        <f t="shared" si="143"/>
        <v/>
      </c>
      <c r="BC43" s="9"/>
      <c r="BD43" s="5" t="str">
        <f t="shared" si="277"/>
        <v/>
      </c>
      <c r="BE43" s="6" t="str">
        <f t="shared" si="278"/>
        <v/>
      </c>
      <c r="BF43" s="4" t="str">
        <f t="shared" si="279"/>
        <v/>
      </c>
      <c r="BG43" s="5" t="str">
        <f t="shared" si="280"/>
        <v/>
      </c>
      <c r="BH43" s="10" t="str">
        <f t="shared" si="281"/>
        <v/>
      </c>
      <c r="BI43" s="9" t="str">
        <f t="shared" si="282"/>
        <v/>
      </c>
      <c r="BJ43" s="5" t="str">
        <f t="shared" si="283"/>
        <v/>
      </c>
      <c r="BK43" s="8" t="str">
        <f t="shared" si="284"/>
        <v/>
      </c>
      <c r="BL43" s="173" t="str">
        <f t="shared" si="285"/>
        <v/>
      </c>
      <c r="BM43" s="5" t="str">
        <f t="shared" si="286"/>
        <v/>
      </c>
      <c r="BN43" s="6" t="str">
        <f t="shared" si="287"/>
        <v/>
      </c>
      <c r="BO43" s="4" t="str">
        <f t="shared" si="288"/>
        <v/>
      </c>
      <c r="BP43" s="5" t="str">
        <f t="shared" si="289"/>
        <v/>
      </c>
      <c r="BQ43" s="5" t="str">
        <f t="shared" si="290"/>
        <v/>
      </c>
      <c r="BR43" s="6" t="str">
        <f t="shared" si="291"/>
        <v/>
      </c>
      <c r="BS43" s="4" t="str">
        <f t="shared" si="457"/>
        <v/>
      </c>
      <c r="BT43" s="5" t="str">
        <f t="shared" si="457"/>
        <v/>
      </c>
      <c r="BU43" s="10" t="str">
        <f t="shared" si="118"/>
        <v/>
      </c>
      <c r="BV43" s="9" t="str">
        <f t="shared" si="119"/>
        <v/>
      </c>
      <c r="BW43" s="5" t="str">
        <f t="shared" si="120"/>
        <v/>
      </c>
      <c r="BX43" s="8" t="str">
        <f t="shared" si="121"/>
        <v/>
      </c>
      <c r="BY43" s="173" t="str">
        <f t="shared" si="122"/>
        <v/>
      </c>
      <c r="BZ43" s="5" t="str">
        <f t="shared" si="123"/>
        <v/>
      </c>
      <c r="CA43" s="6" t="str">
        <f t="shared" si="124"/>
        <v/>
      </c>
      <c r="CB43" s="4" t="str">
        <f t="shared" si="292"/>
        <v/>
      </c>
      <c r="CC43" s="5" t="str">
        <f t="shared" si="293"/>
        <v/>
      </c>
      <c r="CD43" s="5" t="str">
        <f t="shared" si="294"/>
        <v/>
      </c>
      <c r="CE43" s="6" t="str">
        <f t="shared" si="295"/>
        <v/>
      </c>
      <c r="CF43" s="4" t="str">
        <f t="shared" si="296"/>
        <v/>
      </c>
      <c r="CG43" s="5" t="str">
        <f t="shared" si="297"/>
        <v/>
      </c>
      <c r="CH43" s="5" t="str">
        <f t="shared" si="298"/>
        <v/>
      </c>
      <c r="CI43" s="4" t="str">
        <f t="shared" si="125"/>
        <v/>
      </c>
      <c r="CJ43" s="5" t="str">
        <f t="shared" si="299"/>
        <v/>
      </c>
      <c r="CK43" s="8" t="str">
        <f t="shared" si="300"/>
        <v/>
      </c>
      <c r="CL43" s="173" t="str">
        <f t="shared" si="301"/>
        <v/>
      </c>
      <c r="CM43" s="5" t="str">
        <f t="shared" si="302"/>
        <v/>
      </c>
      <c r="CN43" s="6" t="str">
        <f t="shared" si="303"/>
        <v/>
      </c>
      <c r="CO43" s="167" t="str">
        <f t="shared" si="304"/>
        <v/>
      </c>
      <c r="CP43" s="4" t="str">
        <f t="shared" si="305"/>
        <v/>
      </c>
      <c r="CQ43" s="5" t="str">
        <f t="shared" si="306"/>
        <v/>
      </c>
      <c r="CR43" s="5" t="str">
        <f t="shared" si="307"/>
        <v/>
      </c>
      <c r="CS43" s="8" t="str">
        <f t="shared" si="308"/>
        <v/>
      </c>
      <c r="CT43" s="9" t="str">
        <f t="shared" si="159"/>
        <v/>
      </c>
      <c r="CU43" s="6" t="str">
        <f t="shared" si="309"/>
        <v/>
      </c>
      <c r="CV43" s="4" t="str">
        <f t="shared" si="310"/>
        <v/>
      </c>
      <c r="CW43" s="5" t="str">
        <f t="shared" si="311"/>
        <v/>
      </c>
      <c r="CX43" s="8" t="str">
        <f t="shared" si="312"/>
        <v/>
      </c>
      <c r="CY43" s="9" t="str">
        <f t="shared" si="313"/>
        <v/>
      </c>
      <c r="CZ43" s="5" t="str">
        <f t="shared" si="314"/>
        <v/>
      </c>
      <c r="DA43" s="6" t="str">
        <f t="shared" si="315"/>
        <v/>
      </c>
      <c r="DB43" s="4" t="str">
        <f t="shared" ref="DB43:DC53" si="461">IF(ISNUMBER($AV43),0,"")</f>
        <v/>
      </c>
      <c r="DC43" s="5" t="str">
        <f t="shared" si="461"/>
        <v/>
      </c>
      <c r="DD43" s="10" t="str">
        <f t="shared" si="167"/>
        <v/>
      </c>
      <c r="DE43" s="9" t="str">
        <f t="shared" ref="DE43:DF53" si="462">IF(ISNUMBER($AV43),0,"")</f>
        <v/>
      </c>
      <c r="DF43" s="5" t="str">
        <f t="shared" si="462"/>
        <v/>
      </c>
      <c r="DG43" s="10" t="str">
        <f t="shared" si="169"/>
        <v/>
      </c>
      <c r="DH43" s="70" t="str">
        <f t="shared" si="316"/>
        <v/>
      </c>
      <c r="DI43" s="4" t="str">
        <f t="shared" si="317"/>
        <v/>
      </c>
      <c r="DJ43" s="5" t="str">
        <f t="shared" si="318"/>
        <v/>
      </c>
      <c r="DK43" s="10" t="str">
        <f t="shared" si="319"/>
        <v/>
      </c>
      <c r="DL43" s="9" t="str">
        <f t="shared" si="320"/>
        <v/>
      </c>
      <c r="DM43" s="173" t="str">
        <f t="shared" si="321"/>
        <v/>
      </c>
      <c r="DN43" s="178" t="str">
        <f t="shared" si="322"/>
        <v/>
      </c>
      <c r="DO43" s="9" t="str">
        <f t="shared" si="323"/>
        <v/>
      </c>
      <c r="DP43" s="173" t="str">
        <f t="shared" si="324"/>
        <v/>
      </c>
      <c r="DQ43" s="11" t="str">
        <f t="shared" si="325"/>
        <v/>
      </c>
      <c r="DR43" s="173" t="str">
        <f t="shared" si="326"/>
        <v/>
      </c>
      <c r="DS43" s="5" t="str">
        <f t="shared" si="327"/>
        <v/>
      </c>
      <c r="DT43" s="5" t="str">
        <f t="shared" si="328"/>
        <v/>
      </c>
      <c r="DU43" s="5" t="str">
        <f t="shared" si="329"/>
        <v/>
      </c>
      <c r="DV43" s="5" t="str">
        <f t="shared" si="330"/>
        <v/>
      </c>
      <c r="DW43" s="5" t="str">
        <f t="shared" si="331"/>
        <v/>
      </c>
      <c r="DX43" s="167" t="str">
        <f t="shared" si="332"/>
        <v/>
      </c>
      <c r="DY43" s="9" t="str">
        <f t="shared" si="333"/>
        <v/>
      </c>
      <c r="DZ43" s="5" t="str">
        <f t="shared" si="334"/>
        <v/>
      </c>
      <c r="EA43" s="10" t="str">
        <f t="shared" si="335"/>
        <v/>
      </c>
      <c r="EB43" s="6" t="str">
        <f t="shared" si="336"/>
        <v/>
      </c>
      <c r="EC43" s="173" t="str">
        <f t="shared" si="337"/>
        <v/>
      </c>
      <c r="ED43" s="5" t="str">
        <f t="shared" si="338"/>
        <v/>
      </c>
      <c r="EE43" s="4" t="str">
        <f t="shared" si="339"/>
        <v/>
      </c>
      <c r="EF43" s="5" t="str">
        <f t="shared" si="340"/>
        <v/>
      </c>
      <c r="EG43" s="10" t="str">
        <f t="shared" si="341"/>
        <v/>
      </c>
      <c r="EH43" s="9" t="str">
        <f t="shared" si="342"/>
        <v/>
      </c>
      <c r="EI43" s="5" t="str">
        <f t="shared" si="343"/>
        <v/>
      </c>
      <c r="EJ43" s="6" t="str">
        <f t="shared" si="344"/>
        <v/>
      </c>
      <c r="EK43" s="236" t="str">
        <f t="shared" si="199"/>
        <v/>
      </c>
      <c r="EL43" s="238" t="str">
        <f t="shared" si="200"/>
        <v/>
      </c>
      <c r="EM43" s="4" t="str">
        <f t="shared" si="345"/>
        <v/>
      </c>
      <c r="EN43" s="5" t="str">
        <f t="shared" si="346"/>
        <v/>
      </c>
      <c r="EO43" s="10" t="str">
        <f t="shared" si="347"/>
        <v/>
      </c>
      <c r="EP43" s="9" t="str">
        <f t="shared" si="348"/>
        <v/>
      </c>
      <c r="EQ43" s="5" t="str">
        <f t="shared" si="349"/>
        <v/>
      </c>
      <c r="ER43" s="7" t="str">
        <f t="shared" si="350"/>
        <v/>
      </c>
      <c r="ES43" s="21" t="str">
        <f t="shared" si="351"/>
        <v/>
      </c>
      <c r="ET43" s="5" t="str">
        <f t="shared" si="352"/>
        <v/>
      </c>
      <c r="EU43" s="10" t="str">
        <f t="shared" si="353"/>
        <v/>
      </c>
      <c r="EV43" s="174" t="str">
        <f t="shared" si="354"/>
        <v/>
      </c>
      <c r="EW43" s="9" t="str">
        <f t="shared" si="355"/>
        <v/>
      </c>
      <c r="EX43" s="5" t="str">
        <f t="shared" si="356"/>
        <v/>
      </c>
      <c r="EY43" s="6" t="str">
        <f t="shared" si="357"/>
        <v/>
      </c>
      <c r="EZ43" s="51" t="str">
        <f t="shared" si="208"/>
        <v/>
      </c>
      <c r="FA43" s="266" t="str">
        <f t="shared" si="133"/>
        <v/>
      </c>
      <c r="FB43" s="267" t="str">
        <f t="shared" si="134"/>
        <v/>
      </c>
      <c r="FC43" s="269" t="str">
        <f t="shared" si="46"/>
        <v/>
      </c>
      <c r="FD43" s="4" t="str">
        <f t="shared" si="358"/>
        <v/>
      </c>
      <c r="FE43" s="5" t="str">
        <f t="shared" si="359"/>
        <v/>
      </c>
      <c r="FF43" s="7" t="str">
        <f t="shared" si="360"/>
        <v/>
      </c>
      <c r="FG43" s="173" t="str">
        <f t="shared" si="361"/>
        <v/>
      </c>
      <c r="FH43" s="5" t="str">
        <f t="shared" si="362"/>
        <v/>
      </c>
      <c r="FI43" s="10" t="str">
        <f t="shared" si="363"/>
        <v/>
      </c>
      <c r="FJ43" s="279" t="str">
        <f t="shared" si="364"/>
        <v/>
      </c>
      <c r="FK43" s="4" t="str">
        <f t="shared" si="365"/>
        <v/>
      </c>
      <c r="FL43" s="5" t="str">
        <f t="shared" si="366"/>
        <v/>
      </c>
      <c r="FM43" s="8" t="str">
        <f t="shared" si="367"/>
        <v/>
      </c>
      <c r="FN43" s="9" t="str">
        <f t="shared" si="368"/>
        <v/>
      </c>
      <c r="FO43" s="10" t="str">
        <f t="shared" si="369"/>
        <v/>
      </c>
      <c r="FP43" s="277" t="str">
        <f t="shared" si="370"/>
        <v/>
      </c>
      <c r="FQ43" s="173" t="str">
        <f t="shared" si="371"/>
        <v/>
      </c>
      <c r="FR43" s="10" t="str">
        <f t="shared" si="372"/>
        <v/>
      </c>
      <c r="FS43" s="9" t="str">
        <f t="shared" si="373"/>
        <v/>
      </c>
      <c r="FT43" s="6" t="str">
        <f t="shared" si="374"/>
        <v/>
      </c>
      <c r="FU43" s="4" t="str">
        <f t="shared" si="375"/>
        <v/>
      </c>
      <c r="FV43" s="5" t="str">
        <f t="shared" si="376"/>
        <v/>
      </c>
      <c r="FW43" s="8" t="str">
        <f t="shared" si="377"/>
        <v/>
      </c>
      <c r="FX43" s="9" t="str">
        <f t="shared" si="378"/>
        <v/>
      </c>
      <c r="FY43" s="10" t="str">
        <f t="shared" si="379"/>
        <v/>
      </c>
      <c r="FZ43" s="277" t="str">
        <f t="shared" si="380"/>
        <v/>
      </c>
      <c r="GA43" s="177" t="str">
        <f t="shared" si="381"/>
        <v/>
      </c>
      <c r="GB43" s="4" t="str">
        <f t="shared" si="382"/>
        <v/>
      </c>
      <c r="GC43" s="5" t="str">
        <f t="shared" si="383"/>
        <v/>
      </c>
      <c r="GD43" s="10" t="str">
        <f t="shared" si="384"/>
        <v/>
      </c>
      <c r="GE43" s="311" t="str">
        <f t="shared" si="385"/>
        <v/>
      </c>
      <c r="GF43" s="341" t="str">
        <f t="shared" si="386"/>
        <v/>
      </c>
      <c r="GG43" s="285" t="str">
        <f t="shared" si="387"/>
        <v/>
      </c>
      <c r="GH43" s="286" t="str">
        <f t="shared" si="388"/>
        <v/>
      </c>
      <c r="GI43" s="281" t="str">
        <f t="shared" si="389"/>
        <v/>
      </c>
      <c r="GJ43" s="167" t="str">
        <f t="shared" si="390"/>
        <v/>
      </c>
      <c r="GK43" s="174" t="str">
        <f t="shared" si="57"/>
        <v/>
      </c>
      <c r="GL43" s="174" t="str">
        <f t="shared" si="391"/>
        <v/>
      </c>
      <c r="GM43" s="177" t="str">
        <f t="shared" si="392"/>
        <v/>
      </c>
      <c r="GN43" s="280" t="str">
        <f t="shared" si="393"/>
        <v/>
      </c>
      <c r="GO43" s="4" t="str">
        <f t="shared" si="394"/>
        <v/>
      </c>
      <c r="GP43" s="8" t="str">
        <f t="shared" si="395"/>
        <v/>
      </c>
      <c r="GQ43" s="177" t="str">
        <f t="shared" si="396"/>
        <v/>
      </c>
      <c r="GR43" s="371" t="str">
        <f t="shared" si="397"/>
        <v/>
      </c>
      <c r="GS43" s="342" t="str">
        <f t="shared" si="398"/>
        <v/>
      </c>
      <c r="GT43" s="343" t="str">
        <f t="shared" si="399"/>
        <v/>
      </c>
      <c r="GU43" s="344" t="str">
        <f t="shared" si="61"/>
        <v/>
      </c>
      <c r="GV43" s="343" t="str">
        <f t="shared" si="400"/>
        <v/>
      </c>
      <c r="GW43" s="345" t="str">
        <f t="shared" si="62"/>
        <v/>
      </c>
      <c r="GX43" s="346" t="str">
        <f t="shared" si="63"/>
        <v/>
      </c>
      <c r="GY43" s="344" t="str">
        <f t="shared" si="401"/>
        <v/>
      </c>
      <c r="GZ43" s="345" t="str">
        <f t="shared" si="402"/>
        <v/>
      </c>
      <c r="HA43" s="342" t="str">
        <f t="shared" si="66"/>
        <v/>
      </c>
      <c r="HB43" s="5" t="str">
        <f t="shared" si="230"/>
        <v/>
      </c>
      <c r="HC43" s="343" t="str">
        <f t="shared" si="403"/>
        <v/>
      </c>
      <c r="HD43" s="345" t="str">
        <f t="shared" si="404"/>
        <v/>
      </c>
      <c r="HE43" s="344" t="str">
        <f t="shared" si="67"/>
        <v/>
      </c>
      <c r="HF43" s="5" t="str">
        <f t="shared" si="68"/>
        <v/>
      </c>
      <c r="HG43" s="343" t="str">
        <f t="shared" si="405"/>
        <v/>
      </c>
      <c r="HH43" s="349" t="str">
        <f t="shared" si="406"/>
        <v/>
      </c>
      <c r="HI43" s="317" t="str">
        <f t="shared" si="407"/>
        <v/>
      </c>
      <c r="HJ43" s="336"/>
      <c r="HK43" s="310" t="str">
        <f t="shared" si="458"/>
        <v/>
      </c>
      <c r="HL43" s="348" t="str">
        <f t="shared" si="408"/>
        <v/>
      </c>
      <c r="HM43" s="923" t="str">
        <f t="shared" si="409"/>
        <v/>
      </c>
      <c r="HN43" s="924" t="str">
        <f t="shared" si="410"/>
        <v/>
      </c>
      <c r="HO43" s="925"/>
      <c r="HP43" s="926"/>
      <c r="HQ43" s="924" t="str">
        <f t="shared" si="411"/>
        <v/>
      </c>
      <c r="HR43" s="927" t="str">
        <f t="shared" si="412"/>
        <v/>
      </c>
      <c r="HS43" s="879" t="str">
        <f t="shared" si="459"/>
        <v/>
      </c>
      <c r="HT43" s="889" t="str">
        <f t="shared" si="413"/>
        <v/>
      </c>
      <c r="HU43" s="890" t="str">
        <f t="shared" si="414"/>
        <v/>
      </c>
      <c r="HV43" s="886" t="str">
        <f t="shared" si="415"/>
        <v/>
      </c>
      <c r="HW43" s="880" t="str">
        <f t="shared" si="416"/>
        <v/>
      </c>
      <c r="HX43" s="881" t="str">
        <f t="shared" si="417"/>
        <v/>
      </c>
      <c r="HY43" s="880" t="str">
        <f t="shared" si="418"/>
        <v/>
      </c>
      <c r="HZ43" s="882" t="str">
        <f t="shared" si="419"/>
        <v/>
      </c>
      <c r="IA43" s="883" t="str">
        <f t="shared" si="420"/>
        <v/>
      </c>
      <c r="IB43" s="884" t="str">
        <f t="shared" si="421"/>
        <v/>
      </c>
      <c r="IC43" s="855" t="str">
        <f t="shared" si="422"/>
        <v/>
      </c>
      <c r="ID43" s="351" t="str">
        <f t="shared" si="423"/>
        <v/>
      </c>
      <c r="IE43" s="857" t="str">
        <f t="shared" si="42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35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25"/>
        <v/>
      </c>
      <c r="IM43" s="482" t="str">
        <f t="shared" si="236"/>
        <v/>
      </c>
      <c r="IN43" s="670" t="str">
        <f t="shared" si="426"/>
        <v/>
      </c>
      <c r="IO43" s="702">
        <v>1.8243467314961199E-2</v>
      </c>
      <c r="IP43" s="5" t="str">
        <f t="shared" si="427"/>
        <v/>
      </c>
      <c r="IQ43" s="714">
        <v>170</v>
      </c>
      <c r="IR43" s="9" t="str">
        <f t="shared" si="428"/>
        <v/>
      </c>
      <c r="IS43" s="5" t="str">
        <f t="shared" si="429"/>
        <v/>
      </c>
      <c r="IT43" s="5" t="str">
        <f t="shared" si="430"/>
        <v/>
      </c>
      <c r="IU43" s="5" t="str">
        <f t="shared" si="431"/>
        <v/>
      </c>
      <c r="IV43" s="670" t="str">
        <f t="shared" si="432"/>
        <v/>
      </c>
      <c r="IW43" s="9" t="str">
        <f t="shared" si="433"/>
        <v/>
      </c>
      <c r="IX43" s="5" t="str">
        <f t="shared" si="434"/>
        <v/>
      </c>
      <c r="IY43" s="5" t="str">
        <f t="shared" si="435"/>
        <v/>
      </c>
      <c r="IZ43" s="5" t="str">
        <f t="shared" si="436"/>
        <v/>
      </c>
      <c r="JA43" s="705" t="str">
        <f t="shared" si="437"/>
        <v/>
      </c>
    </row>
    <row r="44" spans="1:269" ht="15" customHeight="1" x14ac:dyDescent="0.25">
      <c r="A44" s="75" t="str">
        <f t="shared" si="254"/>
        <v/>
      </c>
      <c r="B44" s="578" t="str">
        <f t="shared" si="255"/>
        <v/>
      </c>
      <c r="C44" s="572" t="str">
        <f t="shared" si="256"/>
        <v/>
      </c>
      <c r="D44" s="576" t="str">
        <f t="shared" si="257"/>
        <v/>
      </c>
      <c r="E44" s="580" t="str">
        <f t="shared" si="258"/>
        <v/>
      </c>
      <c r="F44" s="572" t="str">
        <f t="shared" si="259"/>
        <v/>
      </c>
      <c r="G44" s="579" t="str">
        <f t="shared" si="260"/>
        <v/>
      </c>
      <c r="H44" s="580" t="str">
        <f t="shared" si="261"/>
        <v/>
      </c>
      <c r="I44" s="572" t="str">
        <f t="shared" si="262"/>
        <v/>
      </c>
      <c r="J44" s="483" t="str">
        <f t="shared" si="263"/>
        <v/>
      </c>
      <c r="K44" s="806" t="str">
        <f t="shared" si="264"/>
        <v/>
      </c>
      <c r="L44" s="309"/>
      <c r="M44" s="164" t="str">
        <f t="shared" si="265"/>
        <v/>
      </c>
      <c r="N44" s="575" t="str">
        <f t="shared" si="266"/>
        <v/>
      </c>
      <c r="O44" s="572" t="str">
        <f t="shared" si="267"/>
        <v/>
      </c>
      <c r="P44" s="576" t="str">
        <f t="shared" si="268"/>
        <v/>
      </c>
      <c r="Q44" s="528" t="str">
        <f t="shared" si="138"/>
        <v/>
      </c>
      <c r="R44" s="572" t="str">
        <f t="shared" si="438"/>
        <v/>
      </c>
      <c r="S44" s="577" t="str">
        <f t="shared" si="439"/>
        <v/>
      </c>
      <c r="T44" s="578" t="str">
        <f t="shared" si="440"/>
        <v/>
      </c>
      <c r="U44" s="572" t="str">
        <f t="shared" si="441"/>
        <v/>
      </c>
      <c r="V44" s="579" t="str">
        <f t="shared" si="442"/>
        <v/>
      </c>
      <c r="W44" s="528" t="str">
        <f t="shared" si="252"/>
        <v/>
      </c>
      <c r="X44" s="572" t="str">
        <f t="shared" si="443"/>
        <v/>
      </c>
      <c r="Y44" s="573" t="str">
        <f t="shared" si="253"/>
        <v/>
      </c>
      <c r="Z44" s="575" t="str">
        <f t="shared" si="269"/>
        <v/>
      </c>
      <c r="AA44" s="572" t="str">
        <f t="shared" si="270"/>
        <v/>
      </c>
      <c r="AB44" s="572" t="str">
        <f t="shared" si="271"/>
        <v/>
      </c>
      <c r="AC44" s="579" t="str">
        <f t="shared" si="444"/>
        <v/>
      </c>
      <c r="AD44" s="580" t="str">
        <f t="shared" si="445"/>
        <v/>
      </c>
      <c r="AE44" s="572" t="str">
        <f t="shared" si="446"/>
        <v/>
      </c>
      <c r="AF44" s="576" t="str">
        <f t="shared" si="447"/>
        <v/>
      </c>
      <c r="AG44" s="545" t="str">
        <f t="shared" si="448"/>
        <v/>
      </c>
      <c r="AH44" s="546" t="str">
        <f t="shared" si="449"/>
        <v/>
      </c>
      <c r="AI44" s="528" t="str">
        <f t="shared" si="450"/>
        <v/>
      </c>
      <c r="AJ44" s="529" t="str">
        <f t="shared" si="451"/>
        <v/>
      </c>
      <c r="AK44" s="578" t="str">
        <f t="shared" si="452"/>
        <v/>
      </c>
      <c r="AL44" s="572" t="str">
        <f t="shared" si="453"/>
        <v/>
      </c>
      <c r="AM44" s="577" t="str">
        <f t="shared" si="454"/>
        <v/>
      </c>
      <c r="AN44" s="524" t="str">
        <f t="shared" si="455"/>
        <v/>
      </c>
      <c r="AO44" s="525" t="str">
        <f t="shared" si="115"/>
        <v/>
      </c>
      <c r="AP44" s="528" t="str">
        <f t="shared" si="456"/>
        <v/>
      </c>
      <c r="AQ44" s="529" t="str">
        <f t="shared" si="272"/>
        <v/>
      </c>
      <c r="AS44" s="946" t="str">
        <f t="shared" si="460"/>
        <v/>
      </c>
      <c r="AT44" s="942" t="str">
        <f t="shared" si="273"/>
        <v/>
      </c>
      <c r="AU44" s="418"/>
      <c r="AV44" s="164" t="str">
        <f t="shared" si="27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5"/>
        <v/>
      </c>
      <c r="BA44" s="296" t="str">
        <f t="shared" si="276"/>
        <v/>
      </c>
      <c r="BB44" s="190" t="str">
        <f t="shared" si="143"/>
        <v/>
      </c>
      <c r="BC44" s="9"/>
      <c r="BD44" s="5" t="str">
        <f t="shared" si="277"/>
        <v/>
      </c>
      <c r="BE44" s="6" t="str">
        <f t="shared" si="278"/>
        <v/>
      </c>
      <c r="BF44" s="4" t="str">
        <f t="shared" si="279"/>
        <v/>
      </c>
      <c r="BG44" s="5" t="str">
        <f t="shared" si="280"/>
        <v/>
      </c>
      <c r="BH44" s="10" t="str">
        <f t="shared" si="281"/>
        <v/>
      </c>
      <c r="BI44" s="9" t="str">
        <f t="shared" si="282"/>
        <v/>
      </c>
      <c r="BJ44" s="5" t="str">
        <f t="shared" si="283"/>
        <v/>
      </c>
      <c r="BK44" s="8" t="str">
        <f t="shared" si="284"/>
        <v/>
      </c>
      <c r="BL44" s="173" t="str">
        <f t="shared" si="285"/>
        <v/>
      </c>
      <c r="BM44" s="5" t="str">
        <f t="shared" si="286"/>
        <v/>
      </c>
      <c r="BN44" s="6" t="str">
        <f t="shared" si="287"/>
        <v/>
      </c>
      <c r="BO44" s="4" t="str">
        <f t="shared" si="288"/>
        <v/>
      </c>
      <c r="BP44" s="5" t="str">
        <f t="shared" si="289"/>
        <v/>
      </c>
      <c r="BQ44" s="5" t="str">
        <f t="shared" si="290"/>
        <v/>
      </c>
      <c r="BR44" s="6" t="str">
        <f t="shared" si="291"/>
        <v/>
      </c>
      <c r="BS44" s="4" t="str">
        <f t="shared" si="457"/>
        <v/>
      </c>
      <c r="BT44" s="5" t="str">
        <f t="shared" si="457"/>
        <v/>
      </c>
      <c r="BU44" s="10" t="str">
        <f t="shared" si="118"/>
        <v/>
      </c>
      <c r="BV44" s="9" t="str">
        <f t="shared" si="119"/>
        <v/>
      </c>
      <c r="BW44" s="5" t="str">
        <f t="shared" si="120"/>
        <v/>
      </c>
      <c r="BX44" s="8" t="str">
        <f t="shared" si="121"/>
        <v/>
      </c>
      <c r="BY44" s="173" t="str">
        <f t="shared" si="122"/>
        <v/>
      </c>
      <c r="BZ44" s="5" t="str">
        <f t="shared" si="123"/>
        <v/>
      </c>
      <c r="CA44" s="6" t="str">
        <f t="shared" si="124"/>
        <v/>
      </c>
      <c r="CB44" s="4" t="str">
        <f t="shared" si="292"/>
        <v/>
      </c>
      <c r="CC44" s="5" t="str">
        <f t="shared" si="293"/>
        <v/>
      </c>
      <c r="CD44" s="5" t="str">
        <f t="shared" si="294"/>
        <v/>
      </c>
      <c r="CE44" s="6" t="str">
        <f t="shared" si="295"/>
        <v/>
      </c>
      <c r="CF44" s="4" t="str">
        <f t="shared" si="296"/>
        <v/>
      </c>
      <c r="CG44" s="5" t="str">
        <f t="shared" si="297"/>
        <v/>
      </c>
      <c r="CH44" s="5" t="str">
        <f t="shared" si="298"/>
        <v/>
      </c>
      <c r="CI44" s="4" t="str">
        <f t="shared" si="125"/>
        <v/>
      </c>
      <c r="CJ44" s="5" t="str">
        <f t="shared" si="299"/>
        <v/>
      </c>
      <c r="CK44" s="8" t="str">
        <f t="shared" si="300"/>
        <v/>
      </c>
      <c r="CL44" s="173" t="str">
        <f t="shared" si="301"/>
        <v/>
      </c>
      <c r="CM44" s="5" t="str">
        <f t="shared" si="302"/>
        <v/>
      </c>
      <c r="CN44" s="6" t="str">
        <f t="shared" si="303"/>
        <v/>
      </c>
      <c r="CO44" s="167" t="str">
        <f t="shared" si="304"/>
        <v/>
      </c>
      <c r="CP44" s="4" t="str">
        <f t="shared" si="305"/>
        <v/>
      </c>
      <c r="CQ44" s="5" t="str">
        <f t="shared" si="306"/>
        <v/>
      </c>
      <c r="CR44" s="5" t="str">
        <f t="shared" si="307"/>
        <v/>
      </c>
      <c r="CS44" s="8" t="str">
        <f t="shared" si="308"/>
        <v/>
      </c>
      <c r="CT44" s="9" t="str">
        <f t="shared" si="159"/>
        <v/>
      </c>
      <c r="CU44" s="6" t="str">
        <f t="shared" si="309"/>
        <v/>
      </c>
      <c r="CV44" s="4" t="str">
        <f t="shared" si="310"/>
        <v/>
      </c>
      <c r="CW44" s="5" t="str">
        <f t="shared" si="311"/>
        <v/>
      </c>
      <c r="CX44" s="8" t="str">
        <f t="shared" si="312"/>
        <v/>
      </c>
      <c r="CY44" s="9" t="str">
        <f t="shared" si="313"/>
        <v/>
      </c>
      <c r="CZ44" s="5" t="str">
        <f t="shared" si="314"/>
        <v/>
      </c>
      <c r="DA44" s="6" t="str">
        <f t="shared" si="315"/>
        <v/>
      </c>
      <c r="DB44" s="4" t="str">
        <f t="shared" si="461"/>
        <v/>
      </c>
      <c r="DC44" s="5" t="str">
        <f t="shared" si="461"/>
        <v/>
      </c>
      <c r="DD44" s="10" t="str">
        <f t="shared" si="167"/>
        <v/>
      </c>
      <c r="DE44" s="9" t="str">
        <f t="shared" si="462"/>
        <v/>
      </c>
      <c r="DF44" s="5" t="str">
        <f t="shared" si="462"/>
        <v/>
      </c>
      <c r="DG44" s="10" t="str">
        <f t="shared" si="169"/>
        <v/>
      </c>
      <c r="DH44" s="70" t="str">
        <f t="shared" si="316"/>
        <v/>
      </c>
      <c r="DI44" s="4" t="str">
        <f t="shared" si="317"/>
        <v/>
      </c>
      <c r="DJ44" s="5" t="str">
        <f t="shared" si="318"/>
        <v/>
      </c>
      <c r="DK44" s="10" t="str">
        <f t="shared" si="319"/>
        <v/>
      </c>
      <c r="DL44" s="9" t="str">
        <f t="shared" si="320"/>
        <v/>
      </c>
      <c r="DM44" s="173" t="str">
        <f t="shared" si="321"/>
        <v/>
      </c>
      <c r="DN44" s="178" t="str">
        <f t="shared" si="322"/>
        <v/>
      </c>
      <c r="DO44" s="9" t="str">
        <f t="shared" si="323"/>
        <v/>
      </c>
      <c r="DP44" s="173" t="str">
        <f t="shared" si="324"/>
        <v/>
      </c>
      <c r="DQ44" s="11" t="str">
        <f t="shared" si="325"/>
        <v/>
      </c>
      <c r="DR44" s="173" t="str">
        <f t="shared" si="326"/>
        <v/>
      </c>
      <c r="DS44" s="5" t="str">
        <f t="shared" si="327"/>
        <v/>
      </c>
      <c r="DT44" s="5" t="str">
        <f t="shared" si="328"/>
        <v/>
      </c>
      <c r="DU44" s="5" t="str">
        <f t="shared" si="329"/>
        <v/>
      </c>
      <c r="DV44" s="5" t="str">
        <f t="shared" si="330"/>
        <v/>
      </c>
      <c r="DW44" s="5" t="str">
        <f t="shared" si="331"/>
        <v/>
      </c>
      <c r="DX44" s="167" t="str">
        <f t="shared" si="332"/>
        <v/>
      </c>
      <c r="DY44" s="9" t="str">
        <f t="shared" si="333"/>
        <v/>
      </c>
      <c r="DZ44" s="5" t="str">
        <f t="shared" si="334"/>
        <v/>
      </c>
      <c r="EA44" s="10" t="str">
        <f t="shared" si="335"/>
        <v/>
      </c>
      <c r="EB44" s="6" t="str">
        <f t="shared" si="336"/>
        <v/>
      </c>
      <c r="EC44" s="173" t="str">
        <f t="shared" si="337"/>
        <v/>
      </c>
      <c r="ED44" s="5" t="str">
        <f t="shared" si="338"/>
        <v/>
      </c>
      <c r="EE44" s="4" t="str">
        <f t="shared" si="339"/>
        <v/>
      </c>
      <c r="EF44" s="5" t="str">
        <f t="shared" si="340"/>
        <v/>
      </c>
      <c r="EG44" s="10" t="str">
        <f t="shared" si="341"/>
        <v/>
      </c>
      <c r="EH44" s="9" t="str">
        <f t="shared" si="342"/>
        <v/>
      </c>
      <c r="EI44" s="5" t="str">
        <f t="shared" si="343"/>
        <v/>
      </c>
      <c r="EJ44" s="6" t="str">
        <f t="shared" si="344"/>
        <v/>
      </c>
      <c r="EK44" s="236" t="str">
        <f t="shared" si="199"/>
        <v/>
      </c>
      <c r="EL44" s="238" t="str">
        <f t="shared" si="200"/>
        <v/>
      </c>
      <c r="EM44" s="4" t="str">
        <f t="shared" si="345"/>
        <v/>
      </c>
      <c r="EN44" s="5" t="str">
        <f t="shared" si="346"/>
        <v/>
      </c>
      <c r="EO44" s="10" t="str">
        <f t="shared" si="347"/>
        <v/>
      </c>
      <c r="EP44" s="9" t="str">
        <f t="shared" si="348"/>
        <v/>
      </c>
      <c r="EQ44" s="5" t="str">
        <f t="shared" si="349"/>
        <v/>
      </c>
      <c r="ER44" s="7" t="str">
        <f t="shared" si="350"/>
        <v/>
      </c>
      <c r="ES44" s="21" t="str">
        <f t="shared" si="351"/>
        <v/>
      </c>
      <c r="ET44" s="5" t="str">
        <f t="shared" si="352"/>
        <v/>
      </c>
      <c r="EU44" s="10" t="str">
        <f t="shared" si="353"/>
        <v/>
      </c>
      <c r="EV44" s="174" t="str">
        <f t="shared" si="354"/>
        <v/>
      </c>
      <c r="EW44" s="9" t="str">
        <f t="shared" si="355"/>
        <v/>
      </c>
      <c r="EX44" s="5" t="str">
        <f t="shared" si="356"/>
        <v/>
      </c>
      <c r="EY44" s="6" t="str">
        <f t="shared" si="357"/>
        <v/>
      </c>
      <c r="EZ44" s="51" t="str">
        <f t="shared" si="208"/>
        <v/>
      </c>
      <c r="FA44" s="266" t="str">
        <f t="shared" si="133"/>
        <v/>
      </c>
      <c r="FB44" s="267" t="str">
        <f t="shared" si="134"/>
        <v/>
      </c>
      <c r="FC44" s="269" t="str">
        <f t="shared" si="46"/>
        <v/>
      </c>
      <c r="FD44" s="4" t="str">
        <f t="shared" si="358"/>
        <v/>
      </c>
      <c r="FE44" s="5" t="str">
        <f t="shared" si="359"/>
        <v/>
      </c>
      <c r="FF44" s="7" t="str">
        <f t="shared" si="360"/>
        <v/>
      </c>
      <c r="FG44" s="173" t="str">
        <f t="shared" si="361"/>
        <v/>
      </c>
      <c r="FH44" s="5" t="str">
        <f t="shared" si="362"/>
        <v/>
      </c>
      <c r="FI44" s="10" t="str">
        <f t="shared" si="363"/>
        <v/>
      </c>
      <c r="FJ44" s="279" t="str">
        <f t="shared" si="364"/>
        <v/>
      </c>
      <c r="FK44" s="4" t="str">
        <f t="shared" si="365"/>
        <v/>
      </c>
      <c r="FL44" s="5" t="str">
        <f t="shared" si="366"/>
        <v/>
      </c>
      <c r="FM44" s="8" t="str">
        <f t="shared" si="367"/>
        <v/>
      </c>
      <c r="FN44" s="9" t="str">
        <f t="shared" si="368"/>
        <v/>
      </c>
      <c r="FO44" s="10" t="str">
        <f t="shared" si="369"/>
        <v/>
      </c>
      <c r="FP44" s="277" t="str">
        <f t="shared" si="370"/>
        <v/>
      </c>
      <c r="FQ44" s="173" t="str">
        <f t="shared" si="371"/>
        <v/>
      </c>
      <c r="FR44" s="10" t="str">
        <f t="shared" si="372"/>
        <v/>
      </c>
      <c r="FS44" s="9" t="str">
        <f t="shared" si="373"/>
        <v/>
      </c>
      <c r="FT44" s="6" t="str">
        <f t="shared" si="374"/>
        <v/>
      </c>
      <c r="FU44" s="4" t="str">
        <f t="shared" si="375"/>
        <v/>
      </c>
      <c r="FV44" s="5" t="str">
        <f t="shared" si="376"/>
        <v/>
      </c>
      <c r="FW44" s="8" t="str">
        <f t="shared" si="377"/>
        <v/>
      </c>
      <c r="FX44" s="9" t="str">
        <f t="shared" si="378"/>
        <v/>
      </c>
      <c r="FY44" s="10" t="str">
        <f t="shared" si="379"/>
        <v/>
      </c>
      <c r="FZ44" s="277" t="str">
        <f t="shared" si="380"/>
        <v/>
      </c>
      <c r="GA44" s="177" t="str">
        <f t="shared" si="381"/>
        <v/>
      </c>
      <c r="GB44" s="4" t="str">
        <f t="shared" si="382"/>
        <v/>
      </c>
      <c r="GC44" s="5" t="str">
        <f t="shared" si="383"/>
        <v/>
      </c>
      <c r="GD44" s="10" t="str">
        <f t="shared" si="384"/>
        <v/>
      </c>
      <c r="GE44" s="311" t="str">
        <f t="shared" si="385"/>
        <v/>
      </c>
      <c r="GF44" s="341" t="str">
        <f t="shared" si="386"/>
        <v/>
      </c>
      <c r="GG44" s="285" t="str">
        <f t="shared" si="387"/>
        <v/>
      </c>
      <c r="GH44" s="286" t="str">
        <f t="shared" si="388"/>
        <v/>
      </c>
      <c r="GI44" s="281" t="str">
        <f t="shared" si="389"/>
        <v/>
      </c>
      <c r="GJ44" s="167" t="str">
        <f t="shared" si="390"/>
        <v/>
      </c>
      <c r="GK44" s="174" t="str">
        <f t="shared" si="57"/>
        <v/>
      </c>
      <c r="GL44" s="174" t="str">
        <f t="shared" si="391"/>
        <v/>
      </c>
      <c r="GM44" s="177" t="str">
        <f t="shared" si="392"/>
        <v/>
      </c>
      <c r="GN44" s="280" t="str">
        <f t="shared" si="393"/>
        <v/>
      </c>
      <c r="GO44" s="4" t="str">
        <f t="shared" si="394"/>
        <v/>
      </c>
      <c r="GP44" s="8" t="str">
        <f t="shared" si="395"/>
        <v/>
      </c>
      <c r="GQ44" s="177" t="str">
        <f t="shared" si="396"/>
        <v/>
      </c>
      <c r="GR44" s="371" t="str">
        <f t="shared" si="397"/>
        <v/>
      </c>
      <c r="GS44" s="342" t="str">
        <f t="shared" si="398"/>
        <v/>
      </c>
      <c r="GT44" s="343" t="str">
        <f t="shared" si="399"/>
        <v/>
      </c>
      <c r="GU44" s="344" t="str">
        <f t="shared" si="61"/>
        <v/>
      </c>
      <c r="GV44" s="343" t="str">
        <f t="shared" si="400"/>
        <v/>
      </c>
      <c r="GW44" s="345" t="str">
        <f t="shared" si="62"/>
        <v/>
      </c>
      <c r="GX44" s="346" t="str">
        <f t="shared" si="63"/>
        <v/>
      </c>
      <c r="GY44" s="344" t="str">
        <f t="shared" si="401"/>
        <v/>
      </c>
      <c r="GZ44" s="345" t="str">
        <f t="shared" si="402"/>
        <v/>
      </c>
      <c r="HA44" s="342" t="str">
        <f t="shared" si="66"/>
        <v/>
      </c>
      <c r="HB44" s="5" t="str">
        <f t="shared" si="230"/>
        <v/>
      </c>
      <c r="HC44" s="343" t="str">
        <f t="shared" si="403"/>
        <v/>
      </c>
      <c r="HD44" s="345" t="str">
        <f t="shared" si="404"/>
        <v/>
      </c>
      <c r="HE44" s="344" t="str">
        <f t="shared" si="67"/>
        <v/>
      </c>
      <c r="HF44" s="5" t="str">
        <f t="shared" si="68"/>
        <v/>
      </c>
      <c r="HG44" s="343" t="str">
        <f t="shared" si="405"/>
        <v/>
      </c>
      <c r="HH44" s="349" t="str">
        <f t="shared" si="406"/>
        <v/>
      </c>
      <c r="HI44" s="317" t="str">
        <f t="shared" si="407"/>
        <v/>
      </c>
      <c r="HJ44" s="336"/>
      <c r="HK44" s="310" t="str">
        <f t="shared" si="458"/>
        <v/>
      </c>
      <c r="HL44" s="348" t="str">
        <f t="shared" si="408"/>
        <v/>
      </c>
      <c r="HM44" s="923" t="str">
        <f t="shared" si="409"/>
        <v/>
      </c>
      <c r="HN44" s="924" t="str">
        <f t="shared" si="410"/>
        <v/>
      </c>
      <c r="HO44" s="925"/>
      <c r="HP44" s="926"/>
      <c r="HQ44" s="924" t="str">
        <f t="shared" si="411"/>
        <v/>
      </c>
      <c r="HR44" s="927" t="str">
        <f t="shared" si="412"/>
        <v/>
      </c>
      <c r="HS44" s="879" t="str">
        <f t="shared" si="459"/>
        <v/>
      </c>
      <c r="HT44" s="889" t="str">
        <f t="shared" si="413"/>
        <v/>
      </c>
      <c r="HU44" s="890" t="str">
        <f t="shared" si="414"/>
        <v/>
      </c>
      <c r="HV44" s="886" t="str">
        <f t="shared" si="415"/>
        <v/>
      </c>
      <c r="HW44" s="880" t="str">
        <f t="shared" si="416"/>
        <v/>
      </c>
      <c r="HX44" s="881" t="str">
        <f t="shared" si="417"/>
        <v/>
      </c>
      <c r="HY44" s="880" t="str">
        <f t="shared" si="418"/>
        <v/>
      </c>
      <c r="HZ44" s="882" t="str">
        <f t="shared" si="419"/>
        <v/>
      </c>
      <c r="IA44" s="883" t="str">
        <f t="shared" si="420"/>
        <v/>
      </c>
      <c r="IB44" s="884" t="str">
        <f t="shared" si="421"/>
        <v/>
      </c>
      <c r="IC44" s="855" t="str">
        <f t="shared" si="422"/>
        <v/>
      </c>
      <c r="ID44" s="351" t="str">
        <f t="shared" si="423"/>
        <v/>
      </c>
      <c r="IE44" s="857" t="str">
        <f t="shared" si="42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35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25"/>
        <v/>
      </c>
      <c r="IM44" s="482" t="str">
        <f t="shared" si="236"/>
        <v/>
      </c>
      <c r="IN44" s="670" t="str">
        <f t="shared" si="426"/>
        <v/>
      </c>
      <c r="IO44" s="702">
        <v>9.2644546654539004E-3</v>
      </c>
      <c r="IP44" s="5" t="str">
        <f t="shared" si="427"/>
        <v/>
      </c>
      <c r="IQ44" s="714">
        <v>260</v>
      </c>
      <c r="IR44" s="9" t="str">
        <f t="shared" si="428"/>
        <v/>
      </c>
      <c r="IS44" s="5" t="str">
        <f t="shared" si="429"/>
        <v/>
      </c>
      <c r="IT44" s="5" t="str">
        <f t="shared" si="430"/>
        <v/>
      </c>
      <c r="IU44" s="5" t="str">
        <f t="shared" si="431"/>
        <v/>
      </c>
      <c r="IV44" s="670" t="str">
        <f t="shared" si="432"/>
        <v/>
      </c>
      <c r="IW44" s="9" t="str">
        <f t="shared" si="433"/>
        <v/>
      </c>
      <c r="IX44" s="5" t="str">
        <f t="shared" si="434"/>
        <v/>
      </c>
      <c r="IY44" s="5" t="str">
        <f t="shared" si="435"/>
        <v/>
      </c>
      <c r="IZ44" s="5" t="str">
        <f t="shared" si="436"/>
        <v/>
      </c>
      <c r="JA44" s="705" t="str">
        <f t="shared" si="437"/>
        <v/>
      </c>
    </row>
    <row r="45" spans="1:269" ht="15" customHeight="1" x14ac:dyDescent="0.25">
      <c r="A45" s="75" t="str">
        <f t="shared" si="254"/>
        <v/>
      </c>
      <c r="B45" s="578" t="str">
        <f t="shared" si="255"/>
        <v/>
      </c>
      <c r="C45" s="572" t="str">
        <f t="shared" si="256"/>
        <v/>
      </c>
      <c r="D45" s="576" t="str">
        <f t="shared" si="257"/>
        <v/>
      </c>
      <c r="E45" s="580" t="str">
        <f t="shared" si="258"/>
        <v/>
      </c>
      <c r="F45" s="572" t="str">
        <f t="shared" si="259"/>
        <v/>
      </c>
      <c r="G45" s="579" t="str">
        <f t="shared" si="260"/>
        <v/>
      </c>
      <c r="H45" s="580" t="str">
        <f t="shared" si="261"/>
        <v/>
      </c>
      <c r="I45" s="572" t="str">
        <f t="shared" si="262"/>
        <v/>
      </c>
      <c r="J45" s="483" t="str">
        <f t="shared" si="263"/>
        <v/>
      </c>
      <c r="K45" s="806" t="str">
        <f t="shared" si="264"/>
        <v/>
      </c>
      <c r="L45" s="309"/>
      <c r="M45" s="164" t="str">
        <f t="shared" si="265"/>
        <v/>
      </c>
      <c r="N45" s="575" t="str">
        <f t="shared" si="266"/>
        <v/>
      </c>
      <c r="O45" s="572" t="str">
        <f t="shared" si="267"/>
        <v/>
      </c>
      <c r="P45" s="576" t="str">
        <f t="shared" si="268"/>
        <v/>
      </c>
      <c r="Q45" s="528" t="str">
        <f t="shared" si="138"/>
        <v/>
      </c>
      <c r="R45" s="572" t="str">
        <f t="shared" si="438"/>
        <v/>
      </c>
      <c r="S45" s="577" t="str">
        <f t="shared" si="439"/>
        <v/>
      </c>
      <c r="T45" s="578" t="str">
        <f t="shared" si="440"/>
        <v/>
      </c>
      <c r="U45" s="572" t="str">
        <f t="shared" si="441"/>
        <v/>
      </c>
      <c r="V45" s="579" t="str">
        <f t="shared" si="442"/>
        <v/>
      </c>
      <c r="W45" s="528" t="str">
        <f t="shared" si="252"/>
        <v/>
      </c>
      <c r="X45" s="572" t="str">
        <f t="shared" si="443"/>
        <v/>
      </c>
      <c r="Y45" s="573" t="str">
        <f t="shared" si="253"/>
        <v/>
      </c>
      <c r="Z45" s="575" t="str">
        <f t="shared" si="269"/>
        <v/>
      </c>
      <c r="AA45" s="572" t="str">
        <f t="shared" si="270"/>
        <v/>
      </c>
      <c r="AB45" s="572" t="str">
        <f t="shared" si="271"/>
        <v/>
      </c>
      <c r="AC45" s="579" t="str">
        <f t="shared" si="444"/>
        <v/>
      </c>
      <c r="AD45" s="580" t="str">
        <f t="shared" si="445"/>
        <v/>
      </c>
      <c r="AE45" s="572" t="str">
        <f t="shared" si="446"/>
        <v/>
      </c>
      <c r="AF45" s="576" t="str">
        <f t="shared" si="447"/>
        <v/>
      </c>
      <c r="AG45" s="545" t="str">
        <f t="shared" si="448"/>
        <v/>
      </c>
      <c r="AH45" s="546" t="str">
        <f t="shared" si="449"/>
        <v/>
      </c>
      <c r="AI45" s="528" t="str">
        <f t="shared" si="450"/>
        <v/>
      </c>
      <c r="AJ45" s="529" t="str">
        <f t="shared" si="451"/>
        <v/>
      </c>
      <c r="AK45" s="578" t="str">
        <f t="shared" si="452"/>
        <v/>
      </c>
      <c r="AL45" s="572" t="str">
        <f t="shared" si="453"/>
        <v/>
      </c>
      <c r="AM45" s="577" t="str">
        <f t="shared" si="454"/>
        <v/>
      </c>
      <c r="AN45" s="524" t="str">
        <f t="shared" si="455"/>
        <v/>
      </c>
      <c r="AO45" s="525" t="str">
        <f t="shared" si="115"/>
        <v/>
      </c>
      <c r="AP45" s="528" t="str">
        <f t="shared" si="456"/>
        <v/>
      </c>
      <c r="AQ45" s="529" t="str">
        <f t="shared" si="272"/>
        <v/>
      </c>
      <c r="AS45" s="946" t="str">
        <f t="shared" si="460"/>
        <v/>
      </c>
      <c r="AT45" s="942" t="str">
        <f t="shared" si="273"/>
        <v/>
      </c>
      <c r="AU45" s="418"/>
      <c r="AV45" s="164" t="str">
        <f t="shared" si="27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5"/>
        <v/>
      </c>
      <c r="BA45" s="296" t="str">
        <f t="shared" si="276"/>
        <v/>
      </c>
      <c r="BB45" s="190" t="str">
        <f t="shared" si="143"/>
        <v/>
      </c>
      <c r="BC45" s="9"/>
      <c r="BD45" s="5" t="str">
        <f t="shared" si="277"/>
        <v/>
      </c>
      <c r="BE45" s="6" t="str">
        <f t="shared" si="278"/>
        <v/>
      </c>
      <c r="BF45" s="4" t="str">
        <f t="shared" si="279"/>
        <v/>
      </c>
      <c r="BG45" s="5" t="str">
        <f t="shared" si="280"/>
        <v/>
      </c>
      <c r="BH45" s="10" t="str">
        <f t="shared" si="281"/>
        <v/>
      </c>
      <c r="BI45" s="9" t="str">
        <f t="shared" si="282"/>
        <v/>
      </c>
      <c r="BJ45" s="5" t="str">
        <f t="shared" si="283"/>
        <v/>
      </c>
      <c r="BK45" s="8" t="str">
        <f t="shared" si="284"/>
        <v/>
      </c>
      <c r="BL45" s="173" t="str">
        <f t="shared" si="285"/>
        <v/>
      </c>
      <c r="BM45" s="5" t="str">
        <f t="shared" si="286"/>
        <v/>
      </c>
      <c r="BN45" s="6" t="str">
        <f t="shared" si="287"/>
        <v/>
      </c>
      <c r="BO45" s="4" t="str">
        <f t="shared" si="288"/>
        <v/>
      </c>
      <c r="BP45" s="5" t="str">
        <f t="shared" si="289"/>
        <v/>
      </c>
      <c r="BQ45" s="5" t="str">
        <f t="shared" si="290"/>
        <v/>
      </c>
      <c r="BR45" s="6" t="str">
        <f t="shared" si="291"/>
        <v/>
      </c>
      <c r="BS45" s="4" t="str">
        <f t="shared" si="457"/>
        <v/>
      </c>
      <c r="BT45" s="5" t="str">
        <f t="shared" si="457"/>
        <v/>
      </c>
      <c r="BU45" s="10" t="str">
        <f t="shared" si="118"/>
        <v/>
      </c>
      <c r="BV45" s="9" t="str">
        <f t="shared" si="119"/>
        <v/>
      </c>
      <c r="BW45" s="5" t="str">
        <f t="shared" si="120"/>
        <v/>
      </c>
      <c r="BX45" s="8" t="str">
        <f t="shared" si="121"/>
        <v/>
      </c>
      <c r="BY45" s="173" t="str">
        <f t="shared" si="122"/>
        <v/>
      </c>
      <c r="BZ45" s="5" t="str">
        <f t="shared" si="123"/>
        <v/>
      </c>
      <c r="CA45" s="6" t="str">
        <f t="shared" si="124"/>
        <v/>
      </c>
      <c r="CB45" s="4" t="str">
        <f t="shared" si="292"/>
        <v/>
      </c>
      <c r="CC45" s="5" t="str">
        <f t="shared" si="293"/>
        <v/>
      </c>
      <c r="CD45" s="5" t="str">
        <f t="shared" si="294"/>
        <v/>
      </c>
      <c r="CE45" s="6" t="str">
        <f t="shared" si="295"/>
        <v/>
      </c>
      <c r="CF45" s="4" t="str">
        <f t="shared" si="296"/>
        <v/>
      </c>
      <c r="CG45" s="5" t="str">
        <f t="shared" si="297"/>
        <v/>
      </c>
      <c r="CH45" s="5" t="str">
        <f t="shared" si="298"/>
        <v/>
      </c>
      <c r="CI45" s="4" t="str">
        <f t="shared" si="125"/>
        <v/>
      </c>
      <c r="CJ45" s="5" t="str">
        <f t="shared" si="299"/>
        <v/>
      </c>
      <c r="CK45" s="8" t="str">
        <f t="shared" si="300"/>
        <v/>
      </c>
      <c r="CL45" s="173" t="str">
        <f t="shared" si="301"/>
        <v/>
      </c>
      <c r="CM45" s="5" t="str">
        <f t="shared" si="302"/>
        <v/>
      </c>
      <c r="CN45" s="6" t="str">
        <f t="shared" si="303"/>
        <v/>
      </c>
      <c r="CO45" s="167" t="str">
        <f t="shared" si="304"/>
        <v/>
      </c>
      <c r="CP45" s="4" t="str">
        <f t="shared" si="305"/>
        <v/>
      </c>
      <c r="CQ45" s="5" t="str">
        <f t="shared" si="306"/>
        <v/>
      </c>
      <c r="CR45" s="5" t="str">
        <f t="shared" si="307"/>
        <v/>
      </c>
      <c r="CS45" s="8" t="str">
        <f t="shared" si="308"/>
        <v/>
      </c>
      <c r="CT45" s="9" t="str">
        <f t="shared" si="159"/>
        <v/>
      </c>
      <c r="CU45" s="6" t="str">
        <f t="shared" si="309"/>
        <v/>
      </c>
      <c r="CV45" s="4" t="str">
        <f t="shared" si="310"/>
        <v/>
      </c>
      <c r="CW45" s="5" t="str">
        <f t="shared" si="311"/>
        <v/>
      </c>
      <c r="CX45" s="8" t="str">
        <f t="shared" si="312"/>
        <v/>
      </c>
      <c r="CY45" s="9" t="str">
        <f t="shared" si="313"/>
        <v/>
      </c>
      <c r="CZ45" s="5" t="str">
        <f t="shared" si="314"/>
        <v/>
      </c>
      <c r="DA45" s="6" t="str">
        <f t="shared" si="315"/>
        <v/>
      </c>
      <c r="DB45" s="4" t="str">
        <f t="shared" si="461"/>
        <v/>
      </c>
      <c r="DC45" s="5" t="str">
        <f t="shared" si="461"/>
        <v/>
      </c>
      <c r="DD45" s="10" t="str">
        <f t="shared" si="167"/>
        <v/>
      </c>
      <c r="DE45" s="9" t="str">
        <f t="shared" si="462"/>
        <v/>
      </c>
      <c r="DF45" s="5" t="str">
        <f t="shared" si="462"/>
        <v/>
      </c>
      <c r="DG45" s="10" t="str">
        <f t="shared" si="169"/>
        <v/>
      </c>
      <c r="DH45" s="70" t="str">
        <f t="shared" si="316"/>
        <v/>
      </c>
      <c r="DI45" s="4" t="str">
        <f t="shared" si="317"/>
        <v/>
      </c>
      <c r="DJ45" s="5" t="str">
        <f t="shared" si="318"/>
        <v/>
      </c>
      <c r="DK45" s="10" t="str">
        <f t="shared" si="319"/>
        <v/>
      </c>
      <c r="DL45" s="9" t="str">
        <f t="shared" si="320"/>
        <v/>
      </c>
      <c r="DM45" s="173" t="str">
        <f t="shared" si="321"/>
        <v/>
      </c>
      <c r="DN45" s="178" t="str">
        <f t="shared" si="322"/>
        <v/>
      </c>
      <c r="DO45" s="9" t="str">
        <f t="shared" si="323"/>
        <v/>
      </c>
      <c r="DP45" s="173" t="str">
        <f t="shared" si="324"/>
        <v/>
      </c>
      <c r="DQ45" s="11" t="str">
        <f t="shared" si="325"/>
        <v/>
      </c>
      <c r="DR45" s="173" t="str">
        <f t="shared" si="326"/>
        <v/>
      </c>
      <c r="DS45" s="5" t="str">
        <f t="shared" si="327"/>
        <v/>
      </c>
      <c r="DT45" s="5" t="str">
        <f t="shared" si="328"/>
        <v/>
      </c>
      <c r="DU45" s="5" t="str">
        <f t="shared" si="329"/>
        <v/>
      </c>
      <c r="DV45" s="5" t="str">
        <f t="shared" si="330"/>
        <v/>
      </c>
      <c r="DW45" s="5" t="str">
        <f t="shared" si="331"/>
        <v/>
      </c>
      <c r="DX45" s="167" t="str">
        <f t="shared" si="332"/>
        <v/>
      </c>
      <c r="DY45" s="9" t="str">
        <f t="shared" si="333"/>
        <v/>
      </c>
      <c r="DZ45" s="5" t="str">
        <f t="shared" si="334"/>
        <v/>
      </c>
      <c r="EA45" s="10" t="str">
        <f t="shared" si="335"/>
        <v/>
      </c>
      <c r="EB45" s="6" t="str">
        <f t="shared" si="336"/>
        <v/>
      </c>
      <c r="EC45" s="173" t="str">
        <f t="shared" si="337"/>
        <v/>
      </c>
      <c r="ED45" s="5" t="str">
        <f t="shared" si="338"/>
        <v/>
      </c>
      <c r="EE45" s="4" t="str">
        <f t="shared" si="339"/>
        <v/>
      </c>
      <c r="EF45" s="5" t="str">
        <f t="shared" si="340"/>
        <v/>
      </c>
      <c r="EG45" s="10" t="str">
        <f t="shared" si="341"/>
        <v/>
      </c>
      <c r="EH45" s="9" t="str">
        <f t="shared" si="342"/>
        <v/>
      </c>
      <c r="EI45" s="5" t="str">
        <f t="shared" si="343"/>
        <v/>
      </c>
      <c r="EJ45" s="6" t="str">
        <f t="shared" si="344"/>
        <v/>
      </c>
      <c r="EK45" s="236" t="str">
        <f t="shared" si="199"/>
        <v/>
      </c>
      <c r="EL45" s="238" t="str">
        <f t="shared" si="200"/>
        <v/>
      </c>
      <c r="EM45" s="4" t="str">
        <f t="shared" si="345"/>
        <v/>
      </c>
      <c r="EN45" s="5" t="str">
        <f t="shared" si="346"/>
        <v/>
      </c>
      <c r="EO45" s="10" t="str">
        <f t="shared" si="347"/>
        <v/>
      </c>
      <c r="EP45" s="9" t="str">
        <f t="shared" si="348"/>
        <v/>
      </c>
      <c r="EQ45" s="5" t="str">
        <f t="shared" si="349"/>
        <v/>
      </c>
      <c r="ER45" s="7" t="str">
        <f t="shared" si="350"/>
        <v/>
      </c>
      <c r="ES45" s="21" t="str">
        <f t="shared" si="351"/>
        <v/>
      </c>
      <c r="ET45" s="5" t="str">
        <f t="shared" si="352"/>
        <v/>
      </c>
      <c r="EU45" s="10" t="str">
        <f t="shared" si="353"/>
        <v/>
      </c>
      <c r="EV45" s="174" t="str">
        <f t="shared" si="354"/>
        <v/>
      </c>
      <c r="EW45" s="9" t="str">
        <f t="shared" si="355"/>
        <v/>
      </c>
      <c r="EX45" s="5" t="str">
        <f t="shared" si="356"/>
        <v/>
      </c>
      <c r="EY45" s="6" t="str">
        <f t="shared" si="357"/>
        <v/>
      </c>
      <c r="EZ45" s="51" t="str">
        <f t="shared" si="208"/>
        <v/>
      </c>
      <c r="FA45" s="266" t="str">
        <f t="shared" si="133"/>
        <v/>
      </c>
      <c r="FB45" s="267" t="str">
        <f t="shared" si="134"/>
        <v/>
      </c>
      <c r="FC45" s="269" t="str">
        <f t="shared" si="46"/>
        <v/>
      </c>
      <c r="FD45" s="4" t="str">
        <f t="shared" si="358"/>
        <v/>
      </c>
      <c r="FE45" s="5" t="str">
        <f t="shared" si="359"/>
        <v/>
      </c>
      <c r="FF45" s="7" t="str">
        <f t="shared" si="360"/>
        <v/>
      </c>
      <c r="FG45" s="173" t="str">
        <f t="shared" si="361"/>
        <v/>
      </c>
      <c r="FH45" s="5" t="str">
        <f t="shared" si="362"/>
        <v/>
      </c>
      <c r="FI45" s="10" t="str">
        <f t="shared" si="363"/>
        <v/>
      </c>
      <c r="FJ45" s="279" t="str">
        <f t="shared" si="364"/>
        <v/>
      </c>
      <c r="FK45" s="4" t="str">
        <f t="shared" si="365"/>
        <v/>
      </c>
      <c r="FL45" s="5" t="str">
        <f t="shared" si="366"/>
        <v/>
      </c>
      <c r="FM45" s="8" t="str">
        <f t="shared" si="367"/>
        <v/>
      </c>
      <c r="FN45" s="9" t="str">
        <f t="shared" si="368"/>
        <v/>
      </c>
      <c r="FO45" s="10" t="str">
        <f t="shared" si="369"/>
        <v/>
      </c>
      <c r="FP45" s="277" t="str">
        <f t="shared" si="370"/>
        <v/>
      </c>
      <c r="FQ45" s="173" t="str">
        <f t="shared" si="371"/>
        <v/>
      </c>
      <c r="FR45" s="10" t="str">
        <f t="shared" si="372"/>
        <v/>
      </c>
      <c r="FS45" s="9" t="str">
        <f t="shared" si="373"/>
        <v/>
      </c>
      <c r="FT45" s="6" t="str">
        <f t="shared" si="374"/>
        <v/>
      </c>
      <c r="FU45" s="4" t="str">
        <f t="shared" si="375"/>
        <v/>
      </c>
      <c r="FV45" s="5" t="str">
        <f t="shared" si="376"/>
        <v/>
      </c>
      <c r="FW45" s="8" t="str">
        <f t="shared" si="377"/>
        <v/>
      </c>
      <c r="FX45" s="9" t="str">
        <f t="shared" si="378"/>
        <v/>
      </c>
      <c r="FY45" s="10" t="str">
        <f t="shared" si="379"/>
        <v/>
      </c>
      <c r="FZ45" s="277" t="str">
        <f t="shared" si="380"/>
        <v/>
      </c>
      <c r="GA45" s="177" t="str">
        <f t="shared" si="381"/>
        <v/>
      </c>
      <c r="GB45" s="4" t="str">
        <f t="shared" si="382"/>
        <v/>
      </c>
      <c r="GC45" s="5" t="str">
        <f t="shared" si="383"/>
        <v/>
      </c>
      <c r="GD45" s="10" t="str">
        <f t="shared" si="384"/>
        <v/>
      </c>
      <c r="GE45" s="311" t="str">
        <f t="shared" si="385"/>
        <v/>
      </c>
      <c r="GF45" s="341" t="str">
        <f t="shared" si="386"/>
        <v/>
      </c>
      <c r="GG45" s="285" t="str">
        <f t="shared" si="387"/>
        <v/>
      </c>
      <c r="GH45" s="286" t="str">
        <f t="shared" si="388"/>
        <v/>
      </c>
      <c r="GI45" s="281" t="str">
        <f t="shared" si="389"/>
        <v/>
      </c>
      <c r="GJ45" s="167" t="str">
        <f t="shared" si="390"/>
        <v/>
      </c>
      <c r="GK45" s="174" t="str">
        <f t="shared" si="57"/>
        <v/>
      </c>
      <c r="GL45" s="174" t="str">
        <f t="shared" si="391"/>
        <v/>
      </c>
      <c r="GM45" s="177" t="str">
        <f t="shared" si="392"/>
        <v/>
      </c>
      <c r="GN45" s="280" t="str">
        <f t="shared" si="393"/>
        <v/>
      </c>
      <c r="GO45" s="4" t="str">
        <f t="shared" si="394"/>
        <v/>
      </c>
      <c r="GP45" s="8" t="str">
        <f t="shared" si="395"/>
        <v/>
      </c>
      <c r="GQ45" s="177" t="str">
        <f t="shared" si="396"/>
        <v/>
      </c>
      <c r="GR45" s="371" t="str">
        <f t="shared" si="397"/>
        <v/>
      </c>
      <c r="GS45" s="342" t="str">
        <f t="shared" si="398"/>
        <v/>
      </c>
      <c r="GT45" s="343" t="str">
        <f t="shared" si="399"/>
        <v/>
      </c>
      <c r="GU45" s="344" t="str">
        <f t="shared" si="61"/>
        <v/>
      </c>
      <c r="GV45" s="343" t="str">
        <f t="shared" si="400"/>
        <v/>
      </c>
      <c r="GW45" s="345" t="str">
        <f t="shared" si="62"/>
        <v/>
      </c>
      <c r="GX45" s="346" t="str">
        <f t="shared" si="63"/>
        <v/>
      </c>
      <c r="GY45" s="344" t="str">
        <f t="shared" si="401"/>
        <v/>
      </c>
      <c r="GZ45" s="345" t="str">
        <f t="shared" si="402"/>
        <v/>
      </c>
      <c r="HA45" s="342" t="str">
        <f t="shared" si="66"/>
        <v/>
      </c>
      <c r="HB45" s="5" t="str">
        <f t="shared" si="230"/>
        <v/>
      </c>
      <c r="HC45" s="343" t="str">
        <f t="shared" si="403"/>
        <v/>
      </c>
      <c r="HD45" s="345" t="str">
        <f t="shared" si="404"/>
        <v/>
      </c>
      <c r="HE45" s="344" t="str">
        <f t="shared" si="67"/>
        <v/>
      </c>
      <c r="HF45" s="5" t="str">
        <f t="shared" si="68"/>
        <v/>
      </c>
      <c r="HG45" s="343" t="str">
        <f t="shared" si="405"/>
        <v/>
      </c>
      <c r="HH45" s="349" t="str">
        <f t="shared" si="406"/>
        <v/>
      </c>
      <c r="HI45" s="317" t="str">
        <f t="shared" si="407"/>
        <v/>
      </c>
      <c r="HJ45" s="336"/>
      <c r="HK45" s="310" t="str">
        <f t="shared" si="458"/>
        <v/>
      </c>
      <c r="HL45" s="348" t="str">
        <f t="shared" si="408"/>
        <v/>
      </c>
      <c r="HM45" s="923" t="str">
        <f t="shared" si="409"/>
        <v/>
      </c>
      <c r="HN45" s="924" t="str">
        <f t="shared" si="410"/>
        <v/>
      </c>
      <c r="HO45" s="925"/>
      <c r="HP45" s="926"/>
      <c r="HQ45" s="924" t="str">
        <f t="shared" si="411"/>
        <v/>
      </c>
      <c r="HR45" s="927" t="str">
        <f t="shared" si="412"/>
        <v/>
      </c>
      <c r="HS45" s="879" t="str">
        <f t="shared" si="459"/>
        <v/>
      </c>
      <c r="HT45" s="889" t="str">
        <f t="shared" si="413"/>
        <v/>
      </c>
      <c r="HU45" s="890" t="str">
        <f t="shared" si="414"/>
        <v/>
      </c>
      <c r="HV45" s="886" t="str">
        <f t="shared" si="415"/>
        <v/>
      </c>
      <c r="HW45" s="880" t="str">
        <f t="shared" si="416"/>
        <v/>
      </c>
      <c r="HX45" s="881" t="str">
        <f t="shared" si="417"/>
        <v/>
      </c>
      <c r="HY45" s="880" t="str">
        <f t="shared" si="418"/>
        <v/>
      </c>
      <c r="HZ45" s="882" t="str">
        <f t="shared" si="419"/>
        <v/>
      </c>
      <c r="IA45" s="883" t="str">
        <f t="shared" si="420"/>
        <v/>
      </c>
      <c r="IB45" s="884" t="str">
        <f t="shared" si="421"/>
        <v/>
      </c>
      <c r="IC45" s="855" t="str">
        <f t="shared" si="422"/>
        <v/>
      </c>
      <c r="ID45" s="351" t="str">
        <f t="shared" si="423"/>
        <v/>
      </c>
      <c r="IE45" s="857" t="str">
        <f t="shared" si="42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35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25"/>
        <v/>
      </c>
      <c r="IM45" s="482" t="str">
        <f t="shared" si="236"/>
        <v/>
      </c>
      <c r="IN45" s="670" t="str">
        <f t="shared" si="426"/>
        <v/>
      </c>
      <c r="IO45" s="702">
        <v>8.8113349616609701E-3</v>
      </c>
      <c r="IP45" s="5" t="str">
        <f t="shared" si="427"/>
        <v/>
      </c>
      <c r="IQ45" s="714">
        <v>340</v>
      </c>
      <c r="IR45" s="9" t="str">
        <f t="shared" si="428"/>
        <v/>
      </c>
      <c r="IS45" s="5" t="str">
        <f t="shared" si="429"/>
        <v/>
      </c>
      <c r="IT45" s="5" t="str">
        <f t="shared" si="430"/>
        <v/>
      </c>
      <c r="IU45" s="5" t="str">
        <f t="shared" si="431"/>
        <v/>
      </c>
      <c r="IV45" s="670" t="str">
        <f t="shared" si="432"/>
        <v/>
      </c>
      <c r="IW45" s="9" t="str">
        <f t="shared" si="433"/>
        <v/>
      </c>
      <c r="IX45" s="5" t="str">
        <f t="shared" si="434"/>
        <v/>
      </c>
      <c r="IY45" s="5" t="str">
        <f t="shared" si="435"/>
        <v/>
      </c>
      <c r="IZ45" s="5" t="str">
        <f t="shared" si="436"/>
        <v/>
      </c>
      <c r="JA45" s="705" t="str">
        <f t="shared" si="437"/>
        <v/>
      </c>
    </row>
    <row r="46" spans="1:269" ht="15" customHeight="1" x14ac:dyDescent="0.25">
      <c r="A46" s="75" t="str">
        <f t="shared" si="254"/>
        <v/>
      </c>
      <c r="B46" s="578" t="str">
        <f t="shared" si="255"/>
        <v/>
      </c>
      <c r="C46" s="572" t="str">
        <f t="shared" si="256"/>
        <v/>
      </c>
      <c r="D46" s="576" t="str">
        <f t="shared" si="257"/>
        <v/>
      </c>
      <c r="E46" s="580" t="str">
        <f t="shared" si="258"/>
        <v/>
      </c>
      <c r="F46" s="572" t="str">
        <f t="shared" si="259"/>
        <v/>
      </c>
      <c r="G46" s="579" t="str">
        <f t="shared" si="260"/>
        <v/>
      </c>
      <c r="H46" s="580" t="str">
        <f t="shared" si="261"/>
        <v/>
      </c>
      <c r="I46" s="572" t="str">
        <f t="shared" si="262"/>
        <v/>
      </c>
      <c r="J46" s="483" t="str">
        <f t="shared" si="263"/>
        <v/>
      </c>
      <c r="K46" s="806" t="str">
        <f t="shared" si="264"/>
        <v/>
      </c>
      <c r="L46" s="309"/>
      <c r="M46" s="164" t="str">
        <f t="shared" si="265"/>
        <v/>
      </c>
      <c r="N46" s="575" t="str">
        <f t="shared" si="266"/>
        <v/>
      </c>
      <c r="O46" s="572" t="str">
        <f t="shared" si="267"/>
        <v/>
      </c>
      <c r="P46" s="576" t="str">
        <f t="shared" si="268"/>
        <v/>
      </c>
      <c r="Q46" s="528" t="str">
        <f t="shared" si="138"/>
        <v/>
      </c>
      <c r="R46" s="572" t="str">
        <f t="shared" si="438"/>
        <v/>
      </c>
      <c r="S46" s="577" t="str">
        <f t="shared" si="439"/>
        <v/>
      </c>
      <c r="T46" s="578" t="str">
        <f t="shared" si="440"/>
        <v/>
      </c>
      <c r="U46" s="572" t="str">
        <f t="shared" si="441"/>
        <v/>
      </c>
      <c r="V46" s="579" t="str">
        <f t="shared" si="442"/>
        <v/>
      </c>
      <c r="W46" s="528" t="str">
        <f t="shared" si="252"/>
        <v/>
      </c>
      <c r="X46" s="572" t="str">
        <f t="shared" si="443"/>
        <v/>
      </c>
      <c r="Y46" s="573" t="str">
        <f t="shared" si="253"/>
        <v/>
      </c>
      <c r="Z46" s="575" t="str">
        <f t="shared" si="269"/>
        <v/>
      </c>
      <c r="AA46" s="572" t="str">
        <f t="shared" si="270"/>
        <v/>
      </c>
      <c r="AB46" s="572" t="str">
        <f t="shared" si="271"/>
        <v/>
      </c>
      <c r="AC46" s="579" t="str">
        <f t="shared" si="444"/>
        <v/>
      </c>
      <c r="AD46" s="580" t="str">
        <f t="shared" si="445"/>
        <v/>
      </c>
      <c r="AE46" s="572" t="str">
        <f t="shared" si="446"/>
        <v/>
      </c>
      <c r="AF46" s="576" t="str">
        <f t="shared" si="447"/>
        <v/>
      </c>
      <c r="AG46" s="545" t="str">
        <f t="shared" si="448"/>
        <v/>
      </c>
      <c r="AH46" s="546" t="str">
        <f t="shared" si="449"/>
        <v/>
      </c>
      <c r="AI46" s="528" t="str">
        <f t="shared" si="450"/>
        <v/>
      </c>
      <c r="AJ46" s="529" t="str">
        <f t="shared" si="451"/>
        <v/>
      </c>
      <c r="AK46" s="578" t="str">
        <f t="shared" si="452"/>
        <v/>
      </c>
      <c r="AL46" s="572" t="str">
        <f t="shared" si="453"/>
        <v/>
      </c>
      <c r="AM46" s="577" t="str">
        <f t="shared" si="454"/>
        <v/>
      </c>
      <c r="AN46" s="524" t="str">
        <f t="shared" si="455"/>
        <v/>
      </c>
      <c r="AO46" s="525" t="str">
        <f t="shared" si="115"/>
        <v/>
      </c>
      <c r="AP46" s="528" t="str">
        <f t="shared" si="456"/>
        <v/>
      </c>
      <c r="AQ46" s="529" t="str">
        <f t="shared" si="272"/>
        <v/>
      </c>
      <c r="AS46" s="946" t="str">
        <f t="shared" si="460"/>
        <v/>
      </c>
      <c r="AT46" s="942" t="str">
        <f t="shared" si="273"/>
        <v/>
      </c>
      <c r="AU46" s="418"/>
      <c r="AV46" s="164" t="str">
        <f t="shared" si="27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5"/>
        <v/>
      </c>
      <c r="BA46" s="296" t="str">
        <f t="shared" si="276"/>
        <v/>
      </c>
      <c r="BB46" s="190" t="str">
        <f t="shared" si="143"/>
        <v/>
      </c>
      <c r="BC46" s="9"/>
      <c r="BD46" s="5" t="str">
        <f t="shared" si="277"/>
        <v/>
      </c>
      <c r="BE46" s="6" t="str">
        <f t="shared" si="278"/>
        <v/>
      </c>
      <c r="BF46" s="4" t="str">
        <f t="shared" si="279"/>
        <v/>
      </c>
      <c r="BG46" s="5" t="str">
        <f t="shared" si="280"/>
        <v/>
      </c>
      <c r="BH46" s="10" t="str">
        <f t="shared" si="281"/>
        <v/>
      </c>
      <c r="BI46" s="9" t="str">
        <f t="shared" si="282"/>
        <v/>
      </c>
      <c r="BJ46" s="5" t="str">
        <f t="shared" si="283"/>
        <v/>
      </c>
      <c r="BK46" s="8" t="str">
        <f t="shared" si="284"/>
        <v/>
      </c>
      <c r="BL46" s="173" t="str">
        <f t="shared" si="285"/>
        <v/>
      </c>
      <c r="BM46" s="5" t="str">
        <f t="shared" si="286"/>
        <v/>
      </c>
      <c r="BN46" s="6" t="str">
        <f t="shared" si="287"/>
        <v/>
      </c>
      <c r="BO46" s="4" t="str">
        <f t="shared" si="288"/>
        <v/>
      </c>
      <c r="BP46" s="5" t="str">
        <f t="shared" si="289"/>
        <v/>
      </c>
      <c r="BQ46" s="5" t="str">
        <f t="shared" si="290"/>
        <v/>
      </c>
      <c r="BR46" s="6" t="str">
        <f t="shared" si="291"/>
        <v/>
      </c>
      <c r="BS46" s="4" t="str">
        <f t="shared" si="457"/>
        <v/>
      </c>
      <c r="BT46" s="5" t="str">
        <f t="shared" si="457"/>
        <v/>
      </c>
      <c r="BU46" s="10" t="str">
        <f t="shared" si="118"/>
        <v/>
      </c>
      <c r="BV46" s="9" t="str">
        <f t="shared" si="119"/>
        <v/>
      </c>
      <c r="BW46" s="5" t="str">
        <f t="shared" si="120"/>
        <v/>
      </c>
      <c r="BX46" s="8" t="str">
        <f t="shared" si="121"/>
        <v/>
      </c>
      <c r="BY46" s="173" t="str">
        <f t="shared" si="122"/>
        <v/>
      </c>
      <c r="BZ46" s="5" t="str">
        <f t="shared" si="123"/>
        <v/>
      </c>
      <c r="CA46" s="6" t="str">
        <f t="shared" si="124"/>
        <v/>
      </c>
      <c r="CB46" s="4" t="str">
        <f t="shared" si="292"/>
        <v/>
      </c>
      <c r="CC46" s="5" t="str">
        <f t="shared" si="293"/>
        <v/>
      </c>
      <c r="CD46" s="5" t="str">
        <f t="shared" si="294"/>
        <v/>
      </c>
      <c r="CE46" s="6" t="str">
        <f t="shared" si="295"/>
        <v/>
      </c>
      <c r="CF46" s="4" t="str">
        <f t="shared" si="296"/>
        <v/>
      </c>
      <c r="CG46" s="5" t="str">
        <f t="shared" si="297"/>
        <v/>
      </c>
      <c r="CH46" s="5" t="str">
        <f t="shared" si="298"/>
        <v/>
      </c>
      <c r="CI46" s="4" t="str">
        <f t="shared" si="125"/>
        <v/>
      </c>
      <c r="CJ46" s="5" t="str">
        <f t="shared" si="299"/>
        <v/>
      </c>
      <c r="CK46" s="8" t="str">
        <f t="shared" si="300"/>
        <v/>
      </c>
      <c r="CL46" s="173" t="str">
        <f t="shared" si="301"/>
        <v/>
      </c>
      <c r="CM46" s="5" t="str">
        <f t="shared" si="302"/>
        <v/>
      </c>
      <c r="CN46" s="6" t="str">
        <f t="shared" si="303"/>
        <v/>
      </c>
      <c r="CO46" s="167" t="str">
        <f t="shared" si="304"/>
        <v/>
      </c>
      <c r="CP46" s="4" t="str">
        <f t="shared" si="305"/>
        <v/>
      </c>
      <c r="CQ46" s="5" t="str">
        <f t="shared" si="306"/>
        <v/>
      </c>
      <c r="CR46" s="5" t="str">
        <f t="shared" si="307"/>
        <v/>
      </c>
      <c r="CS46" s="8" t="str">
        <f t="shared" si="308"/>
        <v/>
      </c>
      <c r="CT46" s="9" t="str">
        <f t="shared" si="159"/>
        <v/>
      </c>
      <c r="CU46" s="6" t="str">
        <f t="shared" si="309"/>
        <v/>
      </c>
      <c r="CV46" s="4" t="str">
        <f t="shared" si="310"/>
        <v/>
      </c>
      <c r="CW46" s="5" t="str">
        <f t="shared" si="311"/>
        <v/>
      </c>
      <c r="CX46" s="8" t="str">
        <f t="shared" si="312"/>
        <v/>
      </c>
      <c r="CY46" s="9" t="str">
        <f t="shared" si="313"/>
        <v/>
      </c>
      <c r="CZ46" s="5" t="str">
        <f t="shared" si="314"/>
        <v/>
      </c>
      <c r="DA46" s="6" t="str">
        <f t="shared" si="315"/>
        <v/>
      </c>
      <c r="DB46" s="4" t="str">
        <f t="shared" si="461"/>
        <v/>
      </c>
      <c r="DC46" s="5" t="str">
        <f t="shared" si="461"/>
        <v/>
      </c>
      <c r="DD46" s="10" t="str">
        <f t="shared" si="167"/>
        <v/>
      </c>
      <c r="DE46" s="9" t="str">
        <f t="shared" si="462"/>
        <v/>
      </c>
      <c r="DF46" s="5" t="str">
        <f t="shared" si="462"/>
        <v/>
      </c>
      <c r="DG46" s="10" t="str">
        <f t="shared" si="169"/>
        <v/>
      </c>
      <c r="DH46" s="70" t="str">
        <f t="shared" si="316"/>
        <v/>
      </c>
      <c r="DI46" s="4" t="str">
        <f t="shared" si="317"/>
        <v/>
      </c>
      <c r="DJ46" s="5" t="str">
        <f t="shared" si="318"/>
        <v/>
      </c>
      <c r="DK46" s="10" t="str">
        <f t="shared" si="319"/>
        <v/>
      </c>
      <c r="DL46" s="9" t="str">
        <f t="shared" si="320"/>
        <v/>
      </c>
      <c r="DM46" s="173" t="str">
        <f t="shared" si="321"/>
        <v/>
      </c>
      <c r="DN46" s="178" t="str">
        <f t="shared" si="322"/>
        <v/>
      </c>
      <c r="DO46" s="9" t="str">
        <f t="shared" si="323"/>
        <v/>
      </c>
      <c r="DP46" s="173" t="str">
        <f t="shared" si="324"/>
        <v/>
      </c>
      <c r="DQ46" s="11" t="str">
        <f t="shared" si="325"/>
        <v/>
      </c>
      <c r="DR46" s="173" t="str">
        <f t="shared" si="326"/>
        <v/>
      </c>
      <c r="DS46" s="5" t="str">
        <f t="shared" si="327"/>
        <v/>
      </c>
      <c r="DT46" s="5" t="str">
        <f t="shared" si="328"/>
        <v/>
      </c>
      <c r="DU46" s="5" t="str">
        <f t="shared" si="329"/>
        <v/>
      </c>
      <c r="DV46" s="5" t="str">
        <f t="shared" si="330"/>
        <v/>
      </c>
      <c r="DW46" s="5" t="str">
        <f t="shared" si="331"/>
        <v/>
      </c>
      <c r="DX46" s="167" t="str">
        <f t="shared" si="332"/>
        <v/>
      </c>
      <c r="DY46" s="9" t="str">
        <f t="shared" si="333"/>
        <v/>
      </c>
      <c r="DZ46" s="5" t="str">
        <f t="shared" si="334"/>
        <v/>
      </c>
      <c r="EA46" s="10" t="str">
        <f t="shared" si="335"/>
        <v/>
      </c>
      <c r="EB46" s="6" t="str">
        <f t="shared" si="336"/>
        <v/>
      </c>
      <c r="EC46" s="173" t="str">
        <f t="shared" si="337"/>
        <v/>
      </c>
      <c r="ED46" s="5" t="str">
        <f t="shared" si="338"/>
        <v/>
      </c>
      <c r="EE46" s="4" t="str">
        <f t="shared" si="339"/>
        <v/>
      </c>
      <c r="EF46" s="5" t="str">
        <f t="shared" si="340"/>
        <v/>
      </c>
      <c r="EG46" s="10" t="str">
        <f t="shared" si="341"/>
        <v/>
      </c>
      <c r="EH46" s="9" t="str">
        <f t="shared" si="342"/>
        <v/>
      </c>
      <c r="EI46" s="5" t="str">
        <f t="shared" si="343"/>
        <v/>
      </c>
      <c r="EJ46" s="6" t="str">
        <f t="shared" si="344"/>
        <v/>
      </c>
      <c r="EK46" s="236" t="str">
        <f t="shared" si="199"/>
        <v/>
      </c>
      <c r="EL46" s="238" t="str">
        <f t="shared" si="200"/>
        <v/>
      </c>
      <c r="EM46" s="4" t="str">
        <f t="shared" si="345"/>
        <v/>
      </c>
      <c r="EN46" s="5" t="str">
        <f t="shared" si="346"/>
        <v/>
      </c>
      <c r="EO46" s="10" t="str">
        <f t="shared" si="347"/>
        <v/>
      </c>
      <c r="EP46" s="9" t="str">
        <f t="shared" si="348"/>
        <v/>
      </c>
      <c r="EQ46" s="5" t="str">
        <f t="shared" si="349"/>
        <v/>
      </c>
      <c r="ER46" s="7" t="str">
        <f t="shared" si="350"/>
        <v/>
      </c>
      <c r="ES46" s="21" t="str">
        <f t="shared" si="351"/>
        <v/>
      </c>
      <c r="ET46" s="5" t="str">
        <f t="shared" si="352"/>
        <v/>
      </c>
      <c r="EU46" s="10" t="str">
        <f t="shared" si="353"/>
        <v/>
      </c>
      <c r="EV46" s="174" t="str">
        <f t="shared" si="354"/>
        <v/>
      </c>
      <c r="EW46" s="9" t="str">
        <f t="shared" si="355"/>
        <v/>
      </c>
      <c r="EX46" s="5" t="str">
        <f t="shared" si="356"/>
        <v/>
      </c>
      <c r="EY46" s="6" t="str">
        <f t="shared" si="357"/>
        <v/>
      </c>
      <c r="EZ46" s="51" t="str">
        <f t="shared" si="208"/>
        <v/>
      </c>
      <c r="FA46" s="266" t="str">
        <f t="shared" si="133"/>
        <v/>
      </c>
      <c r="FB46" s="267" t="str">
        <f t="shared" si="134"/>
        <v/>
      </c>
      <c r="FC46" s="269" t="str">
        <f t="shared" si="46"/>
        <v/>
      </c>
      <c r="FD46" s="4" t="str">
        <f t="shared" si="358"/>
        <v/>
      </c>
      <c r="FE46" s="5" t="str">
        <f t="shared" si="359"/>
        <v/>
      </c>
      <c r="FF46" s="7" t="str">
        <f t="shared" si="360"/>
        <v/>
      </c>
      <c r="FG46" s="173" t="str">
        <f t="shared" si="361"/>
        <v/>
      </c>
      <c r="FH46" s="5" t="str">
        <f t="shared" si="362"/>
        <v/>
      </c>
      <c r="FI46" s="10" t="str">
        <f t="shared" si="363"/>
        <v/>
      </c>
      <c r="FJ46" s="279" t="str">
        <f t="shared" si="364"/>
        <v/>
      </c>
      <c r="FK46" s="4" t="str">
        <f t="shared" si="365"/>
        <v/>
      </c>
      <c r="FL46" s="5" t="str">
        <f t="shared" si="366"/>
        <v/>
      </c>
      <c r="FM46" s="8" t="str">
        <f t="shared" si="367"/>
        <v/>
      </c>
      <c r="FN46" s="9" t="str">
        <f t="shared" si="368"/>
        <v/>
      </c>
      <c r="FO46" s="10" t="str">
        <f t="shared" si="369"/>
        <v/>
      </c>
      <c r="FP46" s="277" t="str">
        <f t="shared" si="370"/>
        <v/>
      </c>
      <c r="FQ46" s="173" t="str">
        <f t="shared" si="371"/>
        <v/>
      </c>
      <c r="FR46" s="10" t="str">
        <f t="shared" si="372"/>
        <v/>
      </c>
      <c r="FS46" s="9" t="str">
        <f t="shared" si="373"/>
        <v/>
      </c>
      <c r="FT46" s="6" t="str">
        <f t="shared" si="374"/>
        <v/>
      </c>
      <c r="FU46" s="4" t="str">
        <f t="shared" si="375"/>
        <v/>
      </c>
      <c r="FV46" s="5" t="str">
        <f t="shared" si="376"/>
        <v/>
      </c>
      <c r="FW46" s="8" t="str">
        <f t="shared" si="377"/>
        <v/>
      </c>
      <c r="FX46" s="9" t="str">
        <f t="shared" si="378"/>
        <v/>
      </c>
      <c r="FY46" s="10" t="str">
        <f t="shared" si="379"/>
        <v/>
      </c>
      <c r="FZ46" s="277" t="str">
        <f t="shared" si="380"/>
        <v/>
      </c>
      <c r="GA46" s="177" t="str">
        <f t="shared" si="381"/>
        <v/>
      </c>
      <c r="GB46" s="4" t="str">
        <f t="shared" si="382"/>
        <v/>
      </c>
      <c r="GC46" s="5" t="str">
        <f t="shared" si="383"/>
        <v/>
      </c>
      <c r="GD46" s="10" t="str">
        <f t="shared" si="384"/>
        <v/>
      </c>
      <c r="GE46" s="311" t="str">
        <f t="shared" si="385"/>
        <v/>
      </c>
      <c r="GF46" s="341" t="str">
        <f t="shared" si="386"/>
        <v/>
      </c>
      <c r="GG46" s="285" t="str">
        <f t="shared" si="387"/>
        <v/>
      </c>
      <c r="GH46" s="286" t="str">
        <f t="shared" si="388"/>
        <v/>
      </c>
      <c r="GI46" s="281" t="str">
        <f t="shared" si="389"/>
        <v/>
      </c>
      <c r="GJ46" s="167" t="str">
        <f t="shared" si="390"/>
        <v/>
      </c>
      <c r="GK46" s="174" t="str">
        <f t="shared" si="57"/>
        <v/>
      </c>
      <c r="GL46" s="174" t="str">
        <f t="shared" si="391"/>
        <v/>
      </c>
      <c r="GM46" s="177" t="str">
        <f t="shared" si="392"/>
        <v/>
      </c>
      <c r="GN46" s="280" t="str">
        <f t="shared" si="393"/>
        <v/>
      </c>
      <c r="GO46" s="4" t="str">
        <f t="shared" si="394"/>
        <v/>
      </c>
      <c r="GP46" s="8" t="str">
        <f t="shared" si="395"/>
        <v/>
      </c>
      <c r="GQ46" s="177" t="str">
        <f t="shared" si="396"/>
        <v/>
      </c>
      <c r="GR46" s="371" t="str">
        <f t="shared" si="397"/>
        <v/>
      </c>
      <c r="GS46" s="342" t="str">
        <f t="shared" si="398"/>
        <v/>
      </c>
      <c r="GT46" s="343" t="str">
        <f t="shared" si="399"/>
        <v/>
      </c>
      <c r="GU46" s="344" t="str">
        <f t="shared" si="61"/>
        <v/>
      </c>
      <c r="GV46" s="343" t="str">
        <f t="shared" si="400"/>
        <v/>
      </c>
      <c r="GW46" s="345" t="str">
        <f t="shared" si="62"/>
        <v/>
      </c>
      <c r="GX46" s="346" t="str">
        <f t="shared" si="63"/>
        <v/>
      </c>
      <c r="GY46" s="344" t="str">
        <f t="shared" si="401"/>
        <v/>
      </c>
      <c r="GZ46" s="345" t="str">
        <f t="shared" si="402"/>
        <v/>
      </c>
      <c r="HA46" s="342" t="str">
        <f t="shared" si="66"/>
        <v/>
      </c>
      <c r="HB46" s="5" t="str">
        <f t="shared" si="230"/>
        <v/>
      </c>
      <c r="HC46" s="343" t="str">
        <f t="shared" si="403"/>
        <v/>
      </c>
      <c r="HD46" s="345" t="str">
        <f t="shared" si="404"/>
        <v/>
      </c>
      <c r="HE46" s="344" t="str">
        <f t="shared" si="67"/>
        <v/>
      </c>
      <c r="HF46" s="5" t="str">
        <f t="shared" si="68"/>
        <v/>
      </c>
      <c r="HG46" s="343" t="str">
        <f t="shared" si="405"/>
        <v/>
      </c>
      <c r="HH46" s="349" t="str">
        <f t="shared" si="406"/>
        <v/>
      </c>
      <c r="HI46" s="317" t="str">
        <f t="shared" si="407"/>
        <v/>
      </c>
      <c r="HJ46" s="336"/>
      <c r="HK46" s="310" t="str">
        <f t="shared" si="458"/>
        <v/>
      </c>
      <c r="HL46" s="348" t="str">
        <f t="shared" si="408"/>
        <v/>
      </c>
      <c r="HM46" s="923" t="str">
        <f t="shared" si="409"/>
        <v/>
      </c>
      <c r="HN46" s="924" t="str">
        <f t="shared" si="410"/>
        <v/>
      </c>
      <c r="HO46" s="925"/>
      <c r="HP46" s="926"/>
      <c r="HQ46" s="924" t="str">
        <f t="shared" si="411"/>
        <v/>
      </c>
      <c r="HR46" s="927" t="str">
        <f t="shared" si="412"/>
        <v/>
      </c>
      <c r="HS46" s="879" t="str">
        <f t="shared" si="459"/>
        <v/>
      </c>
      <c r="HT46" s="889" t="str">
        <f t="shared" si="413"/>
        <v/>
      </c>
      <c r="HU46" s="890" t="str">
        <f t="shared" si="414"/>
        <v/>
      </c>
      <c r="HV46" s="886" t="str">
        <f t="shared" si="415"/>
        <v/>
      </c>
      <c r="HW46" s="880" t="str">
        <f t="shared" si="416"/>
        <v/>
      </c>
      <c r="HX46" s="881" t="str">
        <f t="shared" si="417"/>
        <v/>
      </c>
      <c r="HY46" s="880" t="str">
        <f t="shared" si="418"/>
        <v/>
      </c>
      <c r="HZ46" s="882" t="str">
        <f t="shared" si="419"/>
        <v/>
      </c>
      <c r="IA46" s="883" t="str">
        <f t="shared" si="420"/>
        <v/>
      </c>
      <c r="IB46" s="884" t="str">
        <f t="shared" si="421"/>
        <v/>
      </c>
      <c r="IC46" s="855" t="str">
        <f t="shared" si="422"/>
        <v/>
      </c>
      <c r="ID46" s="351" t="str">
        <f t="shared" si="423"/>
        <v/>
      </c>
      <c r="IE46" s="857" t="str">
        <f t="shared" si="42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35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25"/>
        <v/>
      </c>
      <c r="IM46" s="482" t="str">
        <f t="shared" si="236"/>
        <v/>
      </c>
      <c r="IN46" s="670" t="str">
        <f t="shared" si="426"/>
        <v/>
      </c>
      <c r="IO46" s="702">
        <v>8.6773344048647495E-3</v>
      </c>
      <c r="IP46" s="5" t="str">
        <f t="shared" si="427"/>
        <v/>
      </c>
      <c r="IQ46" s="714">
        <v>340</v>
      </c>
      <c r="IR46" s="9" t="str">
        <f t="shared" si="428"/>
        <v/>
      </c>
      <c r="IS46" s="5" t="str">
        <f t="shared" si="429"/>
        <v/>
      </c>
      <c r="IT46" s="5" t="str">
        <f t="shared" si="430"/>
        <v/>
      </c>
      <c r="IU46" s="5" t="str">
        <f t="shared" si="431"/>
        <v/>
      </c>
      <c r="IV46" s="670" t="str">
        <f t="shared" si="432"/>
        <v/>
      </c>
      <c r="IW46" s="9" t="str">
        <f t="shared" si="433"/>
        <v/>
      </c>
      <c r="IX46" s="5" t="str">
        <f t="shared" si="434"/>
        <v/>
      </c>
      <c r="IY46" s="5" t="str">
        <f t="shared" si="435"/>
        <v/>
      </c>
      <c r="IZ46" s="5" t="str">
        <f t="shared" si="436"/>
        <v/>
      </c>
      <c r="JA46" s="705" t="str">
        <f t="shared" si="437"/>
        <v/>
      </c>
    </row>
    <row r="47" spans="1:269" ht="15" customHeight="1" x14ac:dyDescent="0.25">
      <c r="A47" s="75" t="str">
        <f t="shared" si="254"/>
        <v/>
      </c>
      <c r="B47" s="578" t="str">
        <f t="shared" si="255"/>
        <v/>
      </c>
      <c r="C47" s="572" t="str">
        <f t="shared" si="256"/>
        <v/>
      </c>
      <c r="D47" s="576" t="str">
        <f t="shared" si="257"/>
        <v/>
      </c>
      <c r="E47" s="580" t="str">
        <f t="shared" si="258"/>
        <v/>
      </c>
      <c r="F47" s="572" t="str">
        <f t="shared" si="259"/>
        <v/>
      </c>
      <c r="G47" s="579" t="str">
        <f t="shared" si="260"/>
        <v/>
      </c>
      <c r="H47" s="580" t="str">
        <f t="shared" si="261"/>
        <v/>
      </c>
      <c r="I47" s="572" t="str">
        <f t="shared" si="262"/>
        <v/>
      </c>
      <c r="J47" s="483" t="str">
        <f t="shared" si="263"/>
        <v/>
      </c>
      <c r="K47" s="806" t="str">
        <f t="shared" si="264"/>
        <v/>
      </c>
      <c r="L47" s="309"/>
      <c r="M47" s="164" t="str">
        <f t="shared" si="265"/>
        <v/>
      </c>
      <c r="N47" s="575" t="str">
        <f t="shared" si="266"/>
        <v/>
      </c>
      <c r="O47" s="572" t="str">
        <f t="shared" si="267"/>
        <v/>
      </c>
      <c r="P47" s="576" t="str">
        <f t="shared" si="268"/>
        <v/>
      </c>
      <c r="Q47" s="528" t="str">
        <f t="shared" si="138"/>
        <v/>
      </c>
      <c r="R47" s="572" t="str">
        <f t="shared" si="438"/>
        <v/>
      </c>
      <c r="S47" s="577" t="str">
        <f t="shared" si="439"/>
        <v/>
      </c>
      <c r="T47" s="578" t="str">
        <f t="shared" si="440"/>
        <v/>
      </c>
      <c r="U47" s="572" t="str">
        <f t="shared" si="441"/>
        <v/>
      </c>
      <c r="V47" s="579" t="str">
        <f t="shared" si="442"/>
        <v/>
      </c>
      <c r="W47" s="528" t="str">
        <f t="shared" si="252"/>
        <v/>
      </c>
      <c r="X47" s="572" t="str">
        <f t="shared" si="443"/>
        <v/>
      </c>
      <c r="Y47" s="573" t="str">
        <f t="shared" si="253"/>
        <v/>
      </c>
      <c r="Z47" s="575" t="str">
        <f t="shared" si="269"/>
        <v/>
      </c>
      <c r="AA47" s="572" t="str">
        <f t="shared" si="270"/>
        <v/>
      </c>
      <c r="AB47" s="572" t="str">
        <f t="shared" si="271"/>
        <v/>
      </c>
      <c r="AC47" s="579" t="str">
        <f t="shared" si="444"/>
        <v/>
      </c>
      <c r="AD47" s="580" t="str">
        <f t="shared" si="445"/>
        <v/>
      </c>
      <c r="AE47" s="572" t="str">
        <f t="shared" si="446"/>
        <v/>
      </c>
      <c r="AF47" s="576" t="str">
        <f t="shared" si="447"/>
        <v/>
      </c>
      <c r="AG47" s="545" t="str">
        <f t="shared" si="448"/>
        <v/>
      </c>
      <c r="AH47" s="546" t="str">
        <f t="shared" si="449"/>
        <v/>
      </c>
      <c r="AI47" s="528" t="str">
        <f t="shared" si="450"/>
        <v/>
      </c>
      <c r="AJ47" s="529" t="str">
        <f t="shared" si="451"/>
        <v/>
      </c>
      <c r="AK47" s="578" t="str">
        <f t="shared" si="452"/>
        <v/>
      </c>
      <c r="AL47" s="572" t="str">
        <f t="shared" si="453"/>
        <v/>
      </c>
      <c r="AM47" s="577" t="str">
        <f t="shared" si="454"/>
        <v/>
      </c>
      <c r="AN47" s="524" t="str">
        <f t="shared" si="455"/>
        <v/>
      </c>
      <c r="AO47" s="525" t="str">
        <f t="shared" si="115"/>
        <v/>
      </c>
      <c r="AP47" s="528" t="str">
        <f t="shared" si="456"/>
        <v/>
      </c>
      <c r="AQ47" s="529" t="str">
        <f t="shared" si="272"/>
        <v/>
      </c>
      <c r="AS47" s="946" t="str">
        <f t="shared" si="460"/>
        <v/>
      </c>
      <c r="AT47" s="942" t="str">
        <f t="shared" si="273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5"/>
        <v/>
      </c>
      <c r="BA47" s="296" t="str">
        <f t="shared" si="276"/>
        <v/>
      </c>
      <c r="BB47" s="190" t="str">
        <f t="shared" si="143"/>
        <v/>
      </c>
      <c r="BC47" s="9"/>
      <c r="BD47" s="5" t="str">
        <f t="shared" si="277"/>
        <v/>
      </c>
      <c r="BE47" s="6" t="str">
        <f t="shared" si="278"/>
        <v/>
      </c>
      <c r="BF47" s="4" t="str">
        <f t="shared" si="279"/>
        <v/>
      </c>
      <c r="BG47" s="5" t="str">
        <f t="shared" si="280"/>
        <v/>
      </c>
      <c r="BH47" s="10" t="str">
        <f t="shared" si="281"/>
        <v/>
      </c>
      <c r="BI47" s="9" t="str">
        <f t="shared" si="282"/>
        <v/>
      </c>
      <c r="BJ47" s="5" t="str">
        <f t="shared" si="283"/>
        <v/>
      </c>
      <c r="BK47" s="8" t="str">
        <f t="shared" si="284"/>
        <v/>
      </c>
      <c r="BL47" s="173" t="str">
        <f t="shared" si="285"/>
        <v/>
      </c>
      <c r="BM47" s="5" t="str">
        <f t="shared" si="286"/>
        <v/>
      </c>
      <c r="BN47" s="6" t="str">
        <f t="shared" si="287"/>
        <v/>
      </c>
      <c r="BO47" s="4" t="str">
        <f t="shared" si="288"/>
        <v/>
      </c>
      <c r="BP47" s="5" t="str">
        <f t="shared" si="289"/>
        <v/>
      </c>
      <c r="BQ47" s="5" t="str">
        <f t="shared" si="290"/>
        <v/>
      </c>
      <c r="BR47" s="6" t="str">
        <f t="shared" si="291"/>
        <v/>
      </c>
      <c r="BS47" s="4" t="str">
        <f t="shared" si="457"/>
        <v/>
      </c>
      <c r="BT47" s="5" t="str">
        <f t="shared" si="457"/>
        <v/>
      </c>
      <c r="BU47" s="10" t="str">
        <f t="shared" si="118"/>
        <v/>
      </c>
      <c r="BV47" s="9" t="str">
        <f t="shared" si="119"/>
        <v/>
      </c>
      <c r="BW47" s="5" t="str">
        <f t="shared" si="120"/>
        <v/>
      </c>
      <c r="BX47" s="8" t="str">
        <f t="shared" si="121"/>
        <v/>
      </c>
      <c r="BY47" s="173" t="str">
        <f t="shared" si="122"/>
        <v/>
      </c>
      <c r="BZ47" s="5" t="str">
        <f t="shared" si="123"/>
        <v/>
      </c>
      <c r="CA47" s="6" t="str">
        <f t="shared" si="124"/>
        <v/>
      </c>
      <c r="CB47" s="4" t="str">
        <f t="shared" si="292"/>
        <v/>
      </c>
      <c r="CC47" s="5" t="str">
        <f t="shared" si="293"/>
        <v/>
      </c>
      <c r="CD47" s="5" t="str">
        <f t="shared" si="294"/>
        <v/>
      </c>
      <c r="CE47" s="6" t="str">
        <f t="shared" si="295"/>
        <v/>
      </c>
      <c r="CF47" s="4" t="str">
        <f t="shared" si="296"/>
        <v/>
      </c>
      <c r="CG47" s="5" t="str">
        <f t="shared" si="297"/>
        <v/>
      </c>
      <c r="CH47" s="5" t="str">
        <f t="shared" si="298"/>
        <v/>
      </c>
      <c r="CI47" s="4" t="str">
        <f t="shared" si="125"/>
        <v/>
      </c>
      <c r="CJ47" s="5" t="str">
        <f t="shared" si="299"/>
        <v/>
      </c>
      <c r="CK47" s="8" t="str">
        <f t="shared" si="300"/>
        <v/>
      </c>
      <c r="CL47" s="173" t="str">
        <f t="shared" si="301"/>
        <v/>
      </c>
      <c r="CM47" s="5" t="str">
        <f t="shared" si="302"/>
        <v/>
      </c>
      <c r="CN47" s="6" t="str">
        <f t="shared" si="303"/>
        <v/>
      </c>
      <c r="CO47" s="167" t="str">
        <f t="shared" si="304"/>
        <v/>
      </c>
      <c r="CP47" s="4" t="str">
        <f t="shared" si="305"/>
        <v/>
      </c>
      <c r="CQ47" s="5" t="str">
        <f t="shared" si="306"/>
        <v/>
      </c>
      <c r="CR47" s="5" t="str">
        <f t="shared" si="307"/>
        <v/>
      </c>
      <c r="CS47" s="8" t="str">
        <f t="shared" si="308"/>
        <v/>
      </c>
      <c r="CT47" s="9" t="str">
        <f t="shared" si="159"/>
        <v/>
      </c>
      <c r="CU47" s="6" t="str">
        <f t="shared" si="309"/>
        <v/>
      </c>
      <c r="CV47" s="4" t="str">
        <f t="shared" si="310"/>
        <v/>
      </c>
      <c r="CW47" s="5" t="str">
        <f t="shared" si="311"/>
        <v/>
      </c>
      <c r="CX47" s="8" t="str">
        <f t="shared" si="312"/>
        <v/>
      </c>
      <c r="CY47" s="9" t="str">
        <f t="shared" si="313"/>
        <v/>
      </c>
      <c r="CZ47" s="5" t="str">
        <f t="shared" si="314"/>
        <v/>
      </c>
      <c r="DA47" s="6" t="str">
        <f t="shared" si="315"/>
        <v/>
      </c>
      <c r="DB47" s="4" t="str">
        <f t="shared" si="461"/>
        <v/>
      </c>
      <c r="DC47" s="5" t="str">
        <f t="shared" si="461"/>
        <v/>
      </c>
      <c r="DD47" s="10" t="str">
        <f t="shared" si="167"/>
        <v/>
      </c>
      <c r="DE47" s="9" t="str">
        <f t="shared" si="462"/>
        <v/>
      </c>
      <c r="DF47" s="5" t="str">
        <f t="shared" si="462"/>
        <v/>
      </c>
      <c r="DG47" s="10" t="str">
        <f t="shared" si="169"/>
        <v/>
      </c>
      <c r="DH47" s="70" t="str">
        <f t="shared" si="316"/>
        <v/>
      </c>
      <c r="DI47" s="4" t="str">
        <f t="shared" si="317"/>
        <v/>
      </c>
      <c r="DJ47" s="5" t="str">
        <f t="shared" si="318"/>
        <v/>
      </c>
      <c r="DK47" s="10" t="str">
        <f t="shared" si="319"/>
        <v/>
      </c>
      <c r="DL47" s="9" t="str">
        <f t="shared" si="320"/>
        <v/>
      </c>
      <c r="DM47" s="173" t="str">
        <f t="shared" si="321"/>
        <v/>
      </c>
      <c r="DN47" s="178" t="str">
        <f t="shared" si="322"/>
        <v/>
      </c>
      <c r="DO47" s="9" t="str">
        <f t="shared" si="323"/>
        <v/>
      </c>
      <c r="DP47" s="173" t="str">
        <f t="shared" si="324"/>
        <v/>
      </c>
      <c r="DQ47" s="11" t="str">
        <f t="shared" si="325"/>
        <v/>
      </c>
      <c r="DR47" s="173" t="str">
        <f t="shared" si="326"/>
        <v/>
      </c>
      <c r="DS47" s="5" t="str">
        <f t="shared" si="327"/>
        <v/>
      </c>
      <c r="DT47" s="5" t="str">
        <f t="shared" si="328"/>
        <v/>
      </c>
      <c r="DU47" s="5" t="str">
        <f t="shared" si="329"/>
        <v/>
      </c>
      <c r="DV47" s="5" t="str">
        <f t="shared" si="330"/>
        <v/>
      </c>
      <c r="DW47" s="5" t="str">
        <f t="shared" si="331"/>
        <v/>
      </c>
      <c r="DX47" s="167" t="str">
        <f t="shared" si="332"/>
        <v/>
      </c>
      <c r="DY47" s="9" t="str">
        <f t="shared" si="333"/>
        <v/>
      </c>
      <c r="DZ47" s="5" t="str">
        <f t="shared" si="334"/>
        <v/>
      </c>
      <c r="EA47" s="10" t="str">
        <f t="shared" si="335"/>
        <v/>
      </c>
      <c r="EB47" s="6" t="str">
        <f t="shared" si="336"/>
        <v/>
      </c>
      <c r="EC47" s="173" t="str">
        <f t="shared" si="337"/>
        <v/>
      </c>
      <c r="ED47" s="5" t="str">
        <f t="shared" si="338"/>
        <v/>
      </c>
      <c r="EE47" s="4" t="str">
        <f t="shared" si="339"/>
        <v/>
      </c>
      <c r="EF47" s="5" t="str">
        <f t="shared" si="340"/>
        <v/>
      </c>
      <c r="EG47" s="10" t="str">
        <f t="shared" si="341"/>
        <v/>
      </c>
      <c r="EH47" s="9" t="str">
        <f t="shared" si="342"/>
        <v/>
      </c>
      <c r="EI47" s="5" t="str">
        <f t="shared" si="343"/>
        <v/>
      </c>
      <c r="EJ47" s="6" t="str">
        <f t="shared" si="344"/>
        <v/>
      </c>
      <c r="EK47" s="236" t="str">
        <f t="shared" si="199"/>
        <v/>
      </c>
      <c r="EL47" s="238" t="str">
        <f t="shared" si="200"/>
        <v/>
      </c>
      <c r="EM47" s="4" t="str">
        <f t="shared" si="345"/>
        <v/>
      </c>
      <c r="EN47" s="5" t="str">
        <f t="shared" si="346"/>
        <v/>
      </c>
      <c r="EO47" s="10" t="str">
        <f t="shared" si="347"/>
        <v/>
      </c>
      <c r="EP47" s="9" t="str">
        <f t="shared" si="348"/>
        <v/>
      </c>
      <c r="EQ47" s="5" t="str">
        <f t="shared" si="349"/>
        <v/>
      </c>
      <c r="ER47" s="7" t="str">
        <f t="shared" si="350"/>
        <v/>
      </c>
      <c r="ES47" s="21" t="str">
        <f t="shared" si="351"/>
        <v/>
      </c>
      <c r="ET47" s="5" t="str">
        <f t="shared" si="352"/>
        <v/>
      </c>
      <c r="EU47" s="10" t="str">
        <f t="shared" si="353"/>
        <v/>
      </c>
      <c r="EV47" s="174" t="str">
        <f t="shared" si="354"/>
        <v/>
      </c>
      <c r="EW47" s="9" t="str">
        <f t="shared" si="355"/>
        <v/>
      </c>
      <c r="EX47" s="5" t="str">
        <f t="shared" si="356"/>
        <v/>
      </c>
      <c r="EY47" s="6" t="str">
        <f t="shared" si="357"/>
        <v/>
      </c>
      <c r="EZ47" s="51" t="str">
        <f t="shared" si="208"/>
        <v/>
      </c>
      <c r="FA47" s="266" t="str">
        <f t="shared" si="133"/>
        <v/>
      </c>
      <c r="FB47" s="267" t="str">
        <f t="shared" si="134"/>
        <v/>
      </c>
      <c r="FC47" s="269" t="str">
        <f t="shared" si="46"/>
        <v/>
      </c>
      <c r="FD47" s="4" t="str">
        <f t="shared" si="358"/>
        <v/>
      </c>
      <c r="FE47" s="5" t="str">
        <f t="shared" si="359"/>
        <v/>
      </c>
      <c r="FF47" s="7" t="str">
        <f t="shared" si="360"/>
        <v/>
      </c>
      <c r="FG47" s="173" t="str">
        <f t="shared" si="361"/>
        <v/>
      </c>
      <c r="FH47" s="5" t="str">
        <f t="shared" si="362"/>
        <v/>
      </c>
      <c r="FI47" s="10" t="str">
        <f t="shared" si="363"/>
        <v/>
      </c>
      <c r="FJ47" s="279" t="str">
        <f t="shared" si="364"/>
        <v/>
      </c>
      <c r="FK47" s="4" t="str">
        <f t="shared" si="365"/>
        <v/>
      </c>
      <c r="FL47" s="5" t="str">
        <f t="shared" si="366"/>
        <v/>
      </c>
      <c r="FM47" s="8" t="str">
        <f t="shared" si="367"/>
        <v/>
      </c>
      <c r="FN47" s="9" t="str">
        <f t="shared" si="368"/>
        <v/>
      </c>
      <c r="FO47" s="10" t="str">
        <f t="shared" si="369"/>
        <v/>
      </c>
      <c r="FP47" s="277" t="str">
        <f t="shared" si="370"/>
        <v/>
      </c>
      <c r="FQ47" s="173" t="str">
        <f t="shared" si="371"/>
        <v/>
      </c>
      <c r="FR47" s="10" t="str">
        <f t="shared" si="372"/>
        <v/>
      </c>
      <c r="FS47" s="9" t="str">
        <f t="shared" si="373"/>
        <v/>
      </c>
      <c r="FT47" s="6" t="str">
        <f t="shared" si="374"/>
        <v/>
      </c>
      <c r="FU47" s="4" t="str">
        <f t="shared" si="375"/>
        <v/>
      </c>
      <c r="FV47" s="5" t="str">
        <f t="shared" si="376"/>
        <v/>
      </c>
      <c r="FW47" s="8" t="str">
        <f t="shared" si="377"/>
        <v/>
      </c>
      <c r="FX47" s="9" t="str">
        <f t="shared" si="378"/>
        <v/>
      </c>
      <c r="FY47" s="10" t="str">
        <f t="shared" si="379"/>
        <v/>
      </c>
      <c r="FZ47" s="277" t="str">
        <f t="shared" si="380"/>
        <v/>
      </c>
      <c r="GA47" s="177" t="str">
        <f t="shared" si="381"/>
        <v/>
      </c>
      <c r="GB47" s="4" t="str">
        <f t="shared" si="382"/>
        <v/>
      </c>
      <c r="GC47" s="5" t="str">
        <f t="shared" si="383"/>
        <v/>
      </c>
      <c r="GD47" s="10" t="str">
        <f t="shared" si="384"/>
        <v/>
      </c>
      <c r="GE47" s="311" t="str">
        <f t="shared" si="385"/>
        <v/>
      </c>
      <c r="GF47" s="341" t="str">
        <f t="shared" si="386"/>
        <v/>
      </c>
      <c r="GG47" s="285" t="str">
        <f t="shared" si="387"/>
        <v/>
      </c>
      <c r="GH47" s="286" t="str">
        <f t="shared" si="388"/>
        <v/>
      </c>
      <c r="GI47" s="281" t="str">
        <f t="shared" si="389"/>
        <v/>
      </c>
      <c r="GJ47" s="167" t="str">
        <f t="shared" si="390"/>
        <v/>
      </c>
      <c r="GK47" s="174" t="str">
        <f t="shared" si="57"/>
        <v/>
      </c>
      <c r="GL47" s="174" t="str">
        <f t="shared" si="391"/>
        <v/>
      </c>
      <c r="GM47" s="177" t="str">
        <f t="shared" si="392"/>
        <v/>
      </c>
      <c r="GN47" s="280" t="str">
        <f t="shared" si="393"/>
        <v/>
      </c>
      <c r="GO47" s="4" t="str">
        <f t="shared" si="394"/>
        <v/>
      </c>
      <c r="GP47" s="8" t="str">
        <f t="shared" si="395"/>
        <v/>
      </c>
      <c r="GQ47" s="177" t="str">
        <f t="shared" si="396"/>
        <v/>
      </c>
      <c r="GR47" s="371" t="str">
        <f t="shared" si="397"/>
        <v/>
      </c>
      <c r="GS47" s="342" t="str">
        <f t="shared" si="398"/>
        <v/>
      </c>
      <c r="GT47" s="343" t="str">
        <f t="shared" si="399"/>
        <v/>
      </c>
      <c r="GU47" s="344" t="str">
        <f t="shared" si="61"/>
        <v/>
      </c>
      <c r="GV47" s="343" t="str">
        <f t="shared" si="400"/>
        <v/>
      </c>
      <c r="GW47" s="345" t="str">
        <f t="shared" si="62"/>
        <v/>
      </c>
      <c r="GX47" s="346" t="str">
        <f t="shared" si="63"/>
        <v/>
      </c>
      <c r="GY47" s="344" t="str">
        <f t="shared" si="401"/>
        <v/>
      </c>
      <c r="GZ47" s="345" t="str">
        <f t="shared" si="402"/>
        <v/>
      </c>
      <c r="HA47" s="342" t="str">
        <f t="shared" si="66"/>
        <v/>
      </c>
      <c r="HB47" s="5" t="str">
        <f t="shared" si="230"/>
        <v/>
      </c>
      <c r="HC47" s="343" t="str">
        <f t="shared" si="403"/>
        <v/>
      </c>
      <c r="HD47" s="345" t="str">
        <f t="shared" si="404"/>
        <v/>
      </c>
      <c r="HE47" s="344" t="str">
        <f t="shared" si="67"/>
        <v/>
      </c>
      <c r="HF47" s="5" t="str">
        <f t="shared" si="68"/>
        <v/>
      </c>
      <c r="HG47" s="343" t="str">
        <f t="shared" si="405"/>
        <v/>
      </c>
      <c r="HH47" s="349" t="str">
        <f t="shared" si="406"/>
        <v/>
      </c>
      <c r="HI47" s="317" t="str">
        <f t="shared" si="407"/>
        <v/>
      </c>
      <c r="HJ47" s="336"/>
      <c r="HK47" s="310" t="str">
        <f t="shared" si="458"/>
        <v/>
      </c>
      <c r="HL47" s="348" t="str">
        <f t="shared" si="408"/>
        <v/>
      </c>
      <c r="HM47" s="923" t="str">
        <f t="shared" si="409"/>
        <v/>
      </c>
      <c r="HN47" s="924" t="str">
        <f t="shared" si="410"/>
        <v/>
      </c>
      <c r="HO47" s="925"/>
      <c r="HP47" s="926"/>
      <c r="HQ47" s="924" t="str">
        <f t="shared" si="411"/>
        <v/>
      </c>
      <c r="HR47" s="927" t="str">
        <f t="shared" si="412"/>
        <v/>
      </c>
      <c r="HS47" s="879" t="str">
        <f t="shared" si="459"/>
        <v/>
      </c>
      <c r="HT47" s="889" t="str">
        <f t="shared" si="413"/>
        <v/>
      </c>
      <c r="HU47" s="890" t="str">
        <f t="shared" si="414"/>
        <v/>
      </c>
      <c r="HV47" s="886" t="str">
        <f t="shared" si="415"/>
        <v/>
      </c>
      <c r="HW47" s="880" t="str">
        <f t="shared" si="416"/>
        <v/>
      </c>
      <c r="HX47" s="881" t="str">
        <f t="shared" si="417"/>
        <v/>
      </c>
      <c r="HY47" s="880" t="str">
        <f t="shared" si="418"/>
        <v/>
      </c>
      <c r="HZ47" s="882" t="str">
        <f t="shared" si="419"/>
        <v/>
      </c>
      <c r="IA47" s="883" t="str">
        <f t="shared" si="420"/>
        <v/>
      </c>
      <c r="IB47" s="884" t="str">
        <f t="shared" si="421"/>
        <v/>
      </c>
      <c r="IC47" s="855" t="str">
        <f t="shared" si="422"/>
        <v/>
      </c>
      <c r="ID47" s="351" t="str">
        <f t="shared" si="423"/>
        <v/>
      </c>
      <c r="IE47" s="857" t="str">
        <f t="shared" si="42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35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25"/>
        <v/>
      </c>
      <c r="IM47" s="482" t="str">
        <f t="shared" si="236"/>
        <v/>
      </c>
      <c r="IN47" s="670" t="str">
        <f t="shared" si="426"/>
        <v/>
      </c>
      <c r="IO47" s="702"/>
      <c r="IP47" s="5" t="str">
        <f t="shared" si="427"/>
        <v/>
      </c>
      <c r="IQ47" s="714"/>
      <c r="IR47" s="9" t="str">
        <f t="shared" si="428"/>
        <v/>
      </c>
      <c r="IS47" s="5" t="str">
        <f t="shared" si="429"/>
        <v/>
      </c>
      <c r="IT47" s="5" t="str">
        <f t="shared" si="430"/>
        <v/>
      </c>
      <c r="IU47" s="5" t="str">
        <f t="shared" si="431"/>
        <v/>
      </c>
      <c r="IV47" s="670" t="str">
        <f t="shared" si="432"/>
        <v/>
      </c>
      <c r="IW47" s="9" t="str">
        <f t="shared" si="433"/>
        <v/>
      </c>
      <c r="IX47" s="5" t="str">
        <f t="shared" si="434"/>
        <v/>
      </c>
      <c r="IY47" s="5" t="str">
        <f t="shared" si="435"/>
        <v/>
      </c>
      <c r="IZ47" s="5" t="str">
        <f t="shared" si="436"/>
        <v/>
      </c>
      <c r="JA47" s="705" t="str">
        <f t="shared" si="437"/>
        <v/>
      </c>
    </row>
    <row r="48" spans="1:269" ht="15" customHeight="1" x14ac:dyDescent="0.25">
      <c r="A48" s="75" t="str">
        <f t="shared" si="254"/>
        <v/>
      </c>
      <c r="B48" s="578" t="str">
        <f t="shared" si="255"/>
        <v/>
      </c>
      <c r="C48" s="572" t="str">
        <f t="shared" si="256"/>
        <v/>
      </c>
      <c r="D48" s="576" t="str">
        <f t="shared" si="257"/>
        <v/>
      </c>
      <c r="E48" s="580" t="str">
        <f t="shared" si="258"/>
        <v/>
      </c>
      <c r="F48" s="572" t="str">
        <f t="shared" si="259"/>
        <v/>
      </c>
      <c r="G48" s="579" t="str">
        <f t="shared" si="260"/>
        <v/>
      </c>
      <c r="H48" s="580" t="str">
        <f t="shared" si="261"/>
        <v/>
      </c>
      <c r="I48" s="572" t="str">
        <f t="shared" si="262"/>
        <v/>
      </c>
      <c r="J48" s="483" t="str">
        <f t="shared" si="263"/>
        <v/>
      </c>
      <c r="K48" s="806" t="str">
        <f t="shared" si="264"/>
        <v/>
      </c>
      <c r="L48" s="309"/>
      <c r="M48" s="164" t="str">
        <f t="shared" si="265"/>
        <v/>
      </c>
      <c r="N48" s="575" t="str">
        <f t="shared" si="266"/>
        <v/>
      </c>
      <c r="O48" s="572" t="str">
        <f t="shared" si="267"/>
        <v/>
      </c>
      <c r="P48" s="576" t="str">
        <f t="shared" si="268"/>
        <v/>
      </c>
      <c r="Q48" s="528" t="str">
        <f t="shared" si="138"/>
        <v/>
      </c>
      <c r="R48" s="572" t="str">
        <f t="shared" si="100"/>
        <v/>
      </c>
      <c r="S48" s="577" t="str">
        <f t="shared" si="101"/>
        <v/>
      </c>
      <c r="T48" s="578" t="str">
        <f t="shared" si="102"/>
        <v/>
      </c>
      <c r="U48" s="572" t="str">
        <f t="shared" si="103"/>
        <v/>
      </c>
      <c r="V48" s="579" t="str">
        <f t="shared" si="139"/>
        <v/>
      </c>
      <c r="W48" s="528" t="str">
        <f t="shared" si="252"/>
        <v/>
      </c>
      <c r="X48" s="572" t="str">
        <f t="shared" si="104"/>
        <v/>
      </c>
      <c r="Y48" s="573" t="str">
        <f t="shared" si="253"/>
        <v/>
      </c>
      <c r="Z48" s="575" t="str">
        <f t="shared" si="269"/>
        <v/>
      </c>
      <c r="AA48" s="572" t="str">
        <f t="shared" si="270"/>
        <v/>
      </c>
      <c r="AB48" s="572" t="str">
        <f t="shared" si="271"/>
        <v/>
      </c>
      <c r="AC48" s="579" t="str">
        <f t="shared" si="105"/>
        <v/>
      </c>
      <c r="AD48" s="580" t="str">
        <f t="shared" si="140"/>
        <v/>
      </c>
      <c r="AE48" s="572" t="str">
        <f t="shared" si="106"/>
        <v/>
      </c>
      <c r="AF48" s="576" t="str">
        <f t="shared" si="107"/>
        <v/>
      </c>
      <c r="AG48" s="545" t="str">
        <f t="shared" si="108"/>
        <v/>
      </c>
      <c r="AH48" s="546" t="str">
        <f t="shared" si="109"/>
        <v/>
      </c>
      <c r="AI48" s="528" t="str">
        <f t="shared" si="110"/>
        <v/>
      </c>
      <c r="AJ48" s="529" t="str">
        <f t="shared" si="111"/>
        <v/>
      </c>
      <c r="AK48" s="578" t="str">
        <f t="shared" si="237"/>
        <v/>
      </c>
      <c r="AL48" s="572" t="str">
        <f t="shared" si="112"/>
        <v/>
      </c>
      <c r="AM48" s="577" t="str">
        <f t="shared" si="113"/>
        <v/>
      </c>
      <c r="AN48" s="524" t="str">
        <f t="shared" si="114"/>
        <v/>
      </c>
      <c r="AO48" s="525" t="str">
        <f t="shared" si="115"/>
        <v/>
      </c>
      <c r="AP48" s="528" t="str">
        <f t="shared" si="116"/>
        <v/>
      </c>
      <c r="AQ48" s="529" t="str">
        <f t="shared" si="272"/>
        <v/>
      </c>
      <c r="AS48" s="946" t="str">
        <f t="shared" si="460"/>
        <v/>
      </c>
      <c r="AT48" s="942" t="str">
        <f t="shared" si="273"/>
        <v/>
      </c>
      <c r="AU48" s="418"/>
      <c r="AV48" s="164" t="str">
        <f t="shared" si="27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5"/>
        <v/>
      </c>
      <c r="BA48" s="296" t="str">
        <f t="shared" si="276"/>
        <v/>
      </c>
      <c r="BB48" s="190" t="str">
        <f t="shared" si="143"/>
        <v/>
      </c>
      <c r="BC48" s="9"/>
      <c r="BD48" s="5" t="str">
        <f t="shared" si="277"/>
        <v/>
      </c>
      <c r="BE48" s="6" t="str">
        <f t="shared" si="278"/>
        <v/>
      </c>
      <c r="BF48" s="4" t="str">
        <f t="shared" si="279"/>
        <v/>
      </c>
      <c r="BG48" s="5" t="str">
        <f t="shared" si="280"/>
        <v/>
      </c>
      <c r="BH48" s="10" t="str">
        <f t="shared" si="281"/>
        <v/>
      </c>
      <c r="BI48" s="9" t="str">
        <f t="shared" si="282"/>
        <v/>
      </c>
      <c r="BJ48" s="5" t="str">
        <f t="shared" si="283"/>
        <v/>
      </c>
      <c r="BK48" s="8" t="str">
        <f t="shared" si="284"/>
        <v/>
      </c>
      <c r="BL48" s="173" t="str">
        <f t="shared" si="285"/>
        <v/>
      </c>
      <c r="BM48" s="5" t="str">
        <f t="shared" si="286"/>
        <v/>
      </c>
      <c r="BN48" s="6" t="str">
        <f t="shared" si="287"/>
        <v/>
      </c>
      <c r="BO48" s="4" t="str">
        <f t="shared" si="288"/>
        <v/>
      </c>
      <c r="BP48" s="5" t="str">
        <f t="shared" si="289"/>
        <v/>
      </c>
      <c r="BQ48" s="5" t="str">
        <f t="shared" si="290"/>
        <v/>
      </c>
      <c r="BR48" s="6" t="str">
        <f t="shared" si="291"/>
        <v/>
      </c>
      <c r="BS48" s="4" t="str">
        <f t="shared" si="457"/>
        <v/>
      </c>
      <c r="BT48" s="5" t="str">
        <f t="shared" si="457"/>
        <v/>
      </c>
      <c r="BU48" s="10" t="str">
        <f t="shared" si="118"/>
        <v/>
      </c>
      <c r="BV48" s="9" t="str">
        <f t="shared" si="119"/>
        <v/>
      </c>
      <c r="BW48" s="5" t="str">
        <f t="shared" si="120"/>
        <v/>
      </c>
      <c r="BX48" s="8" t="str">
        <f t="shared" si="121"/>
        <v/>
      </c>
      <c r="BY48" s="173" t="str">
        <f t="shared" si="122"/>
        <v/>
      </c>
      <c r="BZ48" s="5" t="str">
        <f t="shared" si="123"/>
        <v/>
      </c>
      <c r="CA48" s="6" t="str">
        <f t="shared" si="124"/>
        <v/>
      </c>
      <c r="CB48" s="4" t="str">
        <f t="shared" si="292"/>
        <v/>
      </c>
      <c r="CC48" s="5" t="str">
        <f t="shared" si="293"/>
        <v/>
      </c>
      <c r="CD48" s="5" t="str">
        <f t="shared" si="294"/>
        <v/>
      </c>
      <c r="CE48" s="6" t="str">
        <f t="shared" si="295"/>
        <v/>
      </c>
      <c r="CF48" s="4" t="str">
        <f t="shared" si="296"/>
        <v/>
      </c>
      <c r="CG48" s="5" t="str">
        <f t="shared" si="297"/>
        <v/>
      </c>
      <c r="CH48" s="5" t="str">
        <f t="shared" si="298"/>
        <v/>
      </c>
      <c r="CI48" s="4" t="str">
        <f t="shared" si="125"/>
        <v/>
      </c>
      <c r="CJ48" s="5" t="str">
        <f t="shared" si="299"/>
        <v/>
      </c>
      <c r="CK48" s="8" t="str">
        <f t="shared" si="300"/>
        <v/>
      </c>
      <c r="CL48" s="173" t="str">
        <f t="shared" si="301"/>
        <v/>
      </c>
      <c r="CM48" s="5" t="str">
        <f t="shared" si="302"/>
        <v/>
      </c>
      <c r="CN48" s="6" t="str">
        <f t="shared" si="303"/>
        <v/>
      </c>
      <c r="CO48" s="167" t="str">
        <f t="shared" si="304"/>
        <v/>
      </c>
      <c r="CP48" s="4" t="str">
        <f t="shared" si="305"/>
        <v/>
      </c>
      <c r="CQ48" s="5" t="str">
        <f t="shared" si="306"/>
        <v/>
      </c>
      <c r="CR48" s="5" t="str">
        <f t="shared" si="307"/>
        <v/>
      </c>
      <c r="CS48" s="8" t="str">
        <f t="shared" si="308"/>
        <v/>
      </c>
      <c r="CT48" s="9" t="str">
        <f t="shared" si="159"/>
        <v/>
      </c>
      <c r="CU48" s="6" t="str">
        <f t="shared" si="309"/>
        <v/>
      </c>
      <c r="CV48" s="4" t="str">
        <f t="shared" si="310"/>
        <v/>
      </c>
      <c r="CW48" s="5" t="str">
        <f t="shared" si="311"/>
        <v/>
      </c>
      <c r="CX48" s="8" t="str">
        <f t="shared" si="312"/>
        <v/>
      </c>
      <c r="CY48" s="9" t="str">
        <f t="shared" si="313"/>
        <v/>
      </c>
      <c r="CZ48" s="5" t="str">
        <f t="shared" si="314"/>
        <v/>
      </c>
      <c r="DA48" s="6" t="str">
        <f t="shared" si="315"/>
        <v/>
      </c>
      <c r="DB48" s="4" t="str">
        <f t="shared" si="461"/>
        <v/>
      </c>
      <c r="DC48" s="5" t="str">
        <f t="shared" si="461"/>
        <v/>
      </c>
      <c r="DD48" s="10" t="str">
        <f t="shared" si="167"/>
        <v/>
      </c>
      <c r="DE48" s="9" t="str">
        <f t="shared" si="462"/>
        <v/>
      </c>
      <c r="DF48" s="5" t="str">
        <f t="shared" si="462"/>
        <v/>
      </c>
      <c r="DG48" s="10" t="str">
        <f t="shared" si="169"/>
        <v/>
      </c>
      <c r="DH48" s="70" t="str">
        <f t="shared" si="316"/>
        <v/>
      </c>
      <c r="DI48" s="4" t="str">
        <f t="shared" si="317"/>
        <v/>
      </c>
      <c r="DJ48" s="5" t="str">
        <f t="shared" si="318"/>
        <v/>
      </c>
      <c r="DK48" s="10" t="str">
        <f t="shared" si="319"/>
        <v/>
      </c>
      <c r="DL48" s="9" t="str">
        <f t="shared" si="320"/>
        <v/>
      </c>
      <c r="DM48" s="173" t="str">
        <f t="shared" si="321"/>
        <v/>
      </c>
      <c r="DN48" s="178" t="str">
        <f t="shared" si="322"/>
        <v/>
      </c>
      <c r="DO48" s="9" t="str">
        <f t="shared" si="323"/>
        <v/>
      </c>
      <c r="DP48" s="173" t="str">
        <f t="shared" si="324"/>
        <v/>
      </c>
      <c r="DQ48" s="11" t="str">
        <f t="shared" si="325"/>
        <v/>
      </c>
      <c r="DR48" s="173" t="str">
        <f t="shared" si="326"/>
        <v/>
      </c>
      <c r="DS48" s="5" t="str">
        <f t="shared" si="327"/>
        <v/>
      </c>
      <c r="DT48" s="5" t="str">
        <f t="shared" si="328"/>
        <v/>
      </c>
      <c r="DU48" s="5" t="str">
        <f t="shared" si="329"/>
        <v/>
      </c>
      <c r="DV48" s="5" t="str">
        <f t="shared" si="330"/>
        <v/>
      </c>
      <c r="DW48" s="5" t="str">
        <f t="shared" si="331"/>
        <v/>
      </c>
      <c r="DX48" s="167" t="str">
        <f t="shared" si="332"/>
        <v/>
      </c>
      <c r="DY48" s="9" t="str">
        <f t="shared" si="333"/>
        <v/>
      </c>
      <c r="DZ48" s="5" t="str">
        <f t="shared" si="334"/>
        <v/>
      </c>
      <c r="EA48" s="10" t="str">
        <f t="shared" si="335"/>
        <v/>
      </c>
      <c r="EB48" s="6" t="str">
        <f t="shared" si="336"/>
        <v/>
      </c>
      <c r="EC48" s="173" t="str">
        <f t="shared" si="337"/>
        <v/>
      </c>
      <c r="ED48" s="5" t="str">
        <f t="shared" si="338"/>
        <v/>
      </c>
      <c r="EE48" s="4" t="str">
        <f t="shared" si="339"/>
        <v/>
      </c>
      <c r="EF48" s="5" t="str">
        <f t="shared" si="340"/>
        <v/>
      </c>
      <c r="EG48" s="10" t="str">
        <f t="shared" si="341"/>
        <v/>
      </c>
      <c r="EH48" s="9" t="str">
        <f t="shared" si="342"/>
        <v/>
      </c>
      <c r="EI48" s="5" t="str">
        <f t="shared" si="343"/>
        <v/>
      </c>
      <c r="EJ48" s="6" t="str">
        <f t="shared" si="344"/>
        <v/>
      </c>
      <c r="EK48" s="236" t="str">
        <f t="shared" si="199"/>
        <v/>
      </c>
      <c r="EL48" s="238" t="str">
        <f t="shared" si="200"/>
        <v/>
      </c>
      <c r="EM48" s="4" t="str">
        <f t="shared" si="345"/>
        <v/>
      </c>
      <c r="EN48" s="5" t="str">
        <f t="shared" si="346"/>
        <v/>
      </c>
      <c r="EO48" s="10" t="str">
        <f t="shared" si="347"/>
        <v/>
      </c>
      <c r="EP48" s="9" t="str">
        <f t="shared" si="348"/>
        <v/>
      </c>
      <c r="EQ48" s="5" t="str">
        <f t="shared" si="349"/>
        <v/>
      </c>
      <c r="ER48" s="7" t="str">
        <f t="shared" si="350"/>
        <v/>
      </c>
      <c r="ES48" s="21" t="str">
        <f t="shared" si="351"/>
        <v/>
      </c>
      <c r="ET48" s="5" t="str">
        <f t="shared" si="352"/>
        <v/>
      </c>
      <c r="EU48" s="10" t="str">
        <f t="shared" si="353"/>
        <v/>
      </c>
      <c r="EV48" s="174" t="str">
        <f t="shared" si="354"/>
        <v/>
      </c>
      <c r="EW48" s="9" t="str">
        <f t="shared" si="355"/>
        <v/>
      </c>
      <c r="EX48" s="5" t="str">
        <f t="shared" si="356"/>
        <v/>
      </c>
      <c r="EY48" s="6" t="str">
        <f t="shared" si="357"/>
        <v/>
      </c>
      <c r="EZ48" s="51" t="str">
        <f t="shared" si="208"/>
        <v/>
      </c>
      <c r="FA48" s="266" t="str">
        <f t="shared" si="133"/>
        <v/>
      </c>
      <c r="FB48" s="267" t="str">
        <f t="shared" si="134"/>
        <v/>
      </c>
      <c r="FC48" s="269" t="str">
        <f t="shared" si="46"/>
        <v/>
      </c>
      <c r="FD48" s="4" t="str">
        <f t="shared" si="358"/>
        <v/>
      </c>
      <c r="FE48" s="5" t="str">
        <f t="shared" si="359"/>
        <v/>
      </c>
      <c r="FF48" s="7" t="str">
        <f t="shared" si="360"/>
        <v/>
      </c>
      <c r="FG48" s="173" t="str">
        <f t="shared" si="361"/>
        <v/>
      </c>
      <c r="FH48" s="5" t="str">
        <f t="shared" si="362"/>
        <v/>
      </c>
      <c r="FI48" s="10" t="str">
        <f t="shared" si="363"/>
        <v/>
      </c>
      <c r="FJ48" s="279" t="str">
        <f t="shared" si="364"/>
        <v/>
      </c>
      <c r="FK48" s="4" t="str">
        <f t="shared" si="365"/>
        <v/>
      </c>
      <c r="FL48" s="5" t="str">
        <f t="shared" si="366"/>
        <v/>
      </c>
      <c r="FM48" s="8" t="str">
        <f t="shared" si="367"/>
        <v/>
      </c>
      <c r="FN48" s="9" t="str">
        <f t="shared" si="368"/>
        <v/>
      </c>
      <c r="FO48" s="10" t="str">
        <f t="shared" si="369"/>
        <v/>
      </c>
      <c r="FP48" s="277" t="str">
        <f t="shared" si="370"/>
        <v/>
      </c>
      <c r="FQ48" s="173" t="str">
        <f t="shared" si="371"/>
        <v/>
      </c>
      <c r="FR48" s="10" t="str">
        <f t="shared" si="372"/>
        <v/>
      </c>
      <c r="FS48" s="9" t="str">
        <f t="shared" si="373"/>
        <v/>
      </c>
      <c r="FT48" s="6" t="str">
        <f t="shared" si="374"/>
        <v/>
      </c>
      <c r="FU48" s="4" t="str">
        <f t="shared" si="375"/>
        <v/>
      </c>
      <c r="FV48" s="5" t="str">
        <f t="shared" si="376"/>
        <v/>
      </c>
      <c r="FW48" s="8" t="str">
        <f t="shared" si="377"/>
        <v/>
      </c>
      <c r="FX48" s="9" t="str">
        <f t="shared" si="378"/>
        <v/>
      </c>
      <c r="FY48" s="10" t="str">
        <f t="shared" si="379"/>
        <v/>
      </c>
      <c r="FZ48" s="277" t="str">
        <f t="shared" si="380"/>
        <v/>
      </c>
      <c r="GA48" s="177" t="str">
        <f t="shared" si="381"/>
        <v/>
      </c>
      <c r="GB48" s="4" t="str">
        <f t="shared" si="382"/>
        <v/>
      </c>
      <c r="GC48" s="5" t="str">
        <f t="shared" si="383"/>
        <v/>
      </c>
      <c r="GD48" s="10" t="str">
        <f t="shared" si="384"/>
        <v/>
      </c>
      <c r="GE48" s="311" t="str">
        <f t="shared" si="385"/>
        <v/>
      </c>
      <c r="GF48" s="341" t="str">
        <f t="shared" si="386"/>
        <v/>
      </c>
      <c r="GG48" s="285" t="str">
        <f t="shared" si="387"/>
        <v/>
      </c>
      <c r="GH48" s="286" t="str">
        <f t="shared" si="388"/>
        <v/>
      </c>
      <c r="GI48" s="281" t="str">
        <f t="shared" si="389"/>
        <v/>
      </c>
      <c r="GJ48" s="167" t="str">
        <f t="shared" si="390"/>
        <v/>
      </c>
      <c r="GK48" s="174" t="str">
        <f t="shared" si="57"/>
        <v/>
      </c>
      <c r="GL48" s="174" t="str">
        <f t="shared" si="391"/>
        <v/>
      </c>
      <c r="GM48" s="177" t="str">
        <f t="shared" si="392"/>
        <v/>
      </c>
      <c r="GN48" s="280" t="str">
        <f t="shared" si="393"/>
        <v/>
      </c>
      <c r="GO48" s="4" t="str">
        <f t="shared" si="394"/>
        <v/>
      </c>
      <c r="GP48" s="8" t="str">
        <f t="shared" si="395"/>
        <v/>
      </c>
      <c r="GQ48" s="177" t="str">
        <f t="shared" si="396"/>
        <v/>
      </c>
      <c r="GR48" s="371" t="str">
        <f t="shared" si="397"/>
        <v/>
      </c>
      <c r="GS48" s="342" t="str">
        <f t="shared" si="398"/>
        <v/>
      </c>
      <c r="GT48" s="343" t="str">
        <f t="shared" si="399"/>
        <v/>
      </c>
      <c r="GU48" s="344" t="str">
        <f t="shared" si="61"/>
        <v/>
      </c>
      <c r="GV48" s="343" t="str">
        <f t="shared" si="400"/>
        <v/>
      </c>
      <c r="GW48" s="345" t="str">
        <f t="shared" si="62"/>
        <v/>
      </c>
      <c r="GX48" s="346" t="str">
        <f t="shared" si="63"/>
        <v/>
      </c>
      <c r="GY48" s="344" t="str">
        <f t="shared" si="401"/>
        <v/>
      </c>
      <c r="GZ48" s="345" t="str">
        <f t="shared" si="402"/>
        <v/>
      </c>
      <c r="HA48" s="342" t="str">
        <f t="shared" si="66"/>
        <v/>
      </c>
      <c r="HB48" s="5" t="str">
        <f t="shared" si="230"/>
        <v/>
      </c>
      <c r="HC48" s="343" t="str">
        <f t="shared" si="403"/>
        <v/>
      </c>
      <c r="HD48" s="345" t="str">
        <f t="shared" si="404"/>
        <v/>
      </c>
      <c r="HE48" s="344" t="str">
        <f t="shared" si="67"/>
        <v/>
      </c>
      <c r="HF48" s="5" t="str">
        <f t="shared" si="68"/>
        <v/>
      </c>
      <c r="HG48" s="343" t="str">
        <f t="shared" si="405"/>
        <v/>
      </c>
      <c r="HH48" s="349" t="str">
        <f t="shared" si="406"/>
        <v/>
      </c>
      <c r="HI48" s="317" t="str">
        <f t="shared" si="407"/>
        <v/>
      </c>
      <c r="HJ48" s="336"/>
      <c r="HK48" s="310" t="str">
        <f t="shared" si="458"/>
        <v/>
      </c>
      <c r="HL48" s="348" t="str">
        <f t="shared" si="408"/>
        <v/>
      </c>
      <c r="HM48" s="923" t="str">
        <f t="shared" si="409"/>
        <v/>
      </c>
      <c r="HN48" s="924" t="str">
        <f t="shared" si="410"/>
        <v/>
      </c>
      <c r="HO48" s="925"/>
      <c r="HP48" s="926"/>
      <c r="HQ48" s="924" t="str">
        <f t="shared" si="411"/>
        <v/>
      </c>
      <c r="HR48" s="927" t="str">
        <f t="shared" si="412"/>
        <v/>
      </c>
      <c r="HS48" s="879" t="str">
        <f t="shared" si="459"/>
        <v/>
      </c>
      <c r="HT48" s="889" t="str">
        <f t="shared" si="413"/>
        <v/>
      </c>
      <c r="HU48" s="890" t="str">
        <f t="shared" si="414"/>
        <v/>
      </c>
      <c r="HV48" s="886" t="str">
        <f t="shared" si="415"/>
        <v/>
      </c>
      <c r="HW48" s="880" t="str">
        <f t="shared" si="416"/>
        <v/>
      </c>
      <c r="HX48" s="881" t="str">
        <f t="shared" si="417"/>
        <v/>
      </c>
      <c r="HY48" s="880" t="str">
        <f t="shared" si="418"/>
        <v/>
      </c>
      <c r="HZ48" s="882" t="str">
        <f t="shared" si="419"/>
        <v/>
      </c>
      <c r="IA48" s="883" t="str">
        <f t="shared" si="420"/>
        <v/>
      </c>
      <c r="IB48" s="884" t="str">
        <f t="shared" si="421"/>
        <v/>
      </c>
      <c r="IC48" s="855" t="str">
        <f t="shared" si="422"/>
        <v/>
      </c>
      <c r="ID48" s="351" t="str">
        <f t="shared" si="423"/>
        <v/>
      </c>
      <c r="IE48" s="857" t="str">
        <f t="shared" si="42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35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25"/>
        <v/>
      </c>
      <c r="IM48" s="482" t="str">
        <f t="shared" si="236"/>
        <v/>
      </c>
      <c r="IN48" s="670" t="str">
        <f t="shared" si="426"/>
        <v/>
      </c>
      <c r="IO48" s="702"/>
      <c r="IP48" s="5" t="str">
        <f t="shared" si="427"/>
        <v/>
      </c>
      <c r="IQ48" s="714"/>
      <c r="IR48" s="9" t="str">
        <f t="shared" si="428"/>
        <v/>
      </c>
      <c r="IS48" s="5" t="str">
        <f t="shared" si="429"/>
        <v/>
      </c>
      <c r="IT48" s="5" t="str">
        <f t="shared" si="430"/>
        <v/>
      </c>
      <c r="IU48" s="5" t="str">
        <f t="shared" si="431"/>
        <v/>
      </c>
      <c r="IV48" s="670" t="str">
        <f t="shared" si="432"/>
        <v/>
      </c>
      <c r="IW48" s="9" t="str">
        <f t="shared" si="433"/>
        <v/>
      </c>
      <c r="IX48" s="5" t="str">
        <f t="shared" si="434"/>
        <v/>
      </c>
      <c r="IY48" s="5" t="str">
        <f t="shared" si="435"/>
        <v/>
      </c>
      <c r="IZ48" s="5" t="str">
        <f t="shared" si="436"/>
        <v/>
      </c>
      <c r="JA48" s="705" t="str">
        <f t="shared" si="437"/>
        <v/>
      </c>
    </row>
    <row r="49" spans="1:261" ht="15" customHeight="1" x14ac:dyDescent="0.25">
      <c r="A49" s="75" t="str">
        <f t="shared" si="254"/>
        <v/>
      </c>
      <c r="B49" s="578" t="str">
        <f t="shared" si="255"/>
        <v/>
      </c>
      <c r="C49" s="572" t="str">
        <f t="shared" si="256"/>
        <v/>
      </c>
      <c r="D49" s="576" t="str">
        <f t="shared" si="257"/>
        <v/>
      </c>
      <c r="E49" s="580" t="str">
        <f t="shared" si="258"/>
        <v/>
      </c>
      <c r="F49" s="572" t="str">
        <f t="shared" si="259"/>
        <v/>
      </c>
      <c r="G49" s="579" t="str">
        <f t="shared" si="260"/>
        <v/>
      </c>
      <c r="H49" s="580" t="str">
        <f t="shared" si="261"/>
        <v/>
      </c>
      <c r="I49" s="572" t="str">
        <f t="shared" si="262"/>
        <v/>
      </c>
      <c r="J49" s="483" t="str">
        <f t="shared" si="263"/>
        <v/>
      </c>
      <c r="K49" s="806" t="str">
        <f t="shared" si="264"/>
        <v/>
      </c>
      <c r="L49" s="309"/>
      <c r="M49" s="164" t="str">
        <f t="shared" si="265"/>
        <v/>
      </c>
      <c r="N49" s="575" t="str">
        <f t="shared" si="266"/>
        <v/>
      </c>
      <c r="O49" s="572" t="str">
        <f t="shared" si="267"/>
        <v/>
      </c>
      <c r="P49" s="576" t="str">
        <f t="shared" si="268"/>
        <v/>
      </c>
      <c r="Q49" s="528" t="str">
        <f t="shared" si="138"/>
        <v/>
      </c>
      <c r="R49" s="572" t="str">
        <f t="shared" si="100"/>
        <v/>
      </c>
      <c r="S49" s="577" t="str">
        <f t="shared" si="101"/>
        <v/>
      </c>
      <c r="T49" s="578" t="str">
        <f t="shared" si="102"/>
        <v/>
      </c>
      <c r="U49" s="572" t="str">
        <f t="shared" si="103"/>
        <v/>
      </c>
      <c r="V49" s="579" t="str">
        <f t="shared" si="139"/>
        <v/>
      </c>
      <c r="W49" s="528" t="str">
        <f t="shared" si="252"/>
        <v/>
      </c>
      <c r="X49" s="572" t="str">
        <f t="shared" si="104"/>
        <v/>
      </c>
      <c r="Y49" s="573" t="str">
        <f t="shared" si="253"/>
        <v/>
      </c>
      <c r="Z49" s="575" t="str">
        <f t="shared" si="269"/>
        <v/>
      </c>
      <c r="AA49" s="572" t="str">
        <f t="shared" si="270"/>
        <v/>
      </c>
      <c r="AB49" s="572" t="str">
        <f t="shared" si="271"/>
        <v/>
      </c>
      <c r="AC49" s="579" t="str">
        <f t="shared" si="105"/>
        <v/>
      </c>
      <c r="AD49" s="580" t="str">
        <f t="shared" si="140"/>
        <v/>
      </c>
      <c r="AE49" s="572" t="str">
        <f t="shared" si="106"/>
        <v/>
      </c>
      <c r="AF49" s="576" t="str">
        <f t="shared" si="107"/>
        <v/>
      </c>
      <c r="AG49" s="545" t="str">
        <f t="shared" si="108"/>
        <v/>
      </c>
      <c r="AH49" s="546" t="str">
        <f t="shared" si="109"/>
        <v/>
      </c>
      <c r="AI49" s="528" t="str">
        <f t="shared" si="110"/>
        <v/>
      </c>
      <c r="AJ49" s="529" t="str">
        <f t="shared" si="111"/>
        <v/>
      </c>
      <c r="AK49" s="578" t="str">
        <f t="shared" si="237"/>
        <v/>
      </c>
      <c r="AL49" s="572" t="str">
        <f t="shared" si="112"/>
        <v/>
      </c>
      <c r="AM49" s="577" t="str">
        <f t="shared" si="113"/>
        <v/>
      </c>
      <c r="AN49" s="524" t="str">
        <f t="shared" si="114"/>
        <v/>
      </c>
      <c r="AO49" s="525" t="str">
        <f t="shared" si="115"/>
        <v/>
      </c>
      <c r="AP49" s="528" t="str">
        <f t="shared" si="116"/>
        <v/>
      </c>
      <c r="AQ49" s="529" t="str">
        <f t="shared" si="272"/>
        <v/>
      </c>
      <c r="AS49" s="946" t="str">
        <f t="shared" si="460"/>
        <v/>
      </c>
      <c r="AT49" s="942" t="str">
        <f t="shared" si="273"/>
        <v/>
      </c>
      <c r="AU49" s="418"/>
      <c r="AV49" s="164" t="str">
        <f t="shared" si="27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5"/>
        <v/>
      </c>
      <c r="BA49" s="296" t="str">
        <f t="shared" si="276"/>
        <v/>
      </c>
      <c r="BB49" s="190" t="str">
        <f t="shared" si="143"/>
        <v/>
      </c>
      <c r="BC49" s="9"/>
      <c r="BD49" s="5" t="str">
        <f t="shared" si="277"/>
        <v/>
      </c>
      <c r="BE49" s="6" t="str">
        <f t="shared" si="278"/>
        <v/>
      </c>
      <c r="BF49" s="4" t="str">
        <f t="shared" si="279"/>
        <v/>
      </c>
      <c r="BG49" s="5" t="str">
        <f t="shared" si="280"/>
        <v/>
      </c>
      <c r="BH49" s="10" t="str">
        <f t="shared" si="281"/>
        <v/>
      </c>
      <c r="BI49" s="9" t="str">
        <f t="shared" si="282"/>
        <v/>
      </c>
      <c r="BJ49" s="5" t="str">
        <f t="shared" si="283"/>
        <v/>
      </c>
      <c r="BK49" s="8" t="str">
        <f t="shared" si="284"/>
        <v/>
      </c>
      <c r="BL49" s="173" t="str">
        <f t="shared" si="285"/>
        <v/>
      </c>
      <c r="BM49" s="5" t="str">
        <f t="shared" si="286"/>
        <v/>
      </c>
      <c r="BN49" s="6" t="str">
        <f t="shared" si="287"/>
        <v/>
      </c>
      <c r="BO49" s="4" t="str">
        <f t="shared" si="288"/>
        <v/>
      </c>
      <c r="BP49" s="5" t="str">
        <f t="shared" si="289"/>
        <v/>
      </c>
      <c r="BQ49" s="5" t="str">
        <f t="shared" si="290"/>
        <v/>
      </c>
      <c r="BR49" s="6" t="str">
        <f t="shared" si="291"/>
        <v/>
      </c>
      <c r="BS49" s="4" t="str">
        <f t="shared" si="457"/>
        <v/>
      </c>
      <c r="BT49" s="5" t="str">
        <f t="shared" si="457"/>
        <v/>
      </c>
      <c r="BU49" s="10" t="str">
        <f t="shared" si="118"/>
        <v/>
      </c>
      <c r="BV49" s="9" t="str">
        <f t="shared" si="119"/>
        <v/>
      </c>
      <c r="BW49" s="5" t="str">
        <f t="shared" si="120"/>
        <v/>
      </c>
      <c r="BX49" s="8" t="str">
        <f t="shared" si="121"/>
        <v/>
      </c>
      <c r="BY49" s="173" t="str">
        <f t="shared" si="122"/>
        <v/>
      </c>
      <c r="BZ49" s="5" t="str">
        <f t="shared" si="123"/>
        <v/>
      </c>
      <c r="CA49" s="6" t="str">
        <f t="shared" si="124"/>
        <v/>
      </c>
      <c r="CB49" s="4" t="str">
        <f t="shared" si="292"/>
        <v/>
      </c>
      <c r="CC49" s="5" t="str">
        <f t="shared" si="293"/>
        <v/>
      </c>
      <c r="CD49" s="5" t="str">
        <f t="shared" si="294"/>
        <v/>
      </c>
      <c r="CE49" s="6" t="str">
        <f t="shared" si="295"/>
        <v/>
      </c>
      <c r="CF49" s="4" t="str">
        <f t="shared" si="296"/>
        <v/>
      </c>
      <c r="CG49" s="5" t="str">
        <f t="shared" si="297"/>
        <v/>
      </c>
      <c r="CH49" s="5" t="str">
        <f t="shared" si="298"/>
        <v/>
      </c>
      <c r="CI49" s="4" t="str">
        <f t="shared" si="125"/>
        <v/>
      </c>
      <c r="CJ49" s="5" t="str">
        <f t="shared" si="299"/>
        <v/>
      </c>
      <c r="CK49" s="8" t="str">
        <f t="shared" si="300"/>
        <v/>
      </c>
      <c r="CL49" s="173" t="str">
        <f t="shared" si="301"/>
        <v/>
      </c>
      <c r="CM49" s="5" t="str">
        <f t="shared" si="302"/>
        <v/>
      </c>
      <c r="CN49" s="6" t="str">
        <f t="shared" si="303"/>
        <v/>
      </c>
      <c r="CO49" s="167" t="str">
        <f t="shared" si="304"/>
        <v/>
      </c>
      <c r="CP49" s="4" t="str">
        <f t="shared" si="305"/>
        <v/>
      </c>
      <c r="CQ49" s="5" t="str">
        <f t="shared" si="306"/>
        <v/>
      </c>
      <c r="CR49" s="5" t="str">
        <f t="shared" si="307"/>
        <v/>
      </c>
      <c r="CS49" s="8" t="str">
        <f t="shared" si="308"/>
        <v/>
      </c>
      <c r="CT49" s="9" t="str">
        <f t="shared" si="159"/>
        <v/>
      </c>
      <c r="CU49" s="6" t="str">
        <f t="shared" si="309"/>
        <v/>
      </c>
      <c r="CV49" s="4" t="str">
        <f t="shared" si="310"/>
        <v/>
      </c>
      <c r="CW49" s="5" t="str">
        <f t="shared" si="311"/>
        <v/>
      </c>
      <c r="CX49" s="8" t="str">
        <f t="shared" si="312"/>
        <v/>
      </c>
      <c r="CY49" s="9" t="str">
        <f t="shared" si="313"/>
        <v/>
      </c>
      <c r="CZ49" s="5" t="str">
        <f t="shared" si="314"/>
        <v/>
      </c>
      <c r="DA49" s="6" t="str">
        <f t="shared" si="315"/>
        <v/>
      </c>
      <c r="DB49" s="4" t="str">
        <f t="shared" si="461"/>
        <v/>
      </c>
      <c r="DC49" s="5" t="str">
        <f t="shared" si="461"/>
        <v/>
      </c>
      <c r="DD49" s="10" t="str">
        <f t="shared" si="167"/>
        <v/>
      </c>
      <c r="DE49" s="9" t="str">
        <f t="shared" si="462"/>
        <v/>
      </c>
      <c r="DF49" s="5" t="str">
        <f t="shared" si="462"/>
        <v/>
      </c>
      <c r="DG49" s="10" t="str">
        <f t="shared" si="169"/>
        <v/>
      </c>
      <c r="DH49" s="70" t="str">
        <f t="shared" si="316"/>
        <v/>
      </c>
      <c r="DI49" s="4" t="str">
        <f t="shared" si="317"/>
        <v/>
      </c>
      <c r="DJ49" s="5" t="str">
        <f t="shared" si="318"/>
        <v/>
      </c>
      <c r="DK49" s="10" t="str">
        <f t="shared" si="319"/>
        <v/>
      </c>
      <c r="DL49" s="9" t="str">
        <f t="shared" si="320"/>
        <v/>
      </c>
      <c r="DM49" s="173" t="str">
        <f t="shared" si="321"/>
        <v/>
      </c>
      <c r="DN49" s="178" t="str">
        <f t="shared" si="322"/>
        <v/>
      </c>
      <c r="DO49" s="9" t="str">
        <f t="shared" si="323"/>
        <v/>
      </c>
      <c r="DP49" s="173" t="str">
        <f t="shared" si="324"/>
        <v/>
      </c>
      <c r="DQ49" s="11" t="str">
        <f t="shared" si="325"/>
        <v/>
      </c>
      <c r="DR49" s="173" t="str">
        <f t="shared" si="326"/>
        <v/>
      </c>
      <c r="DS49" s="5" t="str">
        <f t="shared" si="327"/>
        <v/>
      </c>
      <c r="DT49" s="5" t="str">
        <f t="shared" si="328"/>
        <v/>
      </c>
      <c r="DU49" s="5" t="str">
        <f t="shared" si="329"/>
        <v/>
      </c>
      <c r="DV49" s="5" t="str">
        <f t="shared" si="330"/>
        <v/>
      </c>
      <c r="DW49" s="5" t="str">
        <f t="shared" si="331"/>
        <v/>
      </c>
      <c r="DX49" s="167" t="str">
        <f t="shared" si="332"/>
        <v/>
      </c>
      <c r="DY49" s="9" t="str">
        <f t="shared" si="333"/>
        <v/>
      </c>
      <c r="DZ49" s="5" t="str">
        <f t="shared" si="334"/>
        <v/>
      </c>
      <c r="EA49" s="10" t="str">
        <f t="shared" si="335"/>
        <v/>
      </c>
      <c r="EB49" s="6" t="str">
        <f t="shared" si="336"/>
        <v/>
      </c>
      <c r="EC49" s="173" t="str">
        <f t="shared" si="337"/>
        <v/>
      </c>
      <c r="ED49" s="5" t="str">
        <f t="shared" si="338"/>
        <v/>
      </c>
      <c r="EE49" s="4" t="str">
        <f t="shared" si="339"/>
        <v/>
      </c>
      <c r="EF49" s="5" t="str">
        <f t="shared" si="340"/>
        <v/>
      </c>
      <c r="EG49" s="10" t="str">
        <f t="shared" si="341"/>
        <v/>
      </c>
      <c r="EH49" s="9" t="str">
        <f t="shared" si="342"/>
        <v/>
      </c>
      <c r="EI49" s="5" t="str">
        <f t="shared" si="343"/>
        <v/>
      </c>
      <c r="EJ49" s="6" t="str">
        <f t="shared" si="344"/>
        <v/>
      </c>
      <c r="EK49" s="236" t="str">
        <f t="shared" si="199"/>
        <v/>
      </c>
      <c r="EL49" s="238" t="str">
        <f t="shared" si="200"/>
        <v/>
      </c>
      <c r="EM49" s="4" t="str">
        <f t="shared" si="345"/>
        <v/>
      </c>
      <c r="EN49" s="5" t="str">
        <f t="shared" si="346"/>
        <v/>
      </c>
      <c r="EO49" s="10" t="str">
        <f t="shared" si="347"/>
        <v/>
      </c>
      <c r="EP49" s="9" t="str">
        <f t="shared" si="348"/>
        <v/>
      </c>
      <c r="EQ49" s="5" t="str">
        <f t="shared" si="349"/>
        <v/>
      </c>
      <c r="ER49" s="7" t="str">
        <f t="shared" si="350"/>
        <v/>
      </c>
      <c r="ES49" s="21" t="str">
        <f t="shared" si="351"/>
        <v/>
      </c>
      <c r="ET49" s="5" t="str">
        <f t="shared" si="352"/>
        <v/>
      </c>
      <c r="EU49" s="10" t="str">
        <f t="shared" si="353"/>
        <v/>
      </c>
      <c r="EV49" s="174" t="str">
        <f t="shared" si="354"/>
        <v/>
      </c>
      <c r="EW49" s="9" t="str">
        <f t="shared" si="355"/>
        <v/>
      </c>
      <c r="EX49" s="5" t="str">
        <f t="shared" si="356"/>
        <v/>
      </c>
      <c r="EY49" s="6" t="str">
        <f t="shared" si="357"/>
        <v/>
      </c>
      <c r="EZ49" s="51" t="str">
        <f t="shared" si="208"/>
        <v/>
      </c>
      <c r="FA49" s="266" t="str">
        <f t="shared" si="133"/>
        <v/>
      </c>
      <c r="FB49" s="267" t="str">
        <f t="shared" si="134"/>
        <v/>
      </c>
      <c r="FC49" s="269" t="str">
        <f t="shared" si="46"/>
        <v/>
      </c>
      <c r="FD49" s="4" t="str">
        <f t="shared" si="358"/>
        <v/>
      </c>
      <c r="FE49" s="5" t="str">
        <f t="shared" si="359"/>
        <v/>
      </c>
      <c r="FF49" s="7" t="str">
        <f t="shared" si="360"/>
        <v/>
      </c>
      <c r="FG49" s="173" t="str">
        <f t="shared" si="361"/>
        <v/>
      </c>
      <c r="FH49" s="5" t="str">
        <f t="shared" si="362"/>
        <v/>
      </c>
      <c r="FI49" s="10" t="str">
        <f t="shared" si="363"/>
        <v/>
      </c>
      <c r="FJ49" s="279" t="str">
        <f t="shared" si="364"/>
        <v/>
      </c>
      <c r="FK49" s="4" t="str">
        <f t="shared" si="365"/>
        <v/>
      </c>
      <c r="FL49" s="5" t="str">
        <f t="shared" si="366"/>
        <v/>
      </c>
      <c r="FM49" s="8" t="str">
        <f t="shared" si="367"/>
        <v/>
      </c>
      <c r="FN49" s="9" t="str">
        <f t="shared" si="368"/>
        <v/>
      </c>
      <c r="FO49" s="10" t="str">
        <f t="shared" si="369"/>
        <v/>
      </c>
      <c r="FP49" s="277" t="str">
        <f t="shared" si="370"/>
        <v/>
      </c>
      <c r="FQ49" s="173" t="str">
        <f t="shared" si="371"/>
        <v/>
      </c>
      <c r="FR49" s="10" t="str">
        <f t="shared" si="372"/>
        <v/>
      </c>
      <c r="FS49" s="9" t="str">
        <f t="shared" si="373"/>
        <v/>
      </c>
      <c r="FT49" s="6" t="str">
        <f t="shared" si="374"/>
        <v/>
      </c>
      <c r="FU49" s="4" t="str">
        <f t="shared" si="375"/>
        <v/>
      </c>
      <c r="FV49" s="5" t="str">
        <f t="shared" si="376"/>
        <v/>
      </c>
      <c r="FW49" s="8" t="str">
        <f t="shared" si="377"/>
        <v/>
      </c>
      <c r="FX49" s="9" t="str">
        <f t="shared" si="378"/>
        <v/>
      </c>
      <c r="FY49" s="10" t="str">
        <f t="shared" si="379"/>
        <v/>
      </c>
      <c r="FZ49" s="277" t="str">
        <f t="shared" si="380"/>
        <v/>
      </c>
      <c r="GA49" s="177" t="str">
        <f t="shared" si="381"/>
        <v/>
      </c>
      <c r="GB49" s="4" t="str">
        <f t="shared" si="382"/>
        <v/>
      </c>
      <c r="GC49" s="5" t="str">
        <f t="shared" si="383"/>
        <v/>
      </c>
      <c r="GD49" s="10" t="str">
        <f t="shared" si="384"/>
        <v/>
      </c>
      <c r="GE49" s="311" t="str">
        <f t="shared" si="385"/>
        <v/>
      </c>
      <c r="GF49" s="341" t="str">
        <f t="shared" si="386"/>
        <v/>
      </c>
      <c r="GG49" s="285" t="str">
        <f t="shared" si="387"/>
        <v/>
      </c>
      <c r="GH49" s="286" t="str">
        <f t="shared" si="388"/>
        <v/>
      </c>
      <c r="GI49" s="281" t="str">
        <f t="shared" si="389"/>
        <v/>
      </c>
      <c r="GJ49" s="167" t="str">
        <f t="shared" si="390"/>
        <v/>
      </c>
      <c r="GK49" s="174" t="str">
        <f t="shared" si="57"/>
        <v/>
      </c>
      <c r="GL49" s="174" t="str">
        <f t="shared" si="391"/>
        <v/>
      </c>
      <c r="GM49" s="177" t="str">
        <f t="shared" si="392"/>
        <v/>
      </c>
      <c r="GN49" s="280" t="str">
        <f t="shared" si="393"/>
        <v/>
      </c>
      <c r="GO49" s="4" t="str">
        <f t="shared" si="394"/>
        <v/>
      </c>
      <c r="GP49" s="8" t="str">
        <f t="shared" si="395"/>
        <v/>
      </c>
      <c r="GQ49" s="177" t="str">
        <f t="shared" si="396"/>
        <v/>
      </c>
      <c r="GR49" s="371" t="str">
        <f t="shared" si="397"/>
        <v/>
      </c>
      <c r="GS49" s="342" t="str">
        <f t="shared" si="398"/>
        <v/>
      </c>
      <c r="GT49" s="343" t="str">
        <f t="shared" si="399"/>
        <v/>
      </c>
      <c r="GU49" s="344" t="str">
        <f t="shared" si="61"/>
        <v/>
      </c>
      <c r="GV49" s="343" t="str">
        <f t="shared" si="400"/>
        <v/>
      </c>
      <c r="GW49" s="345" t="str">
        <f t="shared" si="62"/>
        <v/>
      </c>
      <c r="GX49" s="346" t="str">
        <f t="shared" si="63"/>
        <v/>
      </c>
      <c r="GY49" s="344" t="str">
        <f t="shared" si="401"/>
        <v/>
      </c>
      <c r="GZ49" s="345" t="str">
        <f t="shared" si="402"/>
        <v/>
      </c>
      <c r="HA49" s="342" t="str">
        <f t="shared" si="66"/>
        <v/>
      </c>
      <c r="HB49" s="5" t="str">
        <f t="shared" si="230"/>
        <v/>
      </c>
      <c r="HC49" s="343" t="str">
        <f t="shared" si="403"/>
        <v/>
      </c>
      <c r="HD49" s="345" t="str">
        <f t="shared" si="404"/>
        <v/>
      </c>
      <c r="HE49" s="344" t="str">
        <f t="shared" si="67"/>
        <v/>
      </c>
      <c r="HF49" s="5" t="str">
        <f t="shared" si="68"/>
        <v/>
      </c>
      <c r="HG49" s="343" t="str">
        <f t="shared" si="405"/>
        <v/>
      </c>
      <c r="HH49" s="349" t="str">
        <f t="shared" si="406"/>
        <v/>
      </c>
      <c r="HI49" s="317" t="str">
        <f t="shared" si="407"/>
        <v/>
      </c>
      <c r="HJ49" s="336"/>
      <c r="HK49" s="310" t="str">
        <f t="shared" si="458"/>
        <v/>
      </c>
      <c r="HL49" s="348" t="str">
        <f t="shared" si="408"/>
        <v/>
      </c>
      <c r="HM49" s="923" t="str">
        <f t="shared" si="409"/>
        <v/>
      </c>
      <c r="HN49" s="924" t="str">
        <f t="shared" si="410"/>
        <v/>
      </c>
      <c r="HO49" s="925"/>
      <c r="HP49" s="926"/>
      <c r="HQ49" s="924" t="str">
        <f t="shared" si="411"/>
        <v/>
      </c>
      <c r="HR49" s="927" t="str">
        <f t="shared" si="412"/>
        <v/>
      </c>
      <c r="HS49" s="879" t="str">
        <f t="shared" si="459"/>
        <v/>
      </c>
      <c r="HT49" s="889" t="str">
        <f t="shared" si="413"/>
        <v/>
      </c>
      <c r="HU49" s="890" t="str">
        <f t="shared" si="414"/>
        <v/>
      </c>
      <c r="HV49" s="886" t="str">
        <f t="shared" si="415"/>
        <v/>
      </c>
      <c r="HW49" s="880" t="str">
        <f t="shared" si="416"/>
        <v/>
      </c>
      <c r="HX49" s="881" t="str">
        <f t="shared" si="417"/>
        <v/>
      </c>
      <c r="HY49" s="880" t="str">
        <f t="shared" si="418"/>
        <v/>
      </c>
      <c r="HZ49" s="882" t="str">
        <f t="shared" si="419"/>
        <v/>
      </c>
      <c r="IA49" s="883" t="str">
        <f t="shared" si="420"/>
        <v/>
      </c>
      <c r="IB49" s="884" t="str">
        <f t="shared" si="421"/>
        <v/>
      </c>
      <c r="IC49" s="855" t="str">
        <f t="shared" si="422"/>
        <v/>
      </c>
      <c r="ID49" s="351" t="str">
        <f t="shared" si="423"/>
        <v/>
      </c>
      <c r="IE49" s="857" t="str">
        <f t="shared" si="42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35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25"/>
        <v/>
      </c>
      <c r="IM49" s="482" t="str">
        <f t="shared" si="236"/>
        <v/>
      </c>
      <c r="IN49" s="670" t="str">
        <f t="shared" si="426"/>
        <v/>
      </c>
      <c r="IO49" s="702"/>
      <c r="IP49" s="5" t="str">
        <f t="shared" si="427"/>
        <v/>
      </c>
      <c r="IQ49" s="714"/>
      <c r="IR49" s="9" t="str">
        <f t="shared" si="428"/>
        <v/>
      </c>
      <c r="IS49" s="5" t="str">
        <f t="shared" si="429"/>
        <v/>
      </c>
      <c r="IT49" s="5" t="str">
        <f t="shared" si="430"/>
        <v/>
      </c>
      <c r="IU49" s="5" t="str">
        <f t="shared" si="431"/>
        <v/>
      </c>
      <c r="IV49" s="670" t="str">
        <f t="shared" si="432"/>
        <v/>
      </c>
      <c r="IW49" s="9" t="str">
        <f t="shared" si="433"/>
        <v/>
      </c>
      <c r="IX49" s="5" t="str">
        <f t="shared" si="434"/>
        <v/>
      </c>
      <c r="IY49" s="5" t="str">
        <f t="shared" si="435"/>
        <v/>
      </c>
      <c r="IZ49" s="5" t="str">
        <f t="shared" si="436"/>
        <v/>
      </c>
      <c r="JA49" s="705" t="str">
        <f t="shared" si="437"/>
        <v/>
      </c>
    </row>
    <row r="50" spans="1:261" ht="15" customHeight="1" x14ac:dyDescent="0.25">
      <c r="A50" s="75" t="str">
        <f t="shared" si="254"/>
        <v/>
      </c>
      <c r="B50" s="578" t="str">
        <f t="shared" si="255"/>
        <v/>
      </c>
      <c r="C50" s="572" t="str">
        <f t="shared" si="256"/>
        <v/>
      </c>
      <c r="D50" s="576" t="str">
        <f t="shared" si="257"/>
        <v/>
      </c>
      <c r="E50" s="580" t="str">
        <f t="shared" si="258"/>
        <v/>
      </c>
      <c r="F50" s="572" t="str">
        <f t="shared" si="259"/>
        <v/>
      </c>
      <c r="G50" s="579" t="str">
        <f t="shared" si="260"/>
        <v/>
      </c>
      <c r="H50" s="580" t="str">
        <f t="shared" si="261"/>
        <v/>
      </c>
      <c r="I50" s="572" t="str">
        <f t="shared" si="262"/>
        <v/>
      </c>
      <c r="J50" s="483" t="str">
        <f t="shared" si="263"/>
        <v/>
      </c>
      <c r="K50" s="806" t="str">
        <f t="shared" si="264"/>
        <v/>
      </c>
      <c r="L50" s="309"/>
      <c r="M50" s="164" t="str">
        <f t="shared" si="265"/>
        <v/>
      </c>
      <c r="N50" s="575" t="str">
        <f t="shared" si="266"/>
        <v/>
      </c>
      <c r="O50" s="572" t="str">
        <f t="shared" si="267"/>
        <v/>
      </c>
      <c r="P50" s="576" t="str">
        <f t="shared" si="268"/>
        <v/>
      </c>
      <c r="Q50" s="528" t="str">
        <f t="shared" si="138"/>
        <v/>
      </c>
      <c r="R50" s="572" t="str">
        <f t="shared" si="100"/>
        <v/>
      </c>
      <c r="S50" s="577" t="str">
        <f t="shared" si="101"/>
        <v/>
      </c>
      <c r="T50" s="578" t="str">
        <f t="shared" si="102"/>
        <v/>
      </c>
      <c r="U50" s="572" t="str">
        <f t="shared" si="103"/>
        <v/>
      </c>
      <c r="V50" s="579" t="str">
        <f t="shared" si="139"/>
        <v/>
      </c>
      <c r="W50" s="528" t="str">
        <f t="shared" si="252"/>
        <v/>
      </c>
      <c r="X50" s="572" t="str">
        <f t="shared" si="104"/>
        <v/>
      </c>
      <c r="Y50" s="573" t="str">
        <f t="shared" si="253"/>
        <v/>
      </c>
      <c r="Z50" s="575" t="str">
        <f t="shared" si="269"/>
        <v/>
      </c>
      <c r="AA50" s="572" t="str">
        <f t="shared" si="270"/>
        <v/>
      </c>
      <c r="AB50" s="572" t="str">
        <f t="shared" si="271"/>
        <v/>
      </c>
      <c r="AC50" s="579" t="str">
        <f t="shared" si="105"/>
        <v/>
      </c>
      <c r="AD50" s="580" t="str">
        <f t="shared" si="140"/>
        <v/>
      </c>
      <c r="AE50" s="572" t="str">
        <f t="shared" si="106"/>
        <v/>
      </c>
      <c r="AF50" s="576" t="str">
        <f t="shared" si="107"/>
        <v/>
      </c>
      <c r="AG50" s="545" t="str">
        <f t="shared" si="108"/>
        <v/>
      </c>
      <c r="AH50" s="546" t="str">
        <f t="shared" si="109"/>
        <v/>
      </c>
      <c r="AI50" s="528" t="str">
        <f t="shared" si="110"/>
        <v/>
      </c>
      <c r="AJ50" s="529" t="str">
        <f t="shared" si="111"/>
        <v/>
      </c>
      <c r="AK50" s="578" t="str">
        <f t="shared" si="237"/>
        <v/>
      </c>
      <c r="AL50" s="572" t="str">
        <f t="shared" si="112"/>
        <v/>
      </c>
      <c r="AM50" s="577" t="str">
        <f t="shared" si="113"/>
        <v/>
      </c>
      <c r="AN50" s="524" t="str">
        <f t="shared" si="114"/>
        <v/>
      </c>
      <c r="AO50" s="525" t="str">
        <f t="shared" si="115"/>
        <v/>
      </c>
      <c r="AP50" s="528" t="str">
        <f t="shared" si="116"/>
        <v/>
      </c>
      <c r="AQ50" s="529" t="str">
        <f t="shared" si="272"/>
        <v/>
      </c>
      <c r="AS50" s="946" t="str">
        <f t="shared" si="460"/>
        <v/>
      </c>
      <c r="AT50" s="942" t="str">
        <f t="shared" si="273"/>
        <v/>
      </c>
      <c r="AU50" s="418"/>
      <c r="AV50" s="164" t="str">
        <f t="shared" si="27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5"/>
        <v/>
      </c>
      <c r="BA50" s="296" t="str">
        <f t="shared" si="276"/>
        <v/>
      </c>
      <c r="BB50" s="190" t="str">
        <f t="shared" si="143"/>
        <v/>
      </c>
      <c r="BC50" s="9"/>
      <c r="BD50" s="5" t="str">
        <f t="shared" si="277"/>
        <v/>
      </c>
      <c r="BE50" s="6" t="str">
        <f t="shared" si="278"/>
        <v/>
      </c>
      <c r="BF50" s="4" t="str">
        <f t="shared" si="279"/>
        <v/>
      </c>
      <c r="BG50" s="5" t="str">
        <f t="shared" si="280"/>
        <v/>
      </c>
      <c r="BH50" s="10" t="str">
        <f t="shared" si="281"/>
        <v/>
      </c>
      <c r="BI50" s="9" t="str">
        <f t="shared" si="282"/>
        <v/>
      </c>
      <c r="BJ50" s="5" t="str">
        <f t="shared" si="283"/>
        <v/>
      </c>
      <c r="BK50" s="8" t="str">
        <f t="shared" si="284"/>
        <v/>
      </c>
      <c r="BL50" s="173" t="str">
        <f t="shared" si="285"/>
        <v/>
      </c>
      <c r="BM50" s="5" t="str">
        <f t="shared" si="286"/>
        <v/>
      </c>
      <c r="BN50" s="6" t="str">
        <f t="shared" si="287"/>
        <v/>
      </c>
      <c r="BO50" s="4" t="str">
        <f t="shared" si="288"/>
        <v/>
      </c>
      <c r="BP50" s="5" t="str">
        <f t="shared" si="289"/>
        <v/>
      </c>
      <c r="BQ50" s="5" t="str">
        <f t="shared" si="290"/>
        <v/>
      </c>
      <c r="BR50" s="6" t="str">
        <f t="shared" si="291"/>
        <v/>
      </c>
      <c r="BS50" s="4" t="str">
        <f t="shared" si="457"/>
        <v/>
      </c>
      <c r="BT50" s="5" t="str">
        <f t="shared" si="457"/>
        <v/>
      </c>
      <c r="BU50" s="10" t="str">
        <f t="shared" si="118"/>
        <v/>
      </c>
      <c r="BV50" s="9" t="str">
        <f t="shared" si="119"/>
        <v/>
      </c>
      <c r="BW50" s="5" t="str">
        <f t="shared" si="120"/>
        <v/>
      </c>
      <c r="BX50" s="8" t="str">
        <f t="shared" si="121"/>
        <v/>
      </c>
      <c r="BY50" s="173" t="str">
        <f t="shared" si="122"/>
        <v/>
      </c>
      <c r="BZ50" s="5" t="str">
        <f t="shared" si="123"/>
        <v/>
      </c>
      <c r="CA50" s="6" t="str">
        <f t="shared" si="124"/>
        <v/>
      </c>
      <c r="CB50" s="4" t="str">
        <f t="shared" si="292"/>
        <v/>
      </c>
      <c r="CC50" s="5" t="str">
        <f t="shared" si="293"/>
        <v/>
      </c>
      <c r="CD50" s="5" t="str">
        <f t="shared" si="294"/>
        <v/>
      </c>
      <c r="CE50" s="6" t="str">
        <f t="shared" si="295"/>
        <v/>
      </c>
      <c r="CF50" s="4" t="str">
        <f t="shared" si="296"/>
        <v/>
      </c>
      <c r="CG50" s="5" t="str">
        <f t="shared" si="297"/>
        <v/>
      </c>
      <c r="CH50" s="5" t="str">
        <f t="shared" si="298"/>
        <v/>
      </c>
      <c r="CI50" s="4" t="str">
        <f t="shared" si="125"/>
        <v/>
      </c>
      <c r="CJ50" s="5" t="str">
        <f t="shared" si="299"/>
        <v/>
      </c>
      <c r="CK50" s="8" t="str">
        <f t="shared" si="300"/>
        <v/>
      </c>
      <c r="CL50" s="173" t="str">
        <f t="shared" si="301"/>
        <v/>
      </c>
      <c r="CM50" s="5" t="str">
        <f t="shared" si="302"/>
        <v/>
      </c>
      <c r="CN50" s="6" t="str">
        <f t="shared" si="303"/>
        <v/>
      </c>
      <c r="CO50" s="167" t="str">
        <f t="shared" si="304"/>
        <v/>
      </c>
      <c r="CP50" s="4" t="str">
        <f t="shared" si="305"/>
        <v/>
      </c>
      <c r="CQ50" s="5" t="str">
        <f t="shared" si="306"/>
        <v/>
      </c>
      <c r="CR50" s="5" t="str">
        <f t="shared" si="307"/>
        <v/>
      </c>
      <c r="CS50" s="8" t="str">
        <f t="shared" si="308"/>
        <v/>
      </c>
      <c r="CT50" s="9" t="str">
        <f t="shared" si="159"/>
        <v/>
      </c>
      <c r="CU50" s="6" t="str">
        <f t="shared" si="309"/>
        <v/>
      </c>
      <c r="CV50" s="4" t="str">
        <f t="shared" si="310"/>
        <v/>
      </c>
      <c r="CW50" s="5" t="str">
        <f t="shared" si="311"/>
        <v/>
      </c>
      <c r="CX50" s="8" t="str">
        <f t="shared" si="312"/>
        <v/>
      </c>
      <c r="CY50" s="9" t="str">
        <f t="shared" si="313"/>
        <v/>
      </c>
      <c r="CZ50" s="5" t="str">
        <f t="shared" si="314"/>
        <v/>
      </c>
      <c r="DA50" s="6" t="str">
        <f t="shared" si="315"/>
        <v/>
      </c>
      <c r="DB50" s="4" t="str">
        <f t="shared" si="461"/>
        <v/>
      </c>
      <c r="DC50" s="5" t="str">
        <f t="shared" si="461"/>
        <v/>
      </c>
      <c r="DD50" s="10" t="str">
        <f t="shared" si="167"/>
        <v/>
      </c>
      <c r="DE50" s="9" t="str">
        <f t="shared" si="462"/>
        <v/>
      </c>
      <c r="DF50" s="5" t="str">
        <f t="shared" si="462"/>
        <v/>
      </c>
      <c r="DG50" s="10" t="str">
        <f t="shared" si="169"/>
        <v/>
      </c>
      <c r="DH50" s="70" t="str">
        <f t="shared" si="316"/>
        <v/>
      </c>
      <c r="DI50" s="4" t="str">
        <f t="shared" si="317"/>
        <v/>
      </c>
      <c r="DJ50" s="5" t="str">
        <f t="shared" si="318"/>
        <v/>
      </c>
      <c r="DK50" s="10" t="str">
        <f t="shared" si="319"/>
        <v/>
      </c>
      <c r="DL50" s="9" t="str">
        <f t="shared" si="320"/>
        <v/>
      </c>
      <c r="DM50" s="173" t="str">
        <f t="shared" si="321"/>
        <v/>
      </c>
      <c r="DN50" s="178" t="str">
        <f t="shared" si="322"/>
        <v/>
      </c>
      <c r="DO50" s="9" t="str">
        <f t="shared" si="323"/>
        <v/>
      </c>
      <c r="DP50" s="173" t="str">
        <f t="shared" si="324"/>
        <v/>
      </c>
      <c r="DQ50" s="11" t="str">
        <f t="shared" si="325"/>
        <v/>
      </c>
      <c r="DR50" s="173" t="str">
        <f t="shared" si="326"/>
        <v/>
      </c>
      <c r="DS50" s="5" t="str">
        <f t="shared" si="327"/>
        <v/>
      </c>
      <c r="DT50" s="5" t="str">
        <f t="shared" si="328"/>
        <v/>
      </c>
      <c r="DU50" s="5" t="str">
        <f t="shared" si="329"/>
        <v/>
      </c>
      <c r="DV50" s="5" t="str">
        <f t="shared" si="330"/>
        <v/>
      </c>
      <c r="DW50" s="5" t="str">
        <f t="shared" si="331"/>
        <v/>
      </c>
      <c r="DX50" s="167" t="str">
        <f t="shared" si="332"/>
        <v/>
      </c>
      <c r="DY50" s="9" t="str">
        <f t="shared" si="333"/>
        <v/>
      </c>
      <c r="DZ50" s="5" t="str">
        <f t="shared" si="334"/>
        <v/>
      </c>
      <c r="EA50" s="10" t="str">
        <f t="shared" si="335"/>
        <v/>
      </c>
      <c r="EB50" s="6" t="str">
        <f t="shared" si="336"/>
        <v/>
      </c>
      <c r="EC50" s="173" t="str">
        <f t="shared" si="337"/>
        <v/>
      </c>
      <c r="ED50" s="5" t="str">
        <f t="shared" si="338"/>
        <v/>
      </c>
      <c r="EE50" s="4" t="str">
        <f t="shared" si="339"/>
        <v/>
      </c>
      <c r="EF50" s="5" t="str">
        <f t="shared" si="340"/>
        <v/>
      </c>
      <c r="EG50" s="10" t="str">
        <f t="shared" si="341"/>
        <v/>
      </c>
      <c r="EH50" s="9" t="str">
        <f t="shared" si="342"/>
        <v/>
      </c>
      <c r="EI50" s="5" t="str">
        <f t="shared" si="343"/>
        <v/>
      </c>
      <c r="EJ50" s="6" t="str">
        <f t="shared" si="344"/>
        <v/>
      </c>
      <c r="EK50" s="236" t="str">
        <f t="shared" si="199"/>
        <v/>
      </c>
      <c r="EL50" s="238" t="str">
        <f t="shared" si="200"/>
        <v/>
      </c>
      <c r="EM50" s="4" t="str">
        <f t="shared" si="345"/>
        <v/>
      </c>
      <c r="EN50" s="5" t="str">
        <f t="shared" si="346"/>
        <v/>
      </c>
      <c r="EO50" s="10" t="str">
        <f t="shared" si="347"/>
        <v/>
      </c>
      <c r="EP50" s="9" t="str">
        <f t="shared" si="348"/>
        <v/>
      </c>
      <c r="EQ50" s="5" t="str">
        <f t="shared" si="349"/>
        <v/>
      </c>
      <c r="ER50" s="7" t="str">
        <f t="shared" si="350"/>
        <v/>
      </c>
      <c r="ES50" s="21" t="str">
        <f t="shared" si="351"/>
        <v/>
      </c>
      <c r="ET50" s="5" t="str">
        <f t="shared" si="352"/>
        <v/>
      </c>
      <c r="EU50" s="10" t="str">
        <f t="shared" si="353"/>
        <v/>
      </c>
      <c r="EV50" s="174" t="str">
        <f t="shared" si="354"/>
        <v/>
      </c>
      <c r="EW50" s="9" t="str">
        <f t="shared" si="355"/>
        <v/>
      </c>
      <c r="EX50" s="5" t="str">
        <f t="shared" si="356"/>
        <v/>
      </c>
      <c r="EY50" s="6" t="str">
        <f t="shared" si="357"/>
        <v/>
      </c>
      <c r="EZ50" s="51" t="str">
        <f t="shared" si="208"/>
        <v/>
      </c>
      <c r="FA50" s="266" t="str">
        <f t="shared" si="133"/>
        <v/>
      </c>
      <c r="FB50" s="267" t="str">
        <f t="shared" si="134"/>
        <v/>
      </c>
      <c r="FC50" s="269" t="str">
        <f t="shared" si="46"/>
        <v/>
      </c>
      <c r="FD50" s="4" t="str">
        <f t="shared" si="358"/>
        <v/>
      </c>
      <c r="FE50" s="5" t="str">
        <f t="shared" si="359"/>
        <v/>
      </c>
      <c r="FF50" s="7" t="str">
        <f t="shared" si="360"/>
        <v/>
      </c>
      <c r="FG50" s="173" t="str">
        <f t="shared" si="361"/>
        <v/>
      </c>
      <c r="FH50" s="5" t="str">
        <f t="shared" si="362"/>
        <v/>
      </c>
      <c r="FI50" s="10" t="str">
        <f t="shared" si="363"/>
        <v/>
      </c>
      <c r="FJ50" s="279" t="str">
        <f t="shared" si="364"/>
        <v/>
      </c>
      <c r="FK50" s="4" t="str">
        <f t="shared" si="365"/>
        <v/>
      </c>
      <c r="FL50" s="5" t="str">
        <f t="shared" si="366"/>
        <v/>
      </c>
      <c r="FM50" s="8" t="str">
        <f t="shared" si="367"/>
        <v/>
      </c>
      <c r="FN50" s="9" t="str">
        <f t="shared" si="368"/>
        <v/>
      </c>
      <c r="FO50" s="10" t="str">
        <f t="shared" si="369"/>
        <v/>
      </c>
      <c r="FP50" s="277" t="str">
        <f t="shared" si="370"/>
        <v/>
      </c>
      <c r="FQ50" s="173" t="str">
        <f t="shared" si="371"/>
        <v/>
      </c>
      <c r="FR50" s="10" t="str">
        <f t="shared" si="372"/>
        <v/>
      </c>
      <c r="FS50" s="9" t="str">
        <f t="shared" si="373"/>
        <v/>
      </c>
      <c r="FT50" s="6" t="str">
        <f t="shared" si="374"/>
        <v/>
      </c>
      <c r="FU50" s="4" t="str">
        <f t="shared" si="375"/>
        <v/>
      </c>
      <c r="FV50" s="5" t="str">
        <f t="shared" si="376"/>
        <v/>
      </c>
      <c r="FW50" s="8" t="str">
        <f t="shared" si="377"/>
        <v/>
      </c>
      <c r="FX50" s="9" t="str">
        <f t="shared" si="378"/>
        <v/>
      </c>
      <c r="FY50" s="10" t="str">
        <f t="shared" si="379"/>
        <v/>
      </c>
      <c r="FZ50" s="277" t="str">
        <f t="shared" si="380"/>
        <v/>
      </c>
      <c r="GA50" s="177" t="str">
        <f t="shared" si="381"/>
        <v/>
      </c>
      <c r="GB50" s="4" t="str">
        <f t="shared" si="382"/>
        <v/>
      </c>
      <c r="GC50" s="5" t="str">
        <f t="shared" si="383"/>
        <v/>
      </c>
      <c r="GD50" s="10" t="str">
        <f t="shared" si="384"/>
        <v/>
      </c>
      <c r="GE50" s="311" t="str">
        <f t="shared" si="385"/>
        <v/>
      </c>
      <c r="GF50" s="341" t="str">
        <f t="shared" si="386"/>
        <v/>
      </c>
      <c r="GG50" s="285" t="str">
        <f t="shared" si="387"/>
        <v/>
      </c>
      <c r="GH50" s="286" t="str">
        <f t="shared" si="388"/>
        <v/>
      </c>
      <c r="GI50" s="281" t="str">
        <f t="shared" si="389"/>
        <v/>
      </c>
      <c r="GJ50" s="167" t="str">
        <f t="shared" si="390"/>
        <v/>
      </c>
      <c r="GK50" s="174" t="str">
        <f t="shared" si="57"/>
        <v/>
      </c>
      <c r="GL50" s="174" t="str">
        <f t="shared" si="391"/>
        <v/>
      </c>
      <c r="GM50" s="177" t="str">
        <f t="shared" si="392"/>
        <v/>
      </c>
      <c r="GN50" s="280" t="str">
        <f t="shared" si="393"/>
        <v/>
      </c>
      <c r="GO50" s="4" t="str">
        <f t="shared" si="394"/>
        <v/>
      </c>
      <c r="GP50" s="8" t="str">
        <f t="shared" si="395"/>
        <v/>
      </c>
      <c r="GQ50" s="177" t="str">
        <f t="shared" si="396"/>
        <v/>
      </c>
      <c r="GR50" s="371" t="str">
        <f t="shared" si="397"/>
        <v/>
      </c>
      <c r="GS50" s="342" t="str">
        <f t="shared" si="398"/>
        <v/>
      </c>
      <c r="GT50" s="343" t="str">
        <f t="shared" si="399"/>
        <v/>
      </c>
      <c r="GU50" s="344" t="str">
        <f t="shared" si="61"/>
        <v/>
      </c>
      <c r="GV50" s="343" t="str">
        <f t="shared" si="400"/>
        <v/>
      </c>
      <c r="GW50" s="345" t="str">
        <f t="shared" si="62"/>
        <v/>
      </c>
      <c r="GX50" s="346" t="str">
        <f t="shared" si="63"/>
        <v/>
      </c>
      <c r="GY50" s="344" t="str">
        <f t="shared" si="401"/>
        <v/>
      </c>
      <c r="GZ50" s="345" t="str">
        <f t="shared" si="402"/>
        <v/>
      </c>
      <c r="HA50" s="342" t="str">
        <f t="shared" si="66"/>
        <v/>
      </c>
      <c r="HB50" s="5" t="str">
        <f t="shared" si="230"/>
        <v/>
      </c>
      <c r="HC50" s="343" t="str">
        <f t="shared" si="403"/>
        <v/>
      </c>
      <c r="HD50" s="345" t="str">
        <f t="shared" si="404"/>
        <v/>
      </c>
      <c r="HE50" s="344" t="str">
        <f t="shared" si="67"/>
        <v/>
      </c>
      <c r="HF50" s="5" t="str">
        <f t="shared" si="68"/>
        <v/>
      </c>
      <c r="HG50" s="343" t="str">
        <f t="shared" si="405"/>
        <v/>
      </c>
      <c r="HH50" s="349" t="str">
        <f t="shared" si="406"/>
        <v/>
      </c>
      <c r="HI50" s="317" t="str">
        <f t="shared" si="407"/>
        <v/>
      </c>
      <c r="HJ50" s="336"/>
      <c r="HK50" s="310" t="str">
        <f t="shared" si="458"/>
        <v/>
      </c>
      <c r="HL50" s="348" t="str">
        <f t="shared" si="408"/>
        <v/>
      </c>
      <c r="HM50" s="923" t="str">
        <f t="shared" si="409"/>
        <v/>
      </c>
      <c r="HN50" s="924" t="str">
        <f t="shared" si="410"/>
        <v/>
      </c>
      <c r="HO50" s="925"/>
      <c r="HP50" s="926"/>
      <c r="HQ50" s="924" t="str">
        <f t="shared" si="411"/>
        <v/>
      </c>
      <c r="HR50" s="927" t="str">
        <f t="shared" si="412"/>
        <v/>
      </c>
      <c r="HS50" s="879" t="str">
        <f t="shared" si="459"/>
        <v/>
      </c>
      <c r="HT50" s="889" t="str">
        <f t="shared" si="413"/>
        <v/>
      </c>
      <c r="HU50" s="890" t="str">
        <f t="shared" si="414"/>
        <v/>
      </c>
      <c r="HV50" s="886" t="str">
        <f t="shared" si="415"/>
        <v/>
      </c>
      <c r="HW50" s="880" t="str">
        <f t="shared" si="416"/>
        <v/>
      </c>
      <c r="HX50" s="881" t="str">
        <f t="shared" si="417"/>
        <v/>
      </c>
      <c r="HY50" s="880" t="str">
        <f t="shared" si="418"/>
        <v/>
      </c>
      <c r="HZ50" s="882" t="str">
        <f t="shared" si="419"/>
        <v/>
      </c>
      <c r="IA50" s="883" t="str">
        <f t="shared" si="420"/>
        <v/>
      </c>
      <c r="IB50" s="884" t="str">
        <f t="shared" si="421"/>
        <v/>
      </c>
      <c r="IC50" s="855" t="str">
        <f t="shared" si="422"/>
        <v/>
      </c>
      <c r="ID50" s="351" t="str">
        <f t="shared" si="423"/>
        <v/>
      </c>
      <c r="IE50" s="857" t="str">
        <f t="shared" si="42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35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25"/>
        <v/>
      </c>
      <c r="IM50" s="482" t="str">
        <f t="shared" si="236"/>
        <v/>
      </c>
      <c r="IN50" s="670" t="str">
        <f t="shared" si="426"/>
        <v/>
      </c>
      <c r="IO50" s="702"/>
      <c r="IP50" s="5" t="str">
        <f t="shared" si="427"/>
        <v/>
      </c>
      <c r="IQ50" s="714"/>
      <c r="IR50" s="9" t="str">
        <f t="shared" si="428"/>
        <v/>
      </c>
      <c r="IS50" s="5" t="str">
        <f t="shared" si="429"/>
        <v/>
      </c>
      <c r="IT50" s="5" t="str">
        <f t="shared" si="430"/>
        <v/>
      </c>
      <c r="IU50" s="5" t="str">
        <f t="shared" si="431"/>
        <v/>
      </c>
      <c r="IV50" s="670" t="str">
        <f t="shared" si="432"/>
        <v/>
      </c>
      <c r="IW50" s="9" t="str">
        <f t="shared" si="433"/>
        <v/>
      </c>
      <c r="IX50" s="5" t="str">
        <f t="shared" si="434"/>
        <v/>
      </c>
      <c r="IY50" s="5" t="str">
        <f t="shared" si="435"/>
        <v/>
      </c>
      <c r="IZ50" s="5" t="str">
        <f t="shared" si="436"/>
        <v/>
      </c>
      <c r="JA50" s="705" t="str">
        <f t="shared" si="437"/>
        <v/>
      </c>
    </row>
    <row r="51" spans="1:261" ht="15" customHeight="1" x14ac:dyDescent="0.25">
      <c r="A51" s="75" t="str">
        <f t="shared" si="254"/>
        <v/>
      </c>
      <c r="B51" s="578" t="str">
        <f t="shared" si="255"/>
        <v/>
      </c>
      <c r="C51" s="572" t="str">
        <f t="shared" si="256"/>
        <v/>
      </c>
      <c r="D51" s="576" t="str">
        <f t="shared" si="257"/>
        <v/>
      </c>
      <c r="E51" s="580" t="str">
        <f t="shared" si="258"/>
        <v/>
      </c>
      <c r="F51" s="572" t="str">
        <f t="shared" si="259"/>
        <v/>
      </c>
      <c r="G51" s="579" t="str">
        <f t="shared" si="260"/>
        <v/>
      </c>
      <c r="H51" s="580" t="str">
        <f t="shared" si="261"/>
        <v/>
      </c>
      <c r="I51" s="572" t="str">
        <f t="shared" si="262"/>
        <v/>
      </c>
      <c r="J51" s="483" t="str">
        <f t="shared" si="263"/>
        <v/>
      </c>
      <c r="K51" s="806" t="str">
        <f t="shared" si="264"/>
        <v/>
      </c>
      <c r="L51" s="309"/>
      <c r="M51" s="164" t="str">
        <f t="shared" si="265"/>
        <v/>
      </c>
      <c r="N51" s="575" t="str">
        <f t="shared" si="266"/>
        <v/>
      </c>
      <c r="O51" s="572" t="str">
        <f t="shared" si="267"/>
        <v/>
      </c>
      <c r="P51" s="576" t="str">
        <f t="shared" si="268"/>
        <v/>
      </c>
      <c r="Q51" s="528" t="str">
        <f t="shared" si="138"/>
        <v/>
      </c>
      <c r="R51" s="572" t="str">
        <f t="shared" si="100"/>
        <v/>
      </c>
      <c r="S51" s="577" t="str">
        <f t="shared" si="101"/>
        <v/>
      </c>
      <c r="T51" s="578" t="str">
        <f t="shared" si="102"/>
        <v/>
      </c>
      <c r="U51" s="572" t="str">
        <f t="shared" si="103"/>
        <v/>
      </c>
      <c r="V51" s="579" t="str">
        <f t="shared" si="139"/>
        <v/>
      </c>
      <c r="W51" s="528" t="str">
        <f t="shared" si="252"/>
        <v/>
      </c>
      <c r="X51" s="572" t="str">
        <f t="shared" si="104"/>
        <v/>
      </c>
      <c r="Y51" s="573" t="str">
        <f t="shared" si="253"/>
        <v/>
      </c>
      <c r="Z51" s="575" t="str">
        <f t="shared" si="269"/>
        <v/>
      </c>
      <c r="AA51" s="572" t="str">
        <f t="shared" si="270"/>
        <v/>
      </c>
      <c r="AB51" s="572" t="str">
        <f t="shared" si="271"/>
        <v/>
      </c>
      <c r="AC51" s="579" t="str">
        <f t="shared" si="105"/>
        <v/>
      </c>
      <c r="AD51" s="580" t="str">
        <f t="shared" si="140"/>
        <v/>
      </c>
      <c r="AE51" s="572" t="str">
        <f t="shared" si="106"/>
        <v/>
      </c>
      <c r="AF51" s="576" t="str">
        <f t="shared" si="107"/>
        <v/>
      </c>
      <c r="AG51" s="545" t="str">
        <f t="shared" si="108"/>
        <v/>
      </c>
      <c r="AH51" s="546" t="str">
        <f t="shared" si="109"/>
        <v/>
      </c>
      <c r="AI51" s="528" t="str">
        <f t="shared" si="110"/>
        <v/>
      </c>
      <c r="AJ51" s="529" t="str">
        <f t="shared" si="111"/>
        <v/>
      </c>
      <c r="AK51" s="578" t="str">
        <f t="shared" si="237"/>
        <v/>
      </c>
      <c r="AL51" s="572" t="str">
        <f t="shared" si="112"/>
        <v/>
      </c>
      <c r="AM51" s="577" t="str">
        <f t="shared" si="113"/>
        <v/>
      </c>
      <c r="AN51" s="524" t="str">
        <f t="shared" si="114"/>
        <v/>
      </c>
      <c r="AO51" s="525" t="str">
        <f t="shared" si="115"/>
        <v/>
      </c>
      <c r="AP51" s="528" t="str">
        <f t="shared" si="116"/>
        <v/>
      </c>
      <c r="AQ51" s="529" t="str">
        <f t="shared" si="272"/>
        <v/>
      </c>
      <c r="AS51" s="946" t="str">
        <f t="shared" si="460"/>
        <v/>
      </c>
      <c r="AT51" s="942" t="str">
        <f t="shared" si="273"/>
        <v/>
      </c>
      <c r="AU51" s="418"/>
      <c r="AV51" s="164" t="str">
        <f t="shared" si="27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5"/>
        <v/>
      </c>
      <c r="BA51" s="296" t="str">
        <f t="shared" si="276"/>
        <v/>
      </c>
      <c r="BB51" s="190" t="str">
        <f t="shared" si="143"/>
        <v/>
      </c>
      <c r="BC51" s="9"/>
      <c r="BD51" s="5" t="str">
        <f t="shared" si="277"/>
        <v/>
      </c>
      <c r="BE51" s="6" t="str">
        <f t="shared" si="278"/>
        <v/>
      </c>
      <c r="BF51" s="4" t="str">
        <f t="shared" si="279"/>
        <v/>
      </c>
      <c r="BG51" s="5" t="str">
        <f t="shared" si="280"/>
        <v/>
      </c>
      <c r="BH51" s="10" t="str">
        <f t="shared" si="281"/>
        <v/>
      </c>
      <c r="BI51" s="9" t="str">
        <f t="shared" si="282"/>
        <v/>
      </c>
      <c r="BJ51" s="5" t="str">
        <f t="shared" si="283"/>
        <v/>
      </c>
      <c r="BK51" s="8" t="str">
        <f t="shared" si="284"/>
        <v/>
      </c>
      <c r="BL51" s="173" t="str">
        <f t="shared" si="285"/>
        <v/>
      </c>
      <c r="BM51" s="5" t="str">
        <f t="shared" si="286"/>
        <v/>
      </c>
      <c r="BN51" s="6" t="str">
        <f t="shared" si="287"/>
        <v/>
      </c>
      <c r="BO51" s="4" t="str">
        <f t="shared" si="288"/>
        <v/>
      </c>
      <c r="BP51" s="5" t="str">
        <f t="shared" si="289"/>
        <v/>
      </c>
      <c r="BQ51" s="5" t="str">
        <f t="shared" si="290"/>
        <v/>
      </c>
      <c r="BR51" s="6" t="str">
        <f t="shared" si="291"/>
        <v/>
      </c>
      <c r="BS51" s="4" t="str">
        <f t="shared" si="457"/>
        <v/>
      </c>
      <c r="BT51" s="5" t="str">
        <f t="shared" si="457"/>
        <v/>
      </c>
      <c r="BU51" s="10" t="str">
        <f t="shared" si="118"/>
        <v/>
      </c>
      <c r="BV51" s="9" t="str">
        <f t="shared" si="119"/>
        <v/>
      </c>
      <c r="BW51" s="5" t="str">
        <f t="shared" si="120"/>
        <v/>
      </c>
      <c r="BX51" s="8" t="str">
        <f t="shared" si="121"/>
        <v/>
      </c>
      <c r="BY51" s="173" t="str">
        <f t="shared" si="122"/>
        <v/>
      </c>
      <c r="BZ51" s="5" t="str">
        <f t="shared" si="123"/>
        <v/>
      </c>
      <c r="CA51" s="6" t="str">
        <f t="shared" si="124"/>
        <v/>
      </c>
      <c r="CB51" s="4" t="str">
        <f t="shared" si="292"/>
        <v/>
      </c>
      <c r="CC51" s="5" t="str">
        <f t="shared" si="293"/>
        <v/>
      </c>
      <c r="CD51" s="5" t="str">
        <f t="shared" si="294"/>
        <v/>
      </c>
      <c r="CE51" s="6" t="str">
        <f t="shared" si="295"/>
        <v/>
      </c>
      <c r="CF51" s="4" t="str">
        <f t="shared" si="296"/>
        <v/>
      </c>
      <c r="CG51" s="5" t="str">
        <f t="shared" si="297"/>
        <v/>
      </c>
      <c r="CH51" s="5" t="str">
        <f t="shared" si="298"/>
        <v/>
      </c>
      <c r="CI51" s="4" t="str">
        <f t="shared" si="125"/>
        <v/>
      </c>
      <c r="CJ51" s="5" t="str">
        <f t="shared" si="299"/>
        <v/>
      </c>
      <c r="CK51" s="8" t="str">
        <f t="shared" si="300"/>
        <v/>
      </c>
      <c r="CL51" s="173" t="str">
        <f t="shared" si="301"/>
        <v/>
      </c>
      <c r="CM51" s="5" t="str">
        <f t="shared" si="302"/>
        <v/>
      </c>
      <c r="CN51" s="6" t="str">
        <f t="shared" si="303"/>
        <v/>
      </c>
      <c r="CO51" s="167" t="str">
        <f t="shared" si="304"/>
        <v/>
      </c>
      <c r="CP51" s="4" t="str">
        <f t="shared" si="305"/>
        <v/>
      </c>
      <c r="CQ51" s="5" t="str">
        <f t="shared" si="306"/>
        <v/>
      </c>
      <c r="CR51" s="5" t="str">
        <f t="shared" si="307"/>
        <v/>
      </c>
      <c r="CS51" s="8" t="str">
        <f t="shared" si="308"/>
        <v/>
      </c>
      <c r="CT51" s="9" t="str">
        <f t="shared" si="159"/>
        <v/>
      </c>
      <c r="CU51" s="6" t="str">
        <f t="shared" si="309"/>
        <v/>
      </c>
      <c r="CV51" s="4" t="str">
        <f t="shared" si="310"/>
        <v/>
      </c>
      <c r="CW51" s="5" t="str">
        <f t="shared" si="311"/>
        <v/>
      </c>
      <c r="CX51" s="8" t="str">
        <f t="shared" si="312"/>
        <v/>
      </c>
      <c r="CY51" s="9" t="str">
        <f t="shared" si="313"/>
        <v/>
      </c>
      <c r="CZ51" s="5" t="str">
        <f t="shared" si="314"/>
        <v/>
      </c>
      <c r="DA51" s="6" t="str">
        <f t="shared" si="315"/>
        <v/>
      </c>
      <c r="DB51" s="4" t="str">
        <f t="shared" si="461"/>
        <v/>
      </c>
      <c r="DC51" s="5" t="str">
        <f t="shared" si="461"/>
        <v/>
      </c>
      <c r="DD51" s="10" t="str">
        <f t="shared" si="167"/>
        <v/>
      </c>
      <c r="DE51" s="9" t="str">
        <f t="shared" si="462"/>
        <v/>
      </c>
      <c r="DF51" s="5" t="str">
        <f t="shared" si="462"/>
        <v/>
      </c>
      <c r="DG51" s="10" t="str">
        <f t="shared" si="169"/>
        <v/>
      </c>
      <c r="DH51" s="70" t="str">
        <f t="shared" si="316"/>
        <v/>
      </c>
      <c r="DI51" s="4" t="str">
        <f t="shared" si="317"/>
        <v/>
      </c>
      <c r="DJ51" s="5" t="str">
        <f t="shared" si="318"/>
        <v/>
      </c>
      <c r="DK51" s="10" t="str">
        <f t="shared" si="319"/>
        <v/>
      </c>
      <c r="DL51" s="9" t="str">
        <f t="shared" si="320"/>
        <v/>
      </c>
      <c r="DM51" s="173" t="str">
        <f t="shared" si="321"/>
        <v/>
      </c>
      <c r="DN51" s="178" t="str">
        <f t="shared" si="322"/>
        <v/>
      </c>
      <c r="DO51" s="9" t="str">
        <f t="shared" si="323"/>
        <v/>
      </c>
      <c r="DP51" s="173" t="str">
        <f t="shared" si="324"/>
        <v/>
      </c>
      <c r="DQ51" s="11" t="str">
        <f t="shared" si="325"/>
        <v/>
      </c>
      <c r="DR51" s="173" t="str">
        <f t="shared" si="326"/>
        <v/>
      </c>
      <c r="DS51" s="5" t="str">
        <f t="shared" si="327"/>
        <v/>
      </c>
      <c r="DT51" s="5" t="str">
        <f t="shared" si="328"/>
        <v/>
      </c>
      <c r="DU51" s="5" t="str">
        <f t="shared" si="329"/>
        <v/>
      </c>
      <c r="DV51" s="5" t="str">
        <f t="shared" si="330"/>
        <v/>
      </c>
      <c r="DW51" s="5" t="str">
        <f t="shared" si="331"/>
        <v/>
      </c>
      <c r="DX51" s="167" t="str">
        <f t="shared" si="332"/>
        <v/>
      </c>
      <c r="DY51" s="9" t="str">
        <f t="shared" si="333"/>
        <v/>
      </c>
      <c r="DZ51" s="5" t="str">
        <f t="shared" si="334"/>
        <v/>
      </c>
      <c r="EA51" s="10" t="str">
        <f t="shared" si="335"/>
        <v/>
      </c>
      <c r="EB51" s="6" t="str">
        <f t="shared" si="336"/>
        <v/>
      </c>
      <c r="EC51" s="173" t="str">
        <f t="shared" si="337"/>
        <v/>
      </c>
      <c r="ED51" s="5" t="str">
        <f t="shared" si="338"/>
        <v/>
      </c>
      <c r="EE51" s="4" t="str">
        <f t="shared" si="339"/>
        <v/>
      </c>
      <c r="EF51" s="5" t="str">
        <f t="shared" si="340"/>
        <v/>
      </c>
      <c r="EG51" s="10" t="str">
        <f t="shared" si="341"/>
        <v/>
      </c>
      <c r="EH51" s="9" t="str">
        <f t="shared" si="342"/>
        <v/>
      </c>
      <c r="EI51" s="5" t="str">
        <f t="shared" si="343"/>
        <v/>
      </c>
      <c r="EJ51" s="6" t="str">
        <f t="shared" si="344"/>
        <v/>
      </c>
      <c r="EK51" s="236" t="str">
        <f t="shared" si="199"/>
        <v/>
      </c>
      <c r="EL51" s="238" t="str">
        <f t="shared" si="200"/>
        <v/>
      </c>
      <c r="EM51" s="4" t="str">
        <f t="shared" si="345"/>
        <v/>
      </c>
      <c r="EN51" s="5" t="str">
        <f t="shared" si="346"/>
        <v/>
      </c>
      <c r="EO51" s="10" t="str">
        <f t="shared" si="347"/>
        <v/>
      </c>
      <c r="EP51" s="9" t="str">
        <f t="shared" si="348"/>
        <v/>
      </c>
      <c r="EQ51" s="5" t="str">
        <f t="shared" si="349"/>
        <v/>
      </c>
      <c r="ER51" s="7" t="str">
        <f t="shared" si="350"/>
        <v/>
      </c>
      <c r="ES51" s="21" t="str">
        <f t="shared" si="351"/>
        <v/>
      </c>
      <c r="ET51" s="5" t="str">
        <f t="shared" si="352"/>
        <v/>
      </c>
      <c r="EU51" s="10" t="str">
        <f t="shared" si="353"/>
        <v/>
      </c>
      <c r="EV51" s="174" t="str">
        <f t="shared" si="354"/>
        <v/>
      </c>
      <c r="EW51" s="9" t="str">
        <f t="shared" si="355"/>
        <v/>
      </c>
      <c r="EX51" s="5" t="str">
        <f t="shared" si="356"/>
        <v/>
      </c>
      <c r="EY51" s="6" t="str">
        <f t="shared" si="357"/>
        <v/>
      </c>
      <c r="EZ51" s="51" t="str">
        <f t="shared" si="208"/>
        <v/>
      </c>
      <c r="FA51" s="266" t="str">
        <f t="shared" si="133"/>
        <v/>
      </c>
      <c r="FB51" s="267" t="str">
        <f t="shared" si="134"/>
        <v/>
      </c>
      <c r="FC51" s="269" t="str">
        <f t="shared" si="46"/>
        <v/>
      </c>
      <c r="FD51" s="4" t="str">
        <f t="shared" si="358"/>
        <v/>
      </c>
      <c r="FE51" s="5" t="str">
        <f t="shared" si="359"/>
        <v/>
      </c>
      <c r="FF51" s="7" t="str">
        <f t="shared" si="360"/>
        <v/>
      </c>
      <c r="FG51" s="173" t="str">
        <f t="shared" si="361"/>
        <v/>
      </c>
      <c r="FH51" s="5" t="str">
        <f t="shared" si="362"/>
        <v/>
      </c>
      <c r="FI51" s="10" t="str">
        <f t="shared" si="363"/>
        <v/>
      </c>
      <c r="FJ51" s="279" t="str">
        <f t="shared" si="364"/>
        <v/>
      </c>
      <c r="FK51" s="4" t="str">
        <f t="shared" si="365"/>
        <v/>
      </c>
      <c r="FL51" s="5" t="str">
        <f t="shared" si="366"/>
        <v/>
      </c>
      <c r="FM51" s="8" t="str">
        <f t="shared" si="367"/>
        <v/>
      </c>
      <c r="FN51" s="9" t="str">
        <f t="shared" si="368"/>
        <v/>
      </c>
      <c r="FO51" s="10" t="str">
        <f t="shared" si="369"/>
        <v/>
      </c>
      <c r="FP51" s="277" t="str">
        <f t="shared" si="370"/>
        <v/>
      </c>
      <c r="FQ51" s="173" t="str">
        <f t="shared" si="371"/>
        <v/>
      </c>
      <c r="FR51" s="10" t="str">
        <f t="shared" si="372"/>
        <v/>
      </c>
      <c r="FS51" s="9" t="str">
        <f t="shared" si="373"/>
        <v/>
      </c>
      <c r="FT51" s="6" t="str">
        <f t="shared" si="374"/>
        <v/>
      </c>
      <c r="FU51" s="4" t="str">
        <f t="shared" si="375"/>
        <v/>
      </c>
      <c r="FV51" s="5" t="str">
        <f t="shared" si="376"/>
        <v/>
      </c>
      <c r="FW51" s="8" t="str">
        <f t="shared" si="377"/>
        <v/>
      </c>
      <c r="FX51" s="9" t="str">
        <f t="shared" si="378"/>
        <v/>
      </c>
      <c r="FY51" s="10" t="str">
        <f t="shared" si="379"/>
        <v/>
      </c>
      <c r="FZ51" s="277" t="str">
        <f t="shared" si="380"/>
        <v/>
      </c>
      <c r="GA51" s="177" t="str">
        <f t="shared" si="381"/>
        <v/>
      </c>
      <c r="GB51" s="4" t="str">
        <f t="shared" si="382"/>
        <v/>
      </c>
      <c r="GC51" s="5" t="str">
        <f t="shared" si="383"/>
        <v/>
      </c>
      <c r="GD51" s="10" t="str">
        <f t="shared" si="384"/>
        <v/>
      </c>
      <c r="GE51" s="311" t="str">
        <f t="shared" si="385"/>
        <v/>
      </c>
      <c r="GF51" s="341" t="str">
        <f t="shared" si="386"/>
        <v/>
      </c>
      <c r="GG51" s="285" t="str">
        <f t="shared" si="387"/>
        <v/>
      </c>
      <c r="GH51" s="286" t="str">
        <f t="shared" si="388"/>
        <v/>
      </c>
      <c r="GI51" s="281" t="str">
        <f t="shared" si="389"/>
        <v/>
      </c>
      <c r="GJ51" s="167" t="str">
        <f t="shared" si="390"/>
        <v/>
      </c>
      <c r="GK51" s="174" t="str">
        <f t="shared" si="57"/>
        <v/>
      </c>
      <c r="GL51" s="174" t="str">
        <f t="shared" si="391"/>
        <v/>
      </c>
      <c r="GM51" s="177" t="str">
        <f t="shared" si="392"/>
        <v/>
      </c>
      <c r="GN51" s="280" t="str">
        <f t="shared" si="393"/>
        <v/>
      </c>
      <c r="GO51" s="4" t="str">
        <f t="shared" si="394"/>
        <v/>
      </c>
      <c r="GP51" s="8" t="str">
        <f t="shared" si="395"/>
        <v/>
      </c>
      <c r="GQ51" s="177" t="str">
        <f t="shared" si="396"/>
        <v/>
      </c>
      <c r="GR51" s="371" t="str">
        <f t="shared" si="397"/>
        <v/>
      </c>
      <c r="GS51" s="342" t="str">
        <f t="shared" si="398"/>
        <v/>
      </c>
      <c r="GT51" s="343" t="str">
        <f t="shared" si="399"/>
        <v/>
      </c>
      <c r="GU51" s="344" t="str">
        <f t="shared" si="61"/>
        <v/>
      </c>
      <c r="GV51" s="343" t="str">
        <f t="shared" si="400"/>
        <v/>
      </c>
      <c r="GW51" s="345" t="str">
        <f t="shared" si="62"/>
        <v/>
      </c>
      <c r="GX51" s="346" t="str">
        <f t="shared" si="63"/>
        <v/>
      </c>
      <c r="GY51" s="344" t="str">
        <f t="shared" si="401"/>
        <v/>
      </c>
      <c r="GZ51" s="345" t="str">
        <f t="shared" si="402"/>
        <v/>
      </c>
      <c r="HA51" s="342" t="str">
        <f t="shared" si="66"/>
        <v/>
      </c>
      <c r="HB51" s="5" t="str">
        <f t="shared" si="230"/>
        <v/>
      </c>
      <c r="HC51" s="343" t="str">
        <f t="shared" si="403"/>
        <v/>
      </c>
      <c r="HD51" s="345" t="str">
        <f t="shared" si="404"/>
        <v/>
      </c>
      <c r="HE51" s="344" t="str">
        <f t="shared" si="67"/>
        <v/>
      </c>
      <c r="HF51" s="5" t="str">
        <f t="shared" si="68"/>
        <v/>
      </c>
      <c r="HG51" s="343" t="str">
        <f t="shared" si="405"/>
        <v/>
      </c>
      <c r="HH51" s="349" t="str">
        <f t="shared" si="406"/>
        <v/>
      </c>
      <c r="HI51" s="317" t="str">
        <f t="shared" si="407"/>
        <v/>
      </c>
      <c r="HJ51" s="336"/>
      <c r="HK51" s="310" t="str">
        <f t="shared" si="458"/>
        <v/>
      </c>
      <c r="HL51" s="348" t="str">
        <f t="shared" si="408"/>
        <v/>
      </c>
      <c r="HM51" s="923" t="str">
        <f t="shared" si="409"/>
        <v/>
      </c>
      <c r="HN51" s="924" t="str">
        <f t="shared" si="410"/>
        <v/>
      </c>
      <c r="HO51" s="925"/>
      <c r="HP51" s="926"/>
      <c r="HQ51" s="924" t="str">
        <f t="shared" si="411"/>
        <v/>
      </c>
      <c r="HR51" s="927" t="str">
        <f t="shared" si="412"/>
        <v/>
      </c>
      <c r="HS51" s="879" t="str">
        <f t="shared" si="459"/>
        <v/>
      </c>
      <c r="HT51" s="889" t="str">
        <f t="shared" si="413"/>
        <v/>
      </c>
      <c r="HU51" s="890" t="str">
        <f t="shared" si="414"/>
        <v/>
      </c>
      <c r="HV51" s="886" t="str">
        <f t="shared" si="415"/>
        <v/>
      </c>
      <c r="HW51" s="880" t="str">
        <f t="shared" si="416"/>
        <v/>
      </c>
      <c r="HX51" s="881" t="str">
        <f t="shared" si="417"/>
        <v/>
      </c>
      <c r="HY51" s="880" t="str">
        <f t="shared" si="418"/>
        <v/>
      </c>
      <c r="HZ51" s="882" t="str">
        <f t="shared" si="419"/>
        <v/>
      </c>
      <c r="IA51" s="883" t="str">
        <f t="shared" si="420"/>
        <v/>
      </c>
      <c r="IB51" s="884" t="str">
        <f t="shared" si="421"/>
        <v/>
      </c>
      <c r="IC51" s="855" t="str">
        <f t="shared" si="422"/>
        <v/>
      </c>
      <c r="ID51" s="351" t="str">
        <f t="shared" si="423"/>
        <v/>
      </c>
      <c r="IE51" s="857" t="str">
        <f t="shared" si="42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35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25"/>
        <v/>
      </c>
      <c r="IM51" s="482" t="str">
        <f t="shared" si="236"/>
        <v/>
      </c>
      <c r="IN51" s="670" t="str">
        <f t="shared" si="426"/>
        <v/>
      </c>
      <c r="IO51" s="702"/>
      <c r="IP51" s="5" t="str">
        <f t="shared" si="427"/>
        <v/>
      </c>
      <c r="IQ51" s="714"/>
      <c r="IR51" s="9" t="str">
        <f t="shared" si="428"/>
        <v/>
      </c>
      <c r="IS51" s="5" t="str">
        <f t="shared" si="429"/>
        <v/>
      </c>
      <c r="IT51" s="5" t="str">
        <f t="shared" si="430"/>
        <v/>
      </c>
      <c r="IU51" s="5" t="str">
        <f t="shared" si="431"/>
        <v/>
      </c>
      <c r="IV51" s="670" t="str">
        <f t="shared" si="432"/>
        <v/>
      </c>
      <c r="IW51" s="9" t="str">
        <f t="shared" si="433"/>
        <v/>
      </c>
      <c r="IX51" s="5" t="str">
        <f t="shared" si="434"/>
        <v/>
      </c>
      <c r="IY51" s="5" t="str">
        <f t="shared" si="435"/>
        <v/>
      </c>
      <c r="IZ51" s="5" t="str">
        <f t="shared" si="436"/>
        <v/>
      </c>
      <c r="JA51" s="705" t="str">
        <f t="shared" si="437"/>
        <v/>
      </c>
    </row>
    <row r="52" spans="1:261" ht="15" customHeight="1" x14ac:dyDescent="0.25">
      <c r="A52" s="75" t="str">
        <f t="shared" si="254"/>
        <v/>
      </c>
      <c r="B52" s="578" t="str">
        <f t="shared" si="255"/>
        <v/>
      </c>
      <c r="C52" s="572" t="str">
        <f t="shared" si="256"/>
        <v/>
      </c>
      <c r="D52" s="576" t="str">
        <f t="shared" si="257"/>
        <v/>
      </c>
      <c r="E52" s="580" t="str">
        <f t="shared" si="258"/>
        <v/>
      </c>
      <c r="F52" s="572" t="str">
        <f t="shared" si="259"/>
        <v/>
      </c>
      <c r="G52" s="579" t="str">
        <f t="shared" si="260"/>
        <v/>
      </c>
      <c r="H52" s="580" t="str">
        <f t="shared" si="261"/>
        <v/>
      </c>
      <c r="I52" s="572" t="str">
        <f t="shared" si="262"/>
        <v/>
      </c>
      <c r="J52" s="483" t="str">
        <f t="shared" si="263"/>
        <v/>
      </c>
      <c r="K52" s="806" t="str">
        <f t="shared" si="264"/>
        <v/>
      </c>
      <c r="L52" s="309"/>
      <c r="M52" s="164" t="str">
        <f t="shared" si="265"/>
        <v/>
      </c>
      <c r="N52" s="575" t="str">
        <f t="shared" si="266"/>
        <v/>
      </c>
      <c r="O52" s="572" t="str">
        <f t="shared" si="267"/>
        <v/>
      </c>
      <c r="P52" s="576" t="str">
        <f t="shared" si="268"/>
        <v/>
      </c>
      <c r="Q52" s="528" t="str">
        <f t="shared" si="138"/>
        <v/>
      </c>
      <c r="R52" s="572" t="str">
        <f t="shared" si="100"/>
        <v/>
      </c>
      <c r="S52" s="577" t="str">
        <f t="shared" si="101"/>
        <v/>
      </c>
      <c r="T52" s="578" t="str">
        <f t="shared" si="102"/>
        <v/>
      </c>
      <c r="U52" s="572" t="str">
        <f t="shared" si="103"/>
        <v/>
      </c>
      <c r="V52" s="579" t="str">
        <f t="shared" si="139"/>
        <v/>
      </c>
      <c r="W52" s="528" t="str">
        <f t="shared" si="252"/>
        <v/>
      </c>
      <c r="X52" s="572" t="str">
        <f t="shared" si="104"/>
        <v/>
      </c>
      <c r="Y52" s="573" t="str">
        <f t="shared" si="253"/>
        <v/>
      </c>
      <c r="Z52" s="575" t="str">
        <f t="shared" si="269"/>
        <v/>
      </c>
      <c r="AA52" s="572" t="str">
        <f t="shared" si="270"/>
        <v/>
      </c>
      <c r="AB52" s="572" t="str">
        <f t="shared" si="271"/>
        <v/>
      </c>
      <c r="AC52" s="579" t="str">
        <f t="shared" si="105"/>
        <v/>
      </c>
      <c r="AD52" s="580" t="str">
        <f t="shared" si="140"/>
        <v/>
      </c>
      <c r="AE52" s="572" t="str">
        <f t="shared" si="106"/>
        <v/>
      </c>
      <c r="AF52" s="576" t="str">
        <f t="shared" si="107"/>
        <v/>
      </c>
      <c r="AG52" s="545" t="str">
        <f t="shared" si="108"/>
        <v/>
      </c>
      <c r="AH52" s="546" t="str">
        <f t="shared" si="109"/>
        <v/>
      </c>
      <c r="AI52" s="528" t="str">
        <f t="shared" si="110"/>
        <v/>
      </c>
      <c r="AJ52" s="529" t="str">
        <f t="shared" si="111"/>
        <v/>
      </c>
      <c r="AK52" s="578" t="str">
        <f t="shared" si="237"/>
        <v/>
      </c>
      <c r="AL52" s="572" t="str">
        <f t="shared" si="112"/>
        <v/>
      </c>
      <c r="AM52" s="577" t="str">
        <f t="shared" si="113"/>
        <v/>
      </c>
      <c r="AN52" s="524" t="str">
        <f t="shared" si="114"/>
        <v/>
      </c>
      <c r="AO52" s="525" t="str">
        <f t="shared" si="115"/>
        <v/>
      </c>
      <c r="AP52" s="528" t="str">
        <f t="shared" si="116"/>
        <v/>
      </c>
      <c r="AQ52" s="529" t="str">
        <f t="shared" si="272"/>
        <v/>
      </c>
      <c r="AS52" s="946" t="str">
        <f t="shared" si="460"/>
        <v/>
      </c>
      <c r="AT52" s="942" t="str">
        <f t="shared" si="273"/>
        <v/>
      </c>
      <c r="AU52" s="418"/>
      <c r="AV52" s="164" t="str">
        <f t="shared" si="27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5"/>
        <v/>
      </c>
      <c r="BA52" s="296" t="str">
        <f t="shared" si="276"/>
        <v/>
      </c>
      <c r="BB52" s="190" t="str">
        <f t="shared" si="143"/>
        <v/>
      </c>
      <c r="BC52" s="9"/>
      <c r="BD52" s="5" t="str">
        <f t="shared" si="277"/>
        <v/>
      </c>
      <c r="BE52" s="6" t="str">
        <f t="shared" si="278"/>
        <v/>
      </c>
      <c r="BF52" s="4" t="str">
        <f t="shared" si="279"/>
        <v/>
      </c>
      <c r="BG52" s="5" t="str">
        <f t="shared" si="280"/>
        <v/>
      </c>
      <c r="BH52" s="10" t="str">
        <f t="shared" si="281"/>
        <v/>
      </c>
      <c r="BI52" s="9" t="str">
        <f t="shared" si="282"/>
        <v/>
      </c>
      <c r="BJ52" s="5" t="str">
        <f t="shared" si="283"/>
        <v/>
      </c>
      <c r="BK52" s="8" t="str">
        <f t="shared" si="284"/>
        <v/>
      </c>
      <c r="BL52" s="173" t="str">
        <f t="shared" si="285"/>
        <v/>
      </c>
      <c r="BM52" s="5" t="str">
        <f t="shared" si="286"/>
        <v/>
      </c>
      <c r="BN52" s="6" t="str">
        <f t="shared" si="287"/>
        <v/>
      </c>
      <c r="BO52" s="4" t="str">
        <f t="shared" si="288"/>
        <v/>
      </c>
      <c r="BP52" s="5" t="str">
        <f t="shared" si="289"/>
        <v/>
      </c>
      <c r="BQ52" s="5" t="str">
        <f t="shared" si="290"/>
        <v/>
      </c>
      <c r="BR52" s="6" t="str">
        <f t="shared" si="291"/>
        <v/>
      </c>
      <c r="BS52" s="4" t="str">
        <f t="shared" si="457"/>
        <v/>
      </c>
      <c r="BT52" s="5" t="str">
        <f t="shared" si="457"/>
        <v/>
      </c>
      <c r="BU52" s="10" t="str">
        <f t="shared" si="118"/>
        <v/>
      </c>
      <c r="BV52" s="9" t="str">
        <f t="shared" si="119"/>
        <v/>
      </c>
      <c r="BW52" s="5" t="str">
        <f t="shared" si="120"/>
        <v/>
      </c>
      <c r="BX52" s="8" t="str">
        <f t="shared" si="121"/>
        <v/>
      </c>
      <c r="BY52" s="173" t="str">
        <f t="shared" si="122"/>
        <v/>
      </c>
      <c r="BZ52" s="5" t="str">
        <f t="shared" si="123"/>
        <v/>
      </c>
      <c r="CA52" s="6" t="str">
        <f t="shared" si="124"/>
        <v/>
      </c>
      <c r="CB52" s="4" t="str">
        <f t="shared" si="292"/>
        <v/>
      </c>
      <c r="CC52" s="5" t="str">
        <f t="shared" si="293"/>
        <v/>
      </c>
      <c r="CD52" s="5" t="str">
        <f t="shared" si="294"/>
        <v/>
      </c>
      <c r="CE52" s="6" t="str">
        <f t="shared" si="295"/>
        <v/>
      </c>
      <c r="CF52" s="4" t="str">
        <f t="shared" si="296"/>
        <v/>
      </c>
      <c r="CG52" s="5" t="str">
        <f t="shared" si="297"/>
        <v/>
      </c>
      <c r="CH52" s="5" t="str">
        <f t="shared" si="298"/>
        <v/>
      </c>
      <c r="CI52" s="4" t="str">
        <f t="shared" si="125"/>
        <v/>
      </c>
      <c r="CJ52" s="5" t="str">
        <f t="shared" si="299"/>
        <v/>
      </c>
      <c r="CK52" s="8" t="str">
        <f t="shared" si="300"/>
        <v/>
      </c>
      <c r="CL52" s="173" t="str">
        <f t="shared" si="301"/>
        <v/>
      </c>
      <c r="CM52" s="5" t="str">
        <f t="shared" si="302"/>
        <v/>
      </c>
      <c r="CN52" s="6" t="str">
        <f t="shared" si="303"/>
        <v/>
      </c>
      <c r="CO52" s="167" t="str">
        <f t="shared" si="304"/>
        <v/>
      </c>
      <c r="CP52" s="4" t="str">
        <f t="shared" si="305"/>
        <v/>
      </c>
      <c r="CQ52" s="5" t="str">
        <f t="shared" si="306"/>
        <v/>
      </c>
      <c r="CR52" s="5" t="str">
        <f t="shared" si="307"/>
        <v/>
      </c>
      <c r="CS52" s="8" t="str">
        <f t="shared" si="308"/>
        <v/>
      </c>
      <c r="CT52" s="9" t="str">
        <f t="shared" si="159"/>
        <v/>
      </c>
      <c r="CU52" s="6" t="str">
        <f t="shared" si="309"/>
        <v/>
      </c>
      <c r="CV52" s="4" t="str">
        <f t="shared" si="310"/>
        <v/>
      </c>
      <c r="CW52" s="5" t="str">
        <f t="shared" si="311"/>
        <v/>
      </c>
      <c r="CX52" s="8" t="str">
        <f t="shared" si="312"/>
        <v/>
      </c>
      <c r="CY52" s="9" t="str">
        <f t="shared" si="313"/>
        <v/>
      </c>
      <c r="CZ52" s="5" t="str">
        <f t="shared" si="314"/>
        <v/>
      </c>
      <c r="DA52" s="6" t="str">
        <f t="shared" si="315"/>
        <v/>
      </c>
      <c r="DB52" s="4" t="str">
        <f t="shared" si="461"/>
        <v/>
      </c>
      <c r="DC52" s="5" t="str">
        <f t="shared" si="461"/>
        <v/>
      </c>
      <c r="DD52" s="10" t="str">
        <f t="shared" si="167"/>
        <v/>
      </c>
      <c r="DE52" s="9" t="str">
        <f t="shared" si="462"/>
        <v/>
      </c>
      <c r="DF52" s="5" t="str">
        <f t="shared" si="462"/>
        <v/>
      </c>
      <c r="DG52" s="10" t="str">
        <f t="shared" si="169"/>
        <v/>
      </c>
      <c r="DH52" s="70" t="str">
        <f t="shared" si="316"/>
        <v/>
      </c>
      <c r="DI52" s="4" t="str">
        <f t="shared" si="317"/>
        <v/>
      </c>
      <c r="DJ52" s="5" t="str">
        <f t="shared" si="318"/>
        <v/>
      </c>
      <c r="DK52" s="10" t="str">
        <f t="shared" si="319"/>
        <v/>
      </c>
      <c r="DL52" s="9" t="str">
        <f t="shared" si="320"/>
        <v/>
      </c>
      <c r="DM52" s="173" t="str">
        <f t="shared" si="321"/>
        <v/>
      </c>
      <c r="DN52" s="178" t="str">
        <f t="shared" si="322"/>
        <v/>
      </c>
      <c r="DO52" s="9" t="str">
        <f t="shared" si="323"/>
        <v/>
      </c>
      <c r="DP52" s="173" t="str">
        <f t="shared" si="324"/>
        <v/>
      </c>
      <c r="DQ52" s="11" t="str">
        <f t="shared" si="325"/>
        <v/>
      </c>
      <c r="DR52" s="173" t="str">
        <f t="shared" si="326"/>
        <v/>
      </c>
      <c r="DS52" s="5" t="str">
        <f t="shared" si="327"/>
        <v/>
      </c>
      <c r="DT52" s="5" t="str">
        <f t="shared" si="328"/>
        <v/>
      </c>
      <c r="DU52" s="5" t="str">
        <f t="shared" si="329"/>
        <v/>
      </c>
      <c r="DV52" s="5" t="str">
        <f t="shared" si="330"/>
        <v/>
      </c>
      <c r="DW52" s="5" t="str">
        <f t="shared" si="331"/>
        <v/>
      </c>
      <c r="DX52" s="167" t="str">
        <f t="shared" si="332"/>
        <v/>
      </c>
      <c r="DY52" s="9" t="str">
        <f t="shared" si="333"/>
        <v/>
      </c>
      <c r="DZ52" s="5" t="str">
        <f t="shared" si="334"/>
        <v/>
      </c>
      <c r="EA52" s="10" t="str">
        <f t="shared" si="335"/>
        <v/>
      </c>
      <c r="EB52" s="6" t="str">
        <f t="shared" si="336"/>
        <v/>
      </c>
      <c r="EC52" s="173" t="str">
        <f t="shared" si="337"/>
        <v/>
      </c>
      <c r="ED52" s="5" t="str">
        <f t="shared" si="338"/>
        <v/>
      </c>
      <c r="EE52" s="4" t="str">
        <f t="shared" si="339"/>
        <v/>
      </c>
      <c r="EF52" s="5" t="str">
        <f t="shared" si="340"/>
        <v/>
      </c>
      <c r="EG52" s="10" t="str">
        <f t="shared" si="341"/>
        <v/>
      </c>
      <c r="EH52" s="9" t="str">
        <f t="shared" si="342"/>
        <v/>
      </c>
      <c r="EI52" s="5" t="str">
        <f t="shared" si="343"/>
        <v/>
      </c>
      <c r="EJ52" s="6" t="str">
        <f t="shared" si="344"/>
        <v/>
      </c>
      <c r="EK52" s="236" t="str">
        <f t="shared" si="199"/>
        <v/>
      </c>
      <c r="EL52" s="238" t="str">
        <f t="shared" si="200"/>
        <v/>
      </c>
      <c r="EM52" s="4" t="str">
        <f t="shared" si="345"/>
        <v/>
      </c>
      <c r="EN52" s="5" t="str">
        <f t="shared" si="346"/>
        <v/>
      </c>
      <c r="EO52" s="10" t="str">
        <f t="shared" si="347"/>
        <v/>
      </c>
      <c r="EP52" s="9" t="str">
        <f t="shared" si="348"/>
        <v/>
      </c>
      <c r="EQ52" s="5" t="str">
        <f t="shared" si="349"/>
        <v/>
      </c>
      <c r="ER52" s="7" t="str">
        <f t="shared" si="350"/>
        <v/>
      </c>
      <c r="ES52" s="21" t="str">
        <f t="shared" si="351"/>
        <v/>
      </c>
      <c r="ET52" s="5" t="str">
        <f t="shared" si="352"/>
        <v/>
      </c>
      <c r="EU52" s="10" t="str">
        <f t="shared" si="353"/>
        <v/>
      </c>
      <c r="EV52" s="174" t="str">
        <f t="shared" si="354"/>
        <v/>
      </c>
      <c r="EW52" s="9" t="str">
        <f t="shared" si="355"/>
        <v/>
      </c>
      <c r="EX52" s="5" t="str">
        <f t="shared" si="356"/>
        <v/>
      </c>
      <c r="EY52" s="6" t="str">
        <f t="shared" si="357"/>
        <v/>
      </c>
      <c r="EZ52" s="51" t="str">
        <f t="shared" si="208"/>
        <v/>
      </c>
      <c r="FA52" s="266" t="str">
        <f t="shared" si="133"/>
        <v/>
      </c>
      <c r="FB52" s="267" t="str">
        <f t="shared" si="134"/>
        <v/>
      </c>
      <c r="FC52" s="269" t="str">
        <f t="shared" si="46"/>
        <v/>
      </c>
      <c r="FD52" s="4" t="str">
        <f t="shared" si="358"/>
        <v/>
      </c>
      <c r="FE52" s="5" t="str">
        <f t="shared" si="359"/>
        <v/>
      </c>
      <c r="FF52" s="7" t="str">
        <f t="shared" si="360"/>
        <v/>
      </c>
      <c r="FG52" s="173" t="str">
        <f t="shared" si="361"/>
        <v/>
      </c>
      <c r="FH52" s="5" t="str">
        <f t="shared" si="362"/>
        <v/>
      </c>
      <c r="FI52" s="10" t="str">
        <f t="shared" si="363"/>
        <v/>
      </c>
      <c r="FJ52" s="279" t="str">
        <f t="shared" si="364"/>
        <v/>
      </c>
      <c r="FK52" s="4" t="str">
        <f t="shared" si="365"/>
        <v/>
      </c>
      <c r="FL52" s="5" t="str">
        <f t="shared" si="366"/>
        <v/>
      </c>
      <c r="FM52" s="8" t="str">
        <f t="shared" si="367"/>
        <v/>
      </c>
      <c r="FN52" s="9" t="str">
        <f t="shared" si="368"/>
        <v/>
      </c>
      <c r="FO52" s="10" t="str">
        <f t="shared" si="369"/>
        <v/>
      </c>
      <c r="FP52" s="277" t="str">
        <f t="shared" si="370"/>
        <v/>
      </c>
      <c r="FQ52" s="173" t="str">
        <f t="shared" si="371"/>
        <v/>
      </c>
      <c r="FR52" s="10" t="str">
        <f t="shared" si="372"/>
        <v/>
      </c>
      <c r="FS52" s="9" t="str">
        <f t="shared" si="373"/>
        <v/>
      </c>
      <c r="FT52" s="6" t="str">
        <f t="shared" si="374"/>
        <v/>
      </c>
      <c r="FU52" s="4" t="str">
        <f t="shared" si="375"/>
        <v/>
      </c>
      <c r="FV52" s="5" t="str">
        <f t="shared" si="376"/>
        <v/>
      </c>
      <c r="FW52" s="8" t="str">
        <f t="shared" si="377"/>
        <v/>
      </c>
      <c r="FX52" s="9" t="str">
        <f t="shared" si="378"/>
        <v/>
      </c>
      <c r="FY52" s="10" t="str">
        <f t="shared" si="379"/>
        <v/>
      </c>
      <c r="FZ52" s="277" t="str">
        <f t="shared" si="380"/>
        <v/>
      </c>
      <c r="GA52" s="177" t="str">
        <f t="shared" si="381"/>
        <v/>
      </c>
      <c r="GB52" s="4" t="str">
        <f t="shared" si="382"/>
        <v/>
      </c>
      <c r="GC52" s="5" t="str">
        <f t="shared" si="383"/>
        <v/>
      </c>
      <c r="GD52" s="10" t="str">
        <f t="shared" si="384"/>
        <v/>
      </c>
      <c r="GE52" s="311" t="str">
        <f t="shared" si="385"/>
        <v/>
      </c>
      <c r="GF52" s="341" t="str">
        <f t="shared" si="386"/>
        <v/>
      </c>
      <c r="GG52" s="285" t="str">
        <f t="shared" si="387"/>
        <v/>
      </c>
      <c r="GH52" s="286" t="str">
        <f t="shared" si="388"/>
        <v/>
      </c>
      <c r="GI52" s="281" t="str">
        <f t="shared" si="389"/>
        <v/>
      </c>
      <c r="GJ52" s="167" t="str">
        <f t="shared" si="390"/>
        <v/>
      </c>
      <c r="GK52" s="174" t="str">
        <f t="shared" si="57"/>
        <v/>
      </c>
      <c r="GL52" s="174" t="str">
        <f t="shared" si="391"/>
        <v/>
      </c>
      <c r="GM52" s="177" t="str">
        <f t="shared" si="392"/>
        <v/>
      </c>
      <c r="GN52" s="280" t="str">
        <f t="shared" si="393"/>
        <v/>
      </c>
      <c r="GO52" s="4" t="str">
        <f t="shared" si="394"/>
        <v/>
      </c>
      <c r="GP52" s="8" t="str">
        <f t="shared" si="395"/>
        <v/>
      </c>
      <c r="GQ52" s="177" t="str">
        <f t="shared" si="396"/>
        <v/>
      </c>
      <c r="GR52" s="371" t="str">
        <f t="shared" si="397"/>
        <v/>
      </c>
      <c r="GS52" s="342" t="str">
        <f t="shared" si="398"/>
        <v/>
      </c>
      <c r="GT52" s="343" t="str">
        <f t="shared" si="399"/>
        <v/>
      </c>
      <c r="GU52" s="344" t="str">
        <f t="shared" si="61"/>
        <v/>
      </c>
      <c r="GV52" s="343" t="str">
        <f t="shared" si="400"/>
        <v/>
      </c>
      <c r="GW52" s="345" t="str">
        <f t="shared" si="62"/>
        <v/>
      </c>
      <c r="GX52" s="346" t="str">
        <f t="shared" si="63"/>
        <v/>
      </c>
      <c r="GY52" s="344" t="str">
        <f t="shared" si="401"/>
        <v/>
      </c>
      <c r="GZ52" s="345" t="str">
        <f t="shared" si="402"/>
        <v/>
      </c>
      <c r="HA52" s="342" t="str">
        <f t="shared" si="66"/>
        <v/>
      </c>
      <c r="HB52" s="5" t="str">
        <f t="shared" si="230"/>
        <v/>
      </c>
      <c r="HC52" s="343" t="str">
        <f t="shared" si="403"/>
        <v/>
      </c>
      <c r="HD52" s="345" t="str">
        <f t="shared" si="404"/>
        <v/>
      </c>
      <c r="HE52" s="344" t="str">
        <f t="shared" si="67"/>
        <v/>
      </c>
      <c r="HF52" s="5" t="str">
        <f t="shared" si="68"/>
        <v/>
      </c>
      <c r="HG52" s="343" t="str">
        <f t="shared" si="405"/>
        <v/>
      </c>
      <c r="HH52" s="349" t="str">
        <f t="shared" si="406"/>
        <v/>
      </c>
      <c r="HI52" s="317" t="str">
        <f t="shared" si="407"/>
        <v/>
      </c>
      <c r="HJ52" s="336"/>
      <c r="HK52" s="310" t="str">
        <f t="shared" si="458"/>
        <v/>
      </c>
      <c r="HL52" s="348" t="str">
        <f t="shared" si="408"/>
        <v/>
      </c>
      <c r="HM52" s="923" t="str">
        <f t="shared" si="409"/>
        <v/>
      </c>
      <c r="HN52" s="924" t="str">
        <f t="shared" si="410"/>
        <v/>
      </c>
      <c r="HO52" s="925"/>
      <c r="HP52" s="926"/>
      <c r="HQ52" s="924" t="str">
        <f t="shared" si="411"/>
        <v/>
      </c>
      <c r="HR52" s="927" t="str">
        <f t="shared" si="412"/>
        <v/>
      </c>
      <c r="HS52" s="879" t="str">
        <f t="shared" si="459"/>
        <v/>
      </c>
      <c r="HT52" s="889" t="str">
        <f t="shared" si="413"/>
        <v/>
      </c>
      <c r="HU52" s="890" t="str">
        <f t="shared" si="414"/>
        <v/>
      </c>
      <c r="HV52" s="886" t="str">
        <f t="shared" si="415"/>
        <v/>
      </c>
      <c r="HW52" s="880" t="str">
        <f t="shared" si="416"/>
        <v/>
      </c>
      <c r="HX52" s="881" t="str">
        <f t="shared" si="417"/>
        <v/>
      </c>
      <c r="HY52" s="880" t="str">
        <f t="shared" si="418"/>
        <v/>
      </c>
      <c r="HZ52" s="882" t="str">
        <f t="shared" si="419"/>
        <v/>
      </c>
      <c r="IA52" s="883" t="str">
        <f t="shared" si="420"/>
        <v/>
      </c>
      <c r="IB52" s="884" t="str">
        <f t="shared" si="421"/>
        <v/>
      </c>
      <c r="IC52" s="855" t="str">
        <f t="shared" si="422"/>
        <v/>
      </c>
      <c r="ID52" s="351" t="str">
        <f t="shared" si="423"/>
        <v/>
      </c>
      <c r="IE52" s="857" t="str">
        <f t="shared" si="42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35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25"/>
        <v/>
      </c>
      <c r="IM52" s="482" t="str">
        <f t="shared" si="236"/>
        <v/>
      </c>
      <c r="IN52" s="670" t="str">
        <f t="shared" si="426"/>
        <v/>
      </c>
      <c r="IO52" s="702"/>
      <c r="IP52" s="5" t="str">
        <f t="shared" si="427"/>
        <v/>
      </c>
      <c r="IQ52" s="714"/>
      <c r="IR52" s="9" t="str">
        <f t="shared" si="428"/>
        <v/>
      </c>
      <c r="IS52" s="5" t="str">
        <f t="shared" si="429"/>
        <v/>
      </c>
      <c r="IT52" s="5" t="str">
        <f t="shared" si="430"/>
        <v/>
      </c>
      <c r="IU52" s="5" t="str">
        <f t="shared" si="431"/>
        <v/>
      </c>
      <c r="IV52" s="670" t="str">
        <f t="shared" si="432"/>
        <v/>
      </c>
      <c r="IW52" s="9" t="str">
        <f t="shared" si="433"/>
        <v/>
      </c>
      <c r="IX52" s="5" t="str">
        <f t="shared" si="434"/>
        <v/>
      </c>
      <c r="IY52" s="5" t="str">
        <f t="shared" si="435"/>
        <v/>
      </c>
      <c r="IZ52" s="5" t="str">
        <f t="shared" si="436"/>
        <v/>
      </c>
      <c r="JA52" s="705" t="str">
        <f t="shared" si="437"/>
        <v/>
      </c>
    </row>
    <row r="53" spans="1:261" ht="15" customHeight="1" x14ac:dyDescent="0.25">
      <c r="A53" s="75" t="str">
        <f t="shared" si="254"/>
        <v/>
      </c>
      <c r="B53" s="578" t="str">
        <f t="shared" si="255"/>
        <v/>
      </c>
      <c r="C53" s="572" t="str">
        <f t="shared" si="256"/>
        <v/>
      </c>
      <c r="D53" s="576" t="str">
        <f t="shared" si="257"/>
        <v/>
      </c>
      <c r="E53" s="580" t="str">
        <f t="shared" si="258"/>
        <v/>
      </c>
      <c r="F53" s="572" t="str">
        <f t="shared" si="259"/>
        <v/>
      </c>
      <c r="G53" s="579" t="str">
        <f t="shared" si="260"/>
        <v/>
      </c>
      <c r="H53" s="580" t="str">
        <f t="shared" si="261"/>
        <v/>
      </c>
      <c r="I53" s="572" t="str">
        <f t="shared" si="262"/>
        <v/>
      </c>
      <c r="J53" s="483" t="str">
        <f t="shared" si="263"/>
        <v/>
      </c>
      <c r="K53" s="806" t="str">
        <f t="shared" si="264"/>
        <v/>
      </c>
      <c r="L53" s="309"/>
      <c r="M53" s="164" t="str">
        <f t="shared" si="265"/>
        <v/>
      </c>
      <c r="N53" s="575" t="str">
        <f t="shared" si="266"/>
        <v/>
      </c>
      <c r="O53" s="572" t="str">
        <f t="shared" si="267"/>
        <v/>
      </c>
      <c r="P53" s="576" t="str">
        <f t="shared" si="268"/>
        <v/>
      </c>
      <c r="Q53" s="528" t="str">
        <f t="shared" si="138"/>
        <v/>
      </c>
      <c r="R53" s="572" t="str">
        <f t="shared" ref="R53:R58" si="463">IF(M53="","",SQRT(N53^2+O53^2))</f>
        <v/>
      </c>
      <c r="S53" s="577" t="str">
        <f t="shared" ref="S53:S58" si="464">IF(M53="","",P53)</f>
        <v/>
      </c>
      <c r="T53" s="578" t="str">
        <f t="shared" ref="T53:T58" si="465">IF(M53="","",X53*COS(RADIANS(W53)))</f>
        <v/>
      </c>
      <c r="U53" s="572" t="str">
        <f t="shared" ref="U53:U58" si="466">IF(M53="","",X53*SIN(RADIANS(W53)))</f>
        <v/>
      </c>
      <c r="V53" s="579" t="str">
        <f t="shared" ref="V53:V58" si="467">IF(M53="","",Y53)</f>
        <v/>
      </c>
      <c r="W53" s="528" t="str">
        <f t="shared" si="252"/>
        <v/>
      </c>
      <c r="X53" s="572" t="str">
        <f t="shared" ref="X53:X58" si="468">IF(M53="","",R53)</f>
        <v/>
      </c>
      <c r="Y53" s="573" t="str">
        <f t="shared" si="253"/>
        <v/>
      </c>
      <c r="Z53" s="575" t="str">
        <f t="shared" si="269"/>
        <v/>
      </c>
      <c r="AA53" s="572" t="str">
        <f t="shared" si="270"/>
        <v/>
      </c>
      <c r="AB53" s="572" t="str">
        <f t="shared" si="271"/>
        <v/>
      </c>
      <c r="AC53" s="579" t="str">
        <f t="shared" ref="AC53:AC58" si="469">IF(M53="","",SQRT(Z53^2+AA53^2+AB53^2))</f>
        <v/>
      </c>
      <c r="AD53" s="580" t="str">
        <f t="shared" ref="AD53:AD58" si="470">IF(M53="","",Z53*(1/SQRT(Z53^2+AA53^2+AB53^2)))</f>
        <v/>
      </c>
      <c r="AE53" s="572" t="str">
        <f t="shared" ref="AE53:AE58" si="471">IF(M53="","",AA53*(1/SQRT(Z53^2+AA53^2+AB53^2)))</f>
        <v/>
      </c>
      <c r="AF53" s="576" t="str">
        <f t="shared" ref="AF53:AF58" si="472">IF(M53="","",AB53*(1/SQRT(Z53^2+AA53^2+AB53^2)))</f>
        <v/>
      </c>
      <c r="AG53" s="545" t="str">
        <f t="shared" ref="AG53:AG58" si="473">IF(M53="","",DEGREES(ATAN2(-AF53,AE53)))</f>
        <v/>
      </c>
      <c r="AH53" s="546" t="str">
        <f t="shared" ref="AH53:AH58" si="474">IF(M53="","",DEGREES(ACOS(AD53)))</f>
        <v/>
      </c>
      <c r="AI53" s="528" t="str">
        <f t="shared" ref="AI53:AI58" si="475">IF(M53="","",DEGREES(-ACOS(-AF53)))</f>
        <v/>
      </c>
      <c r="AJ53" s="529" t="str">
        <f t="shared" ref="AJ53:AJ58" si="476">IF(M53="","",DEGREES(ATAN2(-AE53,AD53)))</f>
        <v/>
      </c>
      <c r="AK53" s="578" t="str">
        <f t="shared" ref="AK53:AK58" si="477">IF(M53="","",(COS(RADIANS((90-$Q$8)-W53))*AD53)+(-SIN(RADIANS((90-$Q$8)-W53))*AE53))</f>
        <v/>
      </c>
      <c r="AL53" s="572" t="str">
        <f t="shared" ref="AL53:AL58" si="478">IF(M53="","",(SIN(RADIANS((90-$Q$8)-W53))*AD53)+(COS(RADIANS((90-$Q$8)-W53))*AE53))</f>
        <v/>
      </c>
      <c r="AM53" s="577" t="str">
        <f t="shared" ref="AM53:AM58" si="479">IF(M53="","",AF53)</f>
        <v/>
      </c>
      <c r="AN53" s="524" t="str">
        <f t="shared" ref="AN53:AN58" si="480">IF(M53="","",DEGREES(ATAN2(-AM53,AL53)))</f>
        <v/>
      </c>
      <c r="AO53" s="525" t="str">
        <f t="shared" si="115"/>
        <v/>
      </c>
      <c r="AP53" s="528" t="str">
        <f t="shared" ref="AP53:AP58" si="481">IF(M53="","",DEGREES(ATAN2(AK53,AL53)))</f>
        <v/>
      </c>
      <c r="AQ53" s="529" t="str">
        <f t="shared" si="272"/>
        <v/>
      </c>
      <c r="AS53" s="946" t="str">
        <f t="shared" si="460"/>
        <v/>
      </c>
      <c r="AT53" s="942" t="str">
        <f t="shared" si="273"/>
        <v/>
      </c>
      <c r="AU53" s="418"/>
      <c r="AV53" s="164" t="str">
        <f t="shared" si="27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5"/>
        <v/>
      </c>
      <c r="BA53" s="296" t="str">
        <f t="shared" si="276"/>
        <v/>
      </c>
      <c r="BB53" s="190" t="str">
        <f t="shared" si="143"/>
        <v/>
      </c>
      <c r="BC53" s="9"/>
      <c r="BD53" s="5" t="str">
        <f t="shared" si="277"/>
        <v/>
      </c>
      <c r="BE53" s="6" t="str">
        <f t="shared" si="278"/>
        <v/>
      </c>
      <c r="BF53" s="4" t="str">
        <f t="shared" si="279"/>
        <v/>
      </c>
      <c r="BG53" s="5" t="str">
        <f t="shared" si="280"/>
        <v/>
      </c>
      <c r="BH53" s="10" t="str">
        <f t="shared" si="281"/>
        <v/>
      </c>
      <c r="BI53" s="9" t="str">
        <f t="shared" si="282"/>
        <v/>
      </c>
      <c r="BJ53" s="5" t="str">
        <f t="shared" si="283"/>
        <v/>
      </c>
      <c r="BK53" s="8" t="str">
        <f t="shared" si="284"/>
        <v/>
      </c>
      <c r="BL53" s="173" t="str">
        <f t="shared" si="285"/>
        <v/>
      </c>
      <c r="BM53" s="5" t="str">
        <f t="shared" si="286"/>
        <v/>
      </c>
      <c r="BN53" s="6" t="str">
        <f t="shared" si="287"/>
        <v/>
      </c>
      <c r="BO53" s="4" t="str">
        <f t="shared" si="288"/>
        <v/>
      </c>
      <c r="BP53" s="5" t="str">
        <f t="shared" si="289"/>
        <v/>
      </c>
      <c r="BQ53" s="5" t="str">
        <f t="shared" si="290"/>
        <v/>
      </c>
      <c r="BR53" s="6" t="str">
        <f t="shared" si="291"/>
        <v/>
      </c>
      <c r="BS53" s="4" t="str">
        <f t="shared" si="457"/>
        <v/>
      </c>
      <c r="BT53" s="5" t="str">
        <f t="shared" si="457"/>
        <v/>
      </c>
      <c r="BU53" s="10" t="str">
        <f t="shared" si="118"/>
        <v/>
      </c>
      <c r="BV53" s="9" t="str">
        <f t="shared" si="119"/>
        <v/>
      </c>
      <c r="BW53" s="5" t="str">
        <f t="shared" si="120"/>
        <v/>
      </c>
      <c r="BX53" s="8" t="str">
        <f t="shared" si="121"/>
        <v/>
      </c>
      <c r="BY53" s="173" t="str">
        <f t="shared" si="122"/>
        <v/>
      </c>
      <c r="BZ53" s="5" t="str">
        <f t="shared" si="123"/>
        <v/>
      </c>
      <c r="CA53" s="6" t="str">
        <f t="shared" si="124"/>
        <v/>
      </c>
      <c r="CB53" s="4" t="str">
        <f t="shared" si="292"/>
        <v/>
      </c>
      <c r="CC53" s="5" t="str">
        <f t="shared" si="293"/>
        <v/>
      </c>
      <c r="CD53" s="5" t="str">
        <f t="shared" si="294"/>
        <v/>
      </c>
      <c r="CE53" s="6" t="str">
        <f t="shared" si="295"/>
        <v/>
      </c>
      <c r="CF53" s="4" t="str">
        <f t="shared" si="296"/>
        <v/>
      </c>
      <c r="CG53" s="5" t="str">
        <f t="shared" si="297"/>
        <v/>
      </c>
      <c r="CH53" s="5" t="str">
        <f t="shared" si="298"/>
        <v/>
      </c>
      <c r="CI53" s="4" t="str">
        <f t="shared" si="125"/>
        <v/>
      </c>
      <c r="CJ53" s="5" t="str">
        <f t="shared" si="299"/>
        <v/>
      </c>
      <c r="CK53" s="8" t="str">
        <f t="shared" si="300"/>
        <v/>
      </c>
      <c r="CL53" s="173" t="str">
        <f t="shared" si="301"/>
        <v/>
      </c>
      <c r="CM53" s="5" t="str">
        <f t="shared" si="302"/>
        <v/>
      </c>
      <c r="CN53" s="6" t="str">
        <f t="shared" si="303"/>
        <v/>
      </c>
      <c r="CO53" s="167" t="str">
        <f t="shared" si="304"/>
        <v/>
      </c>
      <c r="CP53" s="4" t="str">
        <f t="shared" si="305"/>
        <v/>
      </c>
      <c r="CQ53" s="5" t="str">
        <f t="shared" si="306"/>
        <v/>
      </c>
      <c r="CR53" s="5" t="str">
        <f t="shared" si="307"/>
        <v/>
      </c>
      <c r="CS53" s="8" t="str">
        <f t="shared" si="308"/>
        <v/>
      </c>
      <c r="CT53" s="9" t="str">
        <f t="shared" si="159"/>
        <v/>
      </c>
      <c r="CU53" s="6" t="str">
        <f t="shared" si="309"/>
        <v/>
      </c>
      <c r="CV53" s="4" t="str">
        <f t="shared" si="310"/>
        <v/>
      </c>
      <c r="CW53" s="5" t="str">
        <f t="shared" si="311"/>
        <v/>
      </c>
      <c r="CX53" s="8" t="str">
        <f t="shared" si="312"/>
        <v/>
      </c>
      <c r="CY53" s="9" t="str">
        <f t="shared" si="313"/>
        <v/>
      </c>
      <c r="CZ53" s="5" t="str">
        <f t="shared" si="314"/>
        <v/>
      </c>
      <c r="DA53" s="6" t="str">
        <f t="shared" si="315"/>
        <v/>
      </c>
      <c r="DB53" s="4" t="str">
        <f t="shared" si="461"/>
        <v/>
      </c>
      <c r="DC53" s="5" t="str">
        <f t="shared" si="461"/>
        <v/>
      </c>
      <c r="DD53" s="10" t="str">
        <f t="shared" si="167"/>
        <v/>
      </c>
      <c r="DE53" s="9" t="str">
        <f t="shared" si="462"/>
        <v/>
      </c>
      <c r="DF53" s="5" t="str">
        <f t="shared" si="462"/>
        <v/>
      </c>
      <c r="DG53" s="10" t="str">
        <f t="shared" si="169"/>
        <v/>
      </c>
      <c r="DH53" s="70" t="str">
        <f t="shared" si="316"/>
        <v/>
      </c>
      <c r="DI53" s="4" t="str">
        <f t="shared" si="317"/>
        <v/>
      </c>
      <c r="DJ53" s="5" t="str">
        <f t="shared" si="318"/>
        <v/>
      </c>
      <c r="DK53" s="10" t="str">
        <f t="shared" si="319"/>
        <v/>
      </c>
      <c r="DL53" s="9" t="str">
        <f t="shared" si="320"/>
        <v/>
      </c>
      <c r="DM53" s="173" t="str">
        <f t="shared" si="321"/>
        <v/>
      </c>
      <c r="DN53" s="178" t="str">
        <f t="shared" si="322"/>
        <v/>
      </c>
      <c r="DO53" s="9" t="str">
        <f t="shared" si="323"/>
        <v/>
      </c>
      <c r="DP53" s="173" t="str">
        <f t="shared" si="324"/>
        <v/>
      </c>
      <c r="DQ53" s="11" t="str">
        <f t="shared" si="325"/>
        <v/>
      </c>
      <c r="DR53" s="173" t="str">
        <f t="shared" si="326"/>
        <v/>
      </c>
      <c r="DS53" s="5" t="str">
        <f t="shared" si="327"/>
        <v/>
      </c>
      <c r="DT53" s="5" t="str">
        <f t="shared" si="328"/>
        <v/>
      </c>
      <c r="DU53" s="5" t="str">
        <f t="shared" si="329"/>
        <v/>
      </c>
      <c r="DV53" s="5" t="str">
        <f t="shared" si="330"/>
        <v/>
      </c>
      <c r="DW53" s="5" t="str">
        <f t="shared" si="331"/>
        <v/>
      </c>
      <c r="DX53" s="167" t="str">
        <f t="shared" si="332"/>
        <v/>
      </c>
      <c r="DY53" s="9" t="str">
        <f t="shared" si="333"/>
        <v/>
      </c>
      <c r="DZ53" s="5" t="str">
        <f t="shared" si="334"/>
        <v/>
      </c>
      <c r="EA53" s="10" t="str">
        <f t="shared" si="335"/>
        <v/>
      </c>
      <c r="EB53" s="6" t="str">
        <f t="shared" si="336"/>
        <v/>
      </c>
      <c r="EC53" s="173" t="str">
        <f t="shared" si="337"/>
        <v/>
      </c>
      <c r="ED53" s="5" t="str">
        <f t="shared" si="338"/>
        <v/>
      </c>
      <c r="EE53" s="4" t="str">
        <f t="shared" si="339"/>
        <v/>
      </c>
      <c r="EF53" s="5" t="str">
        <f t="shared" si="340"/>
        <v/>
      </c>
      <c r="EG53" s="10" t="str">
        <f t="shared" si="341"/>
        <v/>
      </c>
      <c r="EH53" s="9" t="str">
        <f t="shared" si="342"/>
        <v/>
      </c>
      <c r="EI53" s="5" t="str">
        <f t="shared" si="343"/>
        <v/>
      </c>
      <c r="EJ53" s="6" t="str">
        <f t="shared" si="344"/>
        <v/>
      </c>
      <c r="EK53" s="236" t="str">
        <f t="shared" si="199"/>
        <v/>
      </c>
      <c r="EL53" s="238" t="str">
        <f t="shared" si="200"/>
        <v/>
      </c>
      <c r="EM53" s="4" t="str">
        <f t="shared" si="345"/>
        <v/>
      </c>
      <c r="EN53" s="5" t="str">
        <f t="shared" si="346"/>
        <v/>
      </c>
      <c r="EO53" s="10" t="str">
        <f t="shared" si="347"/>
        <v/>
      </c>
      <c r="EP53" s="9" t="str">
        <f t="shared" si="348"/>
        <v/>
      </c>
      <c r="EQ53" s="5" t="str">
        <f t="shared" si="349"/>
        <v/>
      </c>
      <c r="ER53" s="7" t="str">
        <f t="shared" si="350"/>
        <v/>
      </c>
      <c r="ES53" s="21" t="str">
        <f t="shared" si="351"/>
        <v/>
      </c>
      <c r="ET53" s="5" t="str">
        <f t="shared" si="352"/>
        <v/>
      </c>
      <c r="EU53" s="10" t="str">
        <f t="shared" si="353"/>
        <v/>
      </c>
      <c r="EV53" s="174" t="str">
        <f t="shared" si="354"/>
        <v/>
      </c>
      <c r="EW53" s="9" t="str">
        <f t="shared" si="355"/>
        <v/>
      </c>
      <c r="EX53" s="5" t="str">
        <f t="shared" si="356"/>
        <v/>
      </c>
      <c r="EY53" s="6" t="str">
        <f t="shared" si="357"/>
        <v/>
      </c>
      <c r="EZ53" s="51" t="str">
        <f t="shared" si="208"/>
        <v/>
      </c>
      <c r="FA53" s="266" t="str">
        <f t="shared" si="133"/>
        <v/>
      </c>
      <c r="FB53" s="267" t="str">
        <f t="shared" si="134"/>
        <v/>
      </c>
      <c r="FC53" s="269" t="str">
        <f t="shared" si="46"/>
        <v/>
      </c>
      <c r="FD53" s="4" t="str">
        <f t="shared" si="358"/>
        <v/>
      </c>
      <c r="FE53" s="5" t="str">
        <f t="shared" si="359"/>
        <v/>
      </c>
      <c r="FF53" s="7" t="str">
        <f t="shared" si="360"/>
        <v/>
      </c>
      <c r="FG53" s="173" t="str">
        <f t="shared" si="361"/>
        <v/>
      </c>
      <c r="FH53" s="5" t="str">
        <f t="shared" si="362"/>
        <v/>
      </c>
      <c r="FI53" s="10" t="str">
        <f t="shared" si="363"/>
        <v/>
      </c>
      <c r="FJ53" s="279" t="str">
        <f t="shared" si="364"/>
        <v/>
      </c>
      <c r="FK53" s="4" t="str">
        <f t="shared" si="365"/>
        <v/>
      </c>
      <c r="FL53" s="5" t="str">
        <f t="shared" si="366"/>
        <v/>
      </c>
      <c r="FM53" s="8" t="str">
        <f t="shared" si="367"/>
        <v/>
      </c>
      <c r="FN53" s="9" t="str">
        <f t="shared" si="368"/>
        <v/>
      </c>
      <c r="FO53" s="10" t="str">
        <f t="shared" si="369"/>
        <v/>
      </c>
      <c r="FP53" s="277" t="str">
        <f t="shared" si="370"/>
        <v/>
      </c>
      <c r="FQ53" s="173" t="str">
        <f t="shared" si="371"/>
        <v/>
      </c>
      <c r="FR53" s="10" t="str">
        <f t="shared" si="372"/>
        <v/>
      </c>
      <c r="FS53" s="9" t="str">
        <f t="shared" si="373"/>
        <v/>
      </c>
      <c r="FT53" s="6" t="str">
        <f t="shared" si="374"/>
        <v/>
      </c>
      <c r="FU53" s="4" t="str">
        <f t="shared" si="375"/>
        <v/>
      </c>
      <c r="FV53" s="5" t="str">
        <f t="shared" si="376"/>
        <v/>
      </c>
      <c r="FW53" s="8" t="str">
        <f t="shared" si="377"/>
        <v/>
      </c>
      <c r="FX53" s="9" t="str">
        <f t="shared" si="378"/>
        <v/>
      </c>
      <c r="FY53" s="10" t="str">
        <f t="shared" si="379"/>
        <v/>
      </c>
      <c r="FZ53" s="277" t="str">
        <f t="shared" si="380"/>
        <v/>
      </c>
      <c r="GA53" s="177" t="str">
        <f t="shared" si="381"/>
        <v/>
      </c>
      <c r="GB53" s="4" t="str">
        <f t="shared" si="382"/>
        <v/>
      </c>
      <c r="GC53" s="5" t="str">
        <f t="shared" si="383"/>
        <v/>
      </c>
      <c r="GD53" s="10" t="str">
        <f t="shared" si="384"/>
        <v/>
      </c>
      <c r="GE53" s="311" t="str">
        <f t="shared" si="385"/>
        <v/>
      </c>
      <c r="GF53" s="341" t="str">
        <f t="shared" si="386"/>
        <v/>
      </c>
      <c r="GG53" s="285" t="str">
        <f t="shared" si="387"/>
        <v/>
      </c>
      <c r="GH53" s="286" t="str">
        <f t="shared" si="388"/>
        <v/>
      </c>
      <c r="GI53" s="281" t="str">
        <f t="shared" si="389"/>
        <v/>
      </c>
      <c r="GJ53" s="167" t="str">
        <f t="shared" si="390"/>
        <v/>
      </c>
      <c r="GK53" s="174" t="str">
        <f t="shared" si="57"/>
        <v/>
      </c>
      <c r="GL53" s="174" t="str">
        <f t="shared" si="391"/>
        <v/>
      </c>
      <c r="GM53" s="177" t="str">
        <f t="shared" si="392"/>
        <v/>
      </c>
      <c r="GN53" s="280" t="str">
        <f t="shared" si="393"/>
        <v/>
      </c>
      <c r="GO53" s="4" t="str">
        <f t="shared" si="394"/>
        <v/>
      </c>
      <c r="GP53" s="8" t="str">
        <f t="shared" si="395"/>
        <v/>
      </c>
      <c r="GQ53" s="177" t="str">
        <f t="shared" si="396"/>
        <v/>
      </c>
      <c r="GR53" s="371" t="str">
        <f t="shared" si="397"/>
        <v/>
      </c>
      <c r="GS53" s="342" t="str">
        <f t="shared" si="398"/>
        <v/>
      </c>
      <c r="GT53" s="343" t="str">
        <f t="shared" si="399"/>
        <v/>
      </c>
      <c r="GU53" s="344" t="str">
        <f t="shared" si="61"/>
        <v/>
      </c>
      <c r="GV53" s="343" t="str">
        <f t="shared" si="400"/>
        <v/>
      </c>
      <c r="GW53" s="345" t="str">
        <f t="shared" si="62"/>
        <v/>
      </c>
      <c r="GX53" s="346" t="str">
        <f t="shared" si="63"/>
        <v/>
      </c>
      <c r="GY53" s="344" t="str">
        <f t="shared" si="401"/>
        <v/>
      </c>
      <c r="GZ53" s="345" t="str">
        <f t="shared" si="402"/>
        <v/>
      </c>
      <c r="HA53" s="342" t="str">
        <f t="shared" si="66"/>
        <v/>
      </c>
      <c r="HB53" s="5" t="str">
        <f t="shared" si="230"/>
        <v/>
      </c>
      <c r="HC53" s="343" t="str">
        <f t="shared" si="403"/>
        <v/>
      </c>
      <c r="HD53" s="345" t="str">
        <f t="shared" si="404"/>
        <v/>
      </c>
      <c r="HE53" s="344" t="str">
        <f t="shared" si="67"/>
        <v/>
      </c>
      <c r="HF53" s="5" t="str">
        <f t="shared" si="68"/>
        <v/>
      </c>
      <c r="HG53" s="343" t="str">
        <f t="shared" si="405"/>
        <v/>
      </c>
      <c r="HH53" s="349" t="str">
        <f t="shared" si="406"/>
        <v/>
      </c>
      <c r="HI53" s="317" t="str">
        <f t="shared" si="407"/>
        <v/>
      </c>
      <c r="HJ53" s="336"/>
      <c r="HK53" s="310" t="str">
        <f t="shared" si="458"/>
        <v/>
      </c>
      <c r="HL53" s="348" t="str">
        <f t="shared" si="408"/>
        <v/>
      </c>
      <c r="HM53" s="923" t="str">
        <f t="shared" si="409"/>
        <v/>
      </c>
      <c r="HN53" s="924" t="str">
        <f t="shared" si="410"/>
        <v/>
      </c>
      <c r="HO53" s="925"/>
      <c r="HP53" s="926"/>
      <c r="HQ53" s="924" t="str">
        <f t="shared" si="411"/>
        <v/>
      </c>
      <c r="HR53" s="927" t="str">
        <f t="shared" si="412"/>
        <v/>
      </c>
      <c r="HS53" s="879" t="str">
        <f t="shared" si="459"/>
        <v/>
      </c>
      <c r="HT53" s="889" t="str">
        <f t="shared" si="413"/>
        <v/>
      </c>
      <c r="HU53" s="890" t="str">
        <f t="shared" si="414"/>
        <v/>
      </c>
      <c r="HV53" s="886" t="str">
        <f t="shared" si="415"/>
        <v/>
      </c>
      <c r="HW53" s="880" t="str">
        <f t="shared" si="416"/>
        <v/>
      </c>
      <c r="HX53" s="881" t="str">
        <f t="shared" si="417"/>
        <v/>
      </c>
      <c r="HY53" s="880" t="str">
        <f t="shared" si="418"/>
        <v/>
      </c>
      <c r="HZ53" s="882" t="str">
        <f t="shared" si="419"/>
        <v/>
      </c>
      <c r="IA53" s="883" t="str">
        <f t="shared" si="420"/>
        <v/>
      </c>
      <c r="IB53" s="884" t="str">
        <f t="shared" si="421"/>
        <v/>
      </c>
      <c r="IC53" s="855" t="str">
        <f t="shared" si="422"/>
        <v/>
      </c>
      <c r="ID53" s="351" t="str">
        <f t="shared" si="423"/>
        <v/>
      </c>
      <c r="IE53" s="857" t="str">
        <f t="shared" si="42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35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25"/>
        <v/>
      </c>
      <c r="IM53" s="482" t="str">
        <f t="shared" si="236"/>
        <v/>
      </c>
      <c r="IN53" s="670" t="str">
        <f t="shared" si="426"/>
        <v/>
      </c>
      <c r="IO53" s="702">
        <v>9.0683620346955797E-3</v>
      </c>
      <c r="IP53" s="5" t="str">
        <f t="shared" si="427"/>
        <v/>
      </c>
      <c r="IQ53" s="714">
        <v>250</v>
      </c>
      <c r="IR53" s="9" t="str">
        <f t="shared" si="428"/>
        <v/>
      </c>
      <c r="IS53" s="5" t="str">
        <f t="shared" si="429"/>
        <v/>
      </c>
      <c r="IT53" s="5" t="str">
        <f t="shared" si="430"/>
        <v/>
      </c>
      <c r="IU53" s="5" t="str">
        <f t="shared" si="431"/>
        <v/>
      </c>
      <c r="IV53" s="670" t="str">
        <f t="shared" si="432"/>
        <v/>
      </c>
      <c r="IW53" s="9" t="str">
        <f t="shared" si="433"/>
        <v/>
      </c>
      <c r="IX53" s="5" t="str">
        <f t="shared" si="434"/>
        <v/>
      </c>
      <c r="IY53" s="5" t="str">
        <f t="shared" si="435"/>
        <v/>
      </c>
      <c r="IZ53" s="5" t="str">
        <f t="shared" si="436"/>
        <v/>
      </c>
      <c r="JA53" s="705" t="str">
        <f t="shared" si="437"/>
        <v/>
      </c>
    </row>
    <row r="54" spans="1:261" ht="15" customHeight="1" x14ac:dyDescent="0.25">
      <c r="A54" s="75" t="str">
        <f t="shared" si="254"/>
        <v/>
      </c>
      <c r="B54" s="578" t="str">
        <f t="shared" si="255"/>
        <v/>
      </c>
      <c r="C54" s="572" t="str">
        <f t="shared" si="256"/>
        <v/>
      </c>
      <c r="D54" s="576" t="str">
        <f t="shared" si="257"/>
        <v/>
      </c>
      <c r="E54" s="580" t="str">
        <f t="shared" si="258"/>
        <v/>
      </c>
      <c r="F54" s="572" t="str">
        <f t="shared" si="259"/>
        <v/>
      </c>
      <c r="G54" s="579" t="str">
        <f t="shared" si="260"/>
        <v/>
      </c>
      <c r="H54" s="580" t="str">
        <f t="shared" si="261"/>
        <v/>
      </c>
      <c r="I54" s="572" t="str">
        <f t="shared" si="262"/>
        <v/>
      </c>
      <c r="J54" s="483" t="str">
        <f t="shared" si="263"/>
        <v/>
      </c>
      <c r="K54" s="806" t="str">
        <f t="shared" si="264"/>
        <v/>
      </c>
      <c r="L54" s="309"/>
      <c r="M54" s="164" t="str">
        <f t="shared" si="265"/>
        <v/>
      </c>
      <c r="N54" s="575" t="str">
        <f t="shared" si="266"/>
        <v/>
      </c>
      <c r="O54" s="572" t="str">
        <f t="shared" si="267"/>
        <v/>
      </c>
      <c r="P54" s="576" t="str">
        <f t="shared" si="268"/>
        <v/>
      </c>
      <c r="Q54" s="528" t="str">
        <f t="shared" si="138"/>
        <v/>
      </c>
      <c r="R54" s="572" t="str">
        <f t="shared" si="463"/>
        <v/>
      </c>
      <c r="S54" s="577" t="str">
        <f t="shared" si="464"/>
        <v/>
      </c>
      <c r="T54" s="578" t="str">
        <f t="shared" si="465"/>
        <v/>
      </c>
      <c r="U54" s="572" t="str">
        <f t="shared" si="466"/>
        <v/>
      </c>
      <c r="V54" s="579" t="str">
        <f t="shared" si="467"/>
        <v/>
      </c>
      <c r="W54" s="528" t="str">
        <f t="shared" si="252"/>
        <v/>
      </c>
      <c r="X54" s="572" t="str">
        <f t="shared" si="468"/>
        <v/>
      </c>
      <c r="Y54" s="573" t="str">
        <f t="shared" si="253"/>
        <v/>
      </c>
      <c r="Z54" s="575" t="str">
        <f t="shared" si="269"/>
        <v/>
      </c>
      <c r="AA54" s="572" t="str">
        <f t="shared" si="270"/>
        <v/>
      </c>
      <c r="AB54" s="572" t="str">
        <f t="shared" si="271"/>
        <v/>
      </c>
      <c r="AC54" s="579" t="str">
        <f t="shared" si="469"/>
        <v/>
      </c>
      <c r="AD54" s="580" t="str">
        <f t="shared" si="470"/>
        <v/>
      </c>
      <c r="AE54" s="572" t="str">
        <f t="shared" si="471"/>
        <v/>
      </c>
      <c r="AF54" s="576" t="str">
        <f t="shared" si="472"/>
        <v/>
      </c>
      <c r="AG54" s="545" t="str">
        <f t="shared" si="473"/>
        <v/>
      </c>
      <c r="AH54" s="546" t="str">
        <f t="shared" si="474"/>
        <v/>
      </c>
      <c r="AI54" s="528" t="str">
        <f t="shared" si="475"/>
        <v/>
      </c>
      <c r="AJ54" s="529" t="str">
        <f t="shared" si="476"/>
        <v/>
      </c>
      <c r="AK54" s="578" t="str">
        <f t="shared" si="477"/>
        <v/>
      </c>
      <c r="AL54" s="572" t="str">
        <f t="shared" si="478"/>
        <v/>
      </c>
      <c r="AM54" s="577" t="str">
        <f t="shared" si="479"/>
        <v/>
      </c>
      <c r="AN54" s="524" t="str">
        <f t="shared" si="480"/>
        <v/>
      </c>
      <c r="AO54" s="525" t="str">
        <f t="shared" si="115"/>
        <v/>
      </c>
      <c r="AP54" s="528" t="str">
        <f t="shared" si="481"/>
        <v/>
      </c>
      <c r="AQ54" s="529" t="str">
        <f t="shared" si="272"/>
        <v/>
      </c>
      <c r="AS54" s="946" t="str">
        <f t="shared" si="460"/>
        <v/>
      </c>
      <c r="AT54" s="942" t="str">
        <f t="shared" si="273"/>
        <v/>
      </c>
      <c r="AU54" s="418"/>
      <c r="AV54" s="164" t="str">
        <f t="shared" si="27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2"/>
        <v/>
      </c>
      <c r="BA54" s="296" t="str">
        <f t="shared" si="276"/>
        <v/>
      </c>
      <c r="BB54" s="177" t="str">
        <f t="shared" si="143"/>
        <v/>
      </c>
      <c r="BC54" s="9"/>
      <c r="BD54" s="5" t="str">
        <f t="shared" si="144"/>
        <v/>
      </c>
      <c r="BE54" s="6" t="str">
        <f t="shared" si="278"/>
        <v/>
      </c>
      <c r="BF54" s="4" t="str">
        <f t="shared" si="279"/>
        <v/>
      </c>
      <c r="BG54" s="5" t="str">
        <f t="shared" si="280"/>
        <v/>
      </c>
      <c r="BH54" s="10" t="str">
        <f t="shared" si="281"/>
        <v/>
      </c>
      <c r="BI54" s="9" t="str">
        <f t="shared" si="145"/>
        <v/>
      </c>
      <c r="BJ54" s="5" t="str">
        <f t="shared" si="283"/>
        <v/>
      </c>
      <c r="BK54" s="8" t="str">
        <f t="shared" si="284"/>
        <v/>
      </c>
      <c r="BL54" s="173" t="str">
        <f t="shared" si="285"/>
        <v/>
      </c>
      <c r="BM54" s="5" t="str">
        <f t="shared" si="286"/>
        <v/>
      </c>
      <c r="BN54" s="6" t="str">
        <f t="shared" si="287"/>
        <v/>
      </c>
      <c r="BO54" s="4" t="str">
        <f t="shared" si="146"/>
        <v/>
      </c>
      <c r="BP54" s="5" t="str">
        <f t="shared" si="147"/>
        <v/>
      </c>
      <c r="BQ54" s="5" t="str">
        <f t="shared" si="148"/>
        <v/>
      </c>
      <c r="BR54" s="6" t="str">
        <f t="shared" si="149"/>
        <v/>
      </c>
      <c r="BS54" s="4" t="str">
        <f t="shared" ref="BS54:BT73" si="482">IF(ISNUMBER($AV54),0,"")</f>
        <v/>
      </c>
      <c r="BT54" s="5" t="str">
        <f t="shared" si="482"/>
        <v/>
      </c>
      <c r="BU54" s="10" t="str">
        <f t="shared" si="118"/>
        <v/>
      </c>
      <c r="BV54" s="9" t="str">
        <f t="shared" si="119"/>
        <v/>
      </c>
      <c r="BW54" s="5" t="str">
        <f t="shared" si="120"/>
        <v/>
      </c>
      <c r="BX54" s="8" t="str">
        <f t="shared" si="121"/>
        <v/>
      </c>
      <c r="BY54" s="173" t="str">
        <f t="shared" si="122"/>
        <v/>
      </c>
      <c r="BZ54" s="5" t="str">
        <f t="shared" si="123"/>
        <v/>
      </c>
      <c r="CA54" s="6" t="str">
        <f t="shared" si="124"/>
        <v/>
      </c>
      <c r="CB54" s="4" t="str">
        <f t="shared" si="150"/>
        <v/>
      </c>
      <c r="CC54" s="5" t="str">
        <f t="shared" si="151"/>
        <v/>
      </c>
      <c r="CD54" s="5" t="str">
        <f t="shared" si="152"/>
        <v/>
      </c>
      <c r="CE54" s="6" t="str">
        <f t="shared" si="153"/>
        <v/>
      </c>
      <c r="CF54" s="4" t="str">
        <f t="shared" si="154"/>
        <v/>
      </c>
      <c r="CG54" s="5" t="str">
        <f t="shared" si="155"/>
        <v/>
      </c>
      <c r="CH54" s="5" t="str">
        <f t="shared" si="156"/>
        <v/>
      </c>
      <c r="CI54" s="4" t="str">
        <f t="shared" si="125"/>
        <v/>
      </c>
      <c r="CJ54" s="5" t="str">
        <f t="shared" si="126"/>
        <v/>
      </c>
      <c r="CK54" s="8" t="str">
        <f t="shared" si="127"/>
        <v/>
      </c>
      <c r="CL54" s="173" t="str">
        <f t="shared" si="128"/>
        <v/>
      </c>
      <c r="CM54" s="5" t="str">
        <f t="shared" si="129"/>
        <v/>
      </c>
      <c r="CN54" s="6" t="str">
        <f t="shared" si="130"/>
        <v/>
      </c>
      <c r="CO54" s="167" t="str">
        <f t="shared" si="304"/>
        <v/>
      </c>
      <c r="CP54" s="4" t="str">
        <f t="shared" si="238"/>
        <v/>
      </c>
      <c r="CQ54" s="5" t="str">
        <f t="shared" si="239"/>
        <v/>
      </c>
      <c r="CR54" s="5" t="str">
        <f t="shared" si="157"/>
        <v/>
      </c>
      <c r="CS54" s="8" t="str">
        <f t="shared" si="158"/>
        <v/>
      </c>
      <c r="CT54" s="9" t="str">
        <f t="shared" si="159"/>
        <v/>
      </c>
      <c r="CU54" s="6" t="str">
        <f t="shared" si="160"/>
        <v/>
      </c>
      <c r="CV54" s="4" t="str">
        <f t="shared" si="240"/>
        <v/>
      </c>
      <c r="CW54" s="5" t="str">
        <f t="shared" si="161"/>
        <v/>
      </c>
      <c r="CX54" s="8" t="str">
        <f t="shared" si="162"/>
        <v/>
      </c>
      <c r="CY54" s="9" t="str">
        <f t="shared" si="163"/>
        <v/>
      </c>
      <c r="CZ54" s="5" t="str">
        <f t="shared" si="164"/>
        <v/>
      </c>
      <c r="DA54" s="6" t="str">
        <f t="shared" si="165"/>
        <v/>
      </c>
      <c r="DB54" s="4" t="str">
        <f t="shared" ref="DB54:DC74" si="483">IF(ISNUMBER($AV54),0,"")</f>
        <v/>
      </c>
      <c r="DC54" s="5" t="str">
        <f t="shared" si="483"/>
        <v/>
      </c>
      <c r="DD54" s="10" t="str">
        <f t="shared" si="167"/>
        <v/>
      </c>
      <c r="DE54" s="9" t="str">
        <f t="shared" ref="DE54:DF74" si="484">IF(ISNUMBER($AV54),0,"")</f>
        <v/>
      </c>
      <c r="DF54" s="5" t="str">
        <f t="shared" si="484"/>
        <v/>
      </c>
      <c r="DG54" s="10" t="str">
        <f t="shared" si="169"/>
        <v/>
      </c>
      <c r="DH54" s="70" t="str">
        <f t="shared" si="170"/>
        <v/>
      </c>
      <c r="DI54" s="4" t="str">
        <f t="shared" si="171"/>
        <v/>
      </c>
      <c r="DJ54" s="5" t="str">
        <f t="shared" si="172"/>
        <v/>
      </c>
      <c r="DK54" s="10" t="str">
        <f t="shared" si="173"/>
        <v/>
      </c>
      <c r="DL54" s="9" t="str">
        <f t="shared" si="174"/>
        <v/>
      </c>
      <c r="DM54" s="173" t="str">
        <f t="shared" si="175"/>
        <v/>
      </c>
      <c r="DN54" s="178" t="str">
        <f t="shared" si="176"/>
        <v/>
      </c>
      <c r="DO54" s="9" t="str">
        <f t="shared" si="177"/>
        <v/>
      </c>
      <c r="DP54" s="173" t="str">
        <f t="shared" si="178"/>
        <v/>
      </c>
      <c r="DQ54" s="11" t="str">
        <f t="shared" si="179"/>
        <v/>
      </c>
      <c r="DR54" s="173" t="str">
        <f t="shared" si="180"/>
        <v/>
      </c>
      <c r="DS54" s="5" t="str">
        <f t="shared" si="181"/>
        <v/>
      </c>
      <c r="DT54" s="5" t="str">
        <f t="shared" si="182"/>
        <v/>
      </c>
      <c r="DU54" s="5" t="str">
        <f t="shared" si="183"/>
        <v/>
      </c>
      <c r="DV54" s="5" t="str">
        <f t="shared" si="184"/>
        <v/>
      </c>
      <c r="DW54" s="5" t="str">
        <f t="shared" si="185"/>
        <v/>
      </c>
      <c r="DX54" s="167" t="str">
        <f t="shared" si="186"/>
        <v/>
      </c>
      <c r="DY54" s="9" t="str">
        <f t="shared" si="187"/>
        <v/>
      </c>
      <c r="DZ54" s="5" t="str">
        <f t="shared" si="188"/>
        <v/>
      </c>
      <c r="EA54" s="10" t="str">
        <f t="shared" si="189"/>
        <v/>
      </c>
      <c r="EB54" s="6" t="str">
        <f t="shared" si="190"/>
        <v/>
      </c>
      <c r="EC54" s="173" t="str">
        <f t="shared" si="191"/>
        <v/>
      </c>
      <c r="ED54" s="5" t="str">
        <f t="shared" si="192"/>
        <v/>
      </c>
      <c r="EE54" s="4" t="str">
        <f t="shared" si="193"/>
        <v/>
      </c>
      <c r="EF54" s="5" t="str">
        <f t="shared" si="194"/>
        <v/>
      </c>
      <c r="EG54" s="10" t="str">
        <f t="shared" si="195"/>
        <v/>
      </c>
      <c r="EH54" s="9" t="str">
        <f t="shared" si="196"/>
        <v/>
      </c>
      <c r="EI54" s="5" t="str">
        <f t="shared" si="197"/>
        <v/>
      </c>
      <c r="EJ54" s="6" t="str">
        <f t="shared" si="198"/>
        <v/>
      </c>
      <c r="EK54" s="236" t="str">
        <f t="shared" si="199"/>
        <v/>
      </c>
      <c r="EL54" s="238" t="str">
        <f t="shared" si="200"/>
        <v/>
      </c>
      <c r="EM54" s="4" t="str">
        <f t="shared" si="201"/>
        <v/>
      </c>
      <c r="EN54" s="5" t="str">
        <f t="shared" si="202"/>
        <v/>
      </c>
      <c r="EO54" s="10" t="str">
        <f t="shared" si="203"/>
        <v/>
      </c>
      <c r="EP54" s="9" t="str">
        <f t="shared" si="204"/>
        <v/>
      </c>
      <c r="EQ54" s="5" t="str">
        <f t="shared" si="205"/>
        <v/>
      </c>
      <c r="ER54" s="7" t="str">
        <f t="shared" si="206"/>
        <v/>
      </c>
      <c r="ES54" s="21" t="str">
        <f t="shared" si="351"/>
        <v/>
      </c>
      <c r="ET54" s="5" t="str">
        <f t="shared" si="352"/>
        <v/>
      </c>
      <c r="EU54" s="10" t="str">
        <f t="shared" si="353"/>
        <v/>
      </c>
      <c r="EV54" s="174" t="str">
        <f t="shared" ref="EV54:EV72" si="485">IF(ISNUMBER($AV54),IF(($EV$1-EP54)&lt;0,(360+($EV$1-EP54)),($EV$1-EP54)),"")</f>
        <v/>
      </c>
      <c r="EW54" s="9" t="str">
        <f t="shared" ref="EW54:EW72" si="486">IF(ISNUMBER($AV54),(COS(RADIANS($EV54))*ES54)+(-SIN(RADIANS($EV54))*ET54),"")</f>
        <v/>
      </c>
      <c r="EX54" s="5" t="str">
        <f t="shared" ref="EX54:EX72" si="487">IF(ISNUMBER($AV54),(SIN(RADIANS($EV54))*ES54)+(COS(RADIANS($EV54))*ET54),"")</f>
        <v/>
      </c>
      <c r="EY54" s="6" t="str">
        <f t="shared" si="207"/>
        <v/>
      </c>
      <c r="EZ54" s="51" t="str">
        <f t="shared" si="208"/>
        <v/>
      </c>
      <c r="FA54" s="173" t="str">
        <f t="shared" ref="FA54:FA72" si="488">IF(ISNUMBER($AV54),SIN(RADIANS($EP54))*COS(RADIANS($EZ54)),"")</f>
        <v/>
      </c>
      <c r="FB54" s="5" t="str">
        <f t="shared" ref="FB54:FB72" si="489">IF(ISNUMBER($AV54),-1*COS(RADIANS($EP54))*COS(RADIANS($EZ54)),"")</f>
        <v/>
      </c>
      <c r="FC54" s="6" t="str">
        <f t="shared" ref="FC54:FC72" si="490">IF(ISNUMBER($AV54),-1*SIN(RADIANS($EZ54)),"")</f>
        <v/>
      </c>
      <c r="FD54" s="4" t="str">
        <f t="shared" ref="FD54:FD72" si="491">IF(ISNUMBER($AV54),(COS(RADIANS($EV54))*FA54)+(-SIN(RADIANS($EV54))*FB54),"")</f>
        <v/>
      </c>
      <c r="FE54" s="5" t="str">
        <f t="shared" ref="FE54:FE72" si="492">IF(ISNUMBER($AV54),(SIN(RADIANS($EV54))*FA54)+(COS(RADIANS($EV54))*FB54),"")</f>
        <v/>
      </c>
      <c r="FF54" s="7" t="str">
        <f t="shared" si="209"/>
        <v/>
      </c>
      <c r="FG54" s="173" t="str">
        <f t="shared" ref="FG54:FG72" si="493">IF(ISNUMBER($AV54),EW54-FD54,"")</f>
        <v/>
      </c>
      <c r="FH54" s="5" t="str">
        <f t="shared" ref="FH54:FH72" si="494">IF(ISNUMBER($AV54),EX54-FE54,"")</f>
        <v/>
      </c>
      <c r="FI54" s="10" t="str">
        <f t="shared" ref="FI54:FI72" si="495">IF(ISNUMBER($AV54),EY54-FF54,"")</f>
        <v/>
      </c>
      <c r="FJ54" s="279" t="str">
        <f t="shared" si="211"/>
        <v/>
      </c>
      <c r="FK54" s="4" t="str">
        <f t="shared" ref="FK54:FK72" si="496">IF(ISNUMBER($AV54),SQRT(ES54^2+ET54^2),"")</f>
        <v/>
      </c>
      <c r="FL54" s="5" t="str">
        <f t="shared" si="212"/>
        <v/>
      </c>
      <c r="FM54" s="8" t="str">
        <f t="shared" si="213"/>
        <v/>
      </c>
      <c r="FN54" s="9" t="str">
        <f t="shared" si="214"/>
        <v/>
      </c>
      <c r="FO54" s="10" t="str">
        <f t="shared" ref="FO54:FO72" si="497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8">IF(ISNUMBER($AV54),FN54*FO54,"")</f>
        <v/>
      </c>
      <c r="FQ54" s="173" t="str">
        <f t="shared" si="241"/>
        <v/>
      </c>
      <c r="FR54" s="10" t="str">
        <f t="shared" si="215"/>
        <v/>
      </c>
      <c r="FS54" s="9" t="str">
        <f t="shared" si="216"/>
        <v/>
      </c>
      <c r="FT54" s="6" t="str">
        <f t="shared" si="217"/>
        <v/>
      </c>
      <c r="FU54" s="4" t="str">
        <f t="shared" si="218"/>
        <v/>
      </c>
      <c r="FV54" s="5" t="str">
        <f t="shared" si="219"/>
        <v/>
      </c>
      <c r="FW54" s="8" t="str">
        <f t="shared" si="242"/>
        <v/>
      </c>
      <c r="FX54" s="9" t="str">
        <f t="shared" si="243"/>
        <v/>
      </c>
      <c r="FY54" s="10" t="str">
        <f t="shared" ref="FY54:FY72" si="499">IF(ISNUMBER($AV54),IF(EU54&lt;FC54,1,-1),"")</f>
        <v/>
      </c>
      <c r="FZ54" s="277" t="str">
        <f t="shared" si="244"/>
        <v/>
      </c>
      <c r="GA54" s="177" t="str">
        <f t="shared" si="220"/>
        <v/>
      </c>
      <c r="GB54" s="4" t="str">
        <f t="shared" si="221"/>
        <v/>
      </c>
      <c r="GC54" s="5" t="str">
        <f t="shared" si="222"/>
        <v/>
      </c>
      <c r="GD54" s="10" t="str">
        <f t="shared" si="223"/>
        <v/>
      </c>
      <c r="GE54" s="311" t="str">
        <f t="shared" si="224"/>
        <v/>
      </c>
      <c r="GF54" s="341" t="str">
        <f t="shared" si="245"/>
        <v/>
      </c>
      <c r="GG54" s="285" t="str">
        <f t="shared" ref="GG54:GG72" si="500">IF(ISNUMBER($AV54),ABS(GB54)/(ABS($GB54)+ABS($GC54)+ABS($GD54)),"")</f>
        <v/>
      </c>
      <c r="GH54" s="286" t="str">
        <f t="shared" ref="GH54:GH72" si="501">IF(ISNUMBER($AV54),ABS(GC54)/(ABS($GB54)+ABS($GC54)+ABS($GD54)),"")</f>
        <v/>
      </c>
      <c r="GI54" s="281" t="str">
        <f t="shared" ref="GI54:GI72" si="502">IF(ISNUMBER($AV54),ABS(GD54)/(ABS($GB54)+ABS($GC54)+ABS($GD54)),"")</f>
        <v/>
      </c>
      <c r="GJ54" s="167" t="str">
        <f t="shared" si="225"/>
        <v/>
      </c>
      <c r="GK54" s="174" t="str">
        <f t="shared" ref="GK54:GK72" si="503">IF(ISNUMBER($AV54),SQRT((2*PI()*$GJ54)^2+$AS$5^2)/12,"")</f>
        <v/>
      </c>
      <c r="GL54" s="174" t="str">
        <f t="shared" si="226"/>
        <v/>
      </c>
      <c r="GM54" s="177" t="str">
        <f t="shared" si="246"/>
        <v/>
      </c>
      <c r="GN54" s="280" t="str">
        <f t="shared" si="227"/>
        <v/>
      </c>
      <c r="GO54" s="4" t="str">
        <f t="shared" si="228"/>
        <v/>
      </c>
      <c r="GP54" s="8" t="str">
        <f t="shared" si="247"/>
        <v/>
      </c>
      <c r="GQ54" s="177" t="str">
        <f t="shared" si="229"/>
        <v/>
      </c>
      <c r="GR54" s="371" t="str">
        <f t="shared" si="248"/>
        <v/>
      </c>
      <c r="GS54" s="342" t="str">
        <f t="shared" ref="GS54:GS72" si="504">IF(ISNUMBER($AV54),GU54/GH54*GG54,"")</f>
        <v/>
      </c>
      <c r="GT54" s="343" t="str">
        <f t="shared" ref="GT54:GT72" si="505">IF(ISNUMBER($AV54),GS54/$GK54,"")</f>
        <v/>
      </c>
      <c r="GU54" s="344" t="str">
        <f t="shared" ref="GU54:GU72" si="506">IF(ISNUMBER($AV54),$GV54*$GK54,"")</f>
        <v/>
      </c>
      <c r="GV54" s="343" t="str">
        <f t="shared" si="251"/>
        <v/>
      </c>
      <c r="GW54" s="345" t="str">
        <f t="shared" ref="GW54:GW72" si="507">IF(ISNUMBER($AV54),$GW$2,"")</f>
        <v/>
      </c>
      <c r="GX54" s="346" t="str">
        <f t="shared" ref="GX54:GX72" si="508">IF(ISNUMBER($AV54),($GJ54/12)*$GV54,"")</f>
        <v/>
      </c>
      <c r="GY54" s="344" t="str">
        <f t="shared" ref="GY54:GY72" si="509">IF(ISNUMBER($AV54),GU54/GH54*GI54,"")</f>
        <v/>
      </c>
      <c r="GZ54" s="345" t="str">
        <f t="shared" ref="GZ54:GZ72" si="510">IF(ISNUMBER($AV54),GY54/$GK54,"")</f>
        <v/>
      </c>
      <c r="HA54" s="342" t="str">
        <f t="shared" ref="HA54:HA72" si="511">IF(ISNUMBER($AV54),$FO54*$GS54,"")</f>
        <v/>
      </c>
      <c r="HB54" s="5" t="str">
        <f t="shared" si="230"/>
        <v/>
      </c>
      <c r="HC54" s="343" t="str">
        <f t="shared" si="231"/>
        <v/>
      </c>
      <c r="HD54" s="363" t="str">
        <f t="shared" si="232"/>
        <v/>
      </c>
      <c r="HE54" s="344" t="str">
        <f t="shared" ref="HE54:HE72" si="512">IF(ISNUMBER($AV54),$FY54*$GV54,"")</f>
        <v/>
      </c>
      <c r="HF54" s="5" t="str">
        <f t="shared" ref="HF54:HF72" si="513">IF(ISNUMBER($AV54),IF(($HB54+90)&lt;0,(360+($HB54+90)),($HB54+90)),"")</f>
        <v/>
      </c>
      <c r="HG54" s="343" t="str">
        <f t="shared" si="233"/>
        <v/>
      </c>
      <c r="HH54" s="349" t="str">
        <f t="shared" si="234"/>
        <v/>
      </c>
      <c r="HI54" s="317" t="str">
        <f t="shared" si="407"/>
        <v/>
      </c>
      <c r="HK54" s="310" t="str">
        <f t="shared" si="458"/>
        <v/>
      </c>
      <c r="HL54" s="348" t="str">
        <f t="shared" si="408"/>
        <v/>
      </c>
      <c r="HM54" s="923" t="str">
        <f t="shared" si="409"/>
        <v/>
      </c>
      <c r="HN54" s="924" t="str">
        <f t="shared" si="410"/>
        <v/>
      </c>
      <c r="HO54" s="925"/>
      <c r="HP54" s="926"/>
      <c r="HQ54" s="924" t="str">
        <f t="shared" si="411"/>
        <v/>
      </c>
      <c r="HR54" s="927" t="str">
        <f t="shared" si="412"/>
        <v/>
      </c>
      <c r="HS54" s="879" t="str">
        <f t="shared" si="459"/>
        <v/>
      </c>
      <c r="HT54" s="889" t="str">
        <f t="shared" si="413"/>
        <v/>
      </c>
      <c r="HU54" s="890" t="str">
        <f t="shared" si="414"/>
        <v/>
      </c>
      <c r="HV54" s="886" t="str">
        <f t="shared" si="415"/>
        <v/>
      </c>
      <c r="HW54" s="880" t="str">
        <f t="shared" si="416"/>
        <v/>
      </c>
      <c r="HX54" s="881" t="str">
        <f t="shared" si="417"/>
        <v/>
      </c>
      <c r="HY54" s="880" t="str">
        <f t="shared" si="418"/>
        <v/>
      </c>
      <c r="HZ54" s="882" t="str">
        <f t="shared" si="419"/>
        <v/>
      </c>
      <c r="IA54" s="883" t="str">
        <f t="shared" si="420"/>
        <v/>
      </c>
      <c r="IB54" s="884" t="str">
        <f t="shared" si="421"/>
        <v/>
      </c>
      <c r="IC54" s="855" t="str">
        <f t="shared" si="422"/>
        <v/>
      </c>
      <c r="ID54" s="351" t="str">
        <f t="shared" si="423"/>
        <v/>
      </c>
      <c r="IE54" s="857" t="str">
        <f t="shared" si="42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35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25"/>
        <v/>
      </c>
      <c r="IM54" s="482" t="str">
        <f t="shared" si="236"/>
        <v/>
      </c>
      <c r="IN54" s="670" t="str">
        <f t="shared" si="426"/>
        <v/>
      </c>
      <c r="IO54" s="702">
        <v>8.8113349616647102E-3</v>
      </c>
      <c r="IP54" s="5" t="str">
        <f t="shared" si="427"/>
        <v/>
      </c>
      <c r="IQ54" s="714">
        <v>340</v>
      </c>
      <c r="IR54" s="9" t="str">
        <f t="shared" si="428"/>
        <v/>
      </c>
      <c r="IS54" s="5" t="str">
        <f t="shared" si="429"/>
        <v/>
      </c>
      <c r="IT54" s="5" t="str">
        <f t="shared" si="430"/>
        <v/>
      </c>
      <c r="IU54" s="5" t="str">
        <f t="shared" si="431"/>
        <v/>
      </c>
      <c r="IV54" s="670" t="str">
        <f t="shared" si="432"/>
        <v/>
      </c>
      <c r="IW54" s="9" t="str">
        <f t="shared" si="433"/>
        <v/>
      </c>
      <c r="IX54" s="5" t="str">
        <f t="shared" si="434"/>
        <v/>
      </c>
      <c r="IY54" s="5" t="str">
        <f t="shared" si="435"/>
        <v/>
      </c>
      <c r="IZ54" s="5" t="str">
        <f t="shared" si="436"/>
        <v/>
      </c>
      <c r="JA54" s="705" t="str">
        <f t="shared" si="437"/>
        <v/>
      </c>
    </row>
    <row r="55" spans="1:261" ht="15" customHeight="1" x14ac:dyDescent="0.25">
      <c r="A55" s="75" t="str">
        <f t="shared" si="254"/>
        <v/>
      </c>
      <c r="B55" s="578" t="str">
        <f t="shared" si="255"/>
        <v/>
      </c>
      <c r="C55" s="572" t="str">
        <f t="shared" si="256"/>
        <v/>
      </c>
      <c r="D55" s="576" t="str">
        <f t="shared" si="257"/>
        <v/>
      </c>
      <c r="E55" s="580" t="str">
        <f t="shared" si="258"/>
        <v/>
      </c>
      <c r="F55" s="572" t="str">
        <f t="shared" si="259"/>
        <v/>
      </c>
      <c r="G55" s="579" t="str">
        <f t="shared" si="260"/>
        <v/>
      </c>
      <c r="H55" s="580" t="str">
        <f t="shared" si="261"/>
        <v/>
      </c>
      <c r="I55" s="572" t="str">
        <f t="shared" si="262"/>
        <v/>
      </c>
      <c r="J55" s="483" t="str">
        <f t="shared" si="263"/>
        <v/>
      </c>
      <c r="K55" s="806" t="str">
        <f t="shared" si="264"/>
        <v/>
      </c>
      <c r="L55" s="309"/>
      <c r="M55" s="164" t="str">
        <f t="shared" si="265"/>
        <v/>
      </c>
      <c r="N55" s="575" t="str">
        <f t="shared" si="266"/>
        <v/>
      </c>
      <c r="O55" s="572" t="str">
        <f t="shared" si="267"/>
        <v/>
      </c>
      <c r="P55" s="576" t="str">
        <f t="shared" si="268"/>
        <v/>
      </c>
      <c r="Q55" s="528" t="str">
        <f t="shared" si="138"/>
        <v/>
      </c>
      <c r="R55" s="572" t="str">
        <f t="shared" si="463"/>
        <v/>
      </c>
      <c r="S55" s="577" t="str">
        <f t="shared" si="464"/>
        <v/>
      </c>
      <c r="T55" s="578" t="str">
        <f t="shared" si="465"/>
        <v/>
      </c>
      <c r="U55" s="572" t="str">
        <f t="shared" si="466"/>
        <v/>
      </c>
      <c r="V55" s="579" t="str">
        <f t="shared" si="467"/>
        <v/>
      </c>
      <c r="W55" s="528" t="str">
        <f t="shared" si="252"/>
        <v/>
      </c>
      <c r="X55" s="572" t="str">
        <f t="shared" si="468"/>
        <v/>
      </c>
      <c r="Y55" s="573" t="str">
        <f t="shared" si="253"/>
        <v/>
      </c>
      <c r="Z55" s="575" t="str">
        <f t="shared" si="269"/>
        <v/>
      </c>
      <c r="AA55" s="572" t="str">
        <f t="shared" si="270"/>
        <v/>
      </c>
      <c r="AB55" s="572" t="str">
        <f t="shared" si="271"/>
        <v/>
      </c>
      <c r="AC55" s="579" t="str">
        <f t="shared" si="469"/>
        <v/>
      </c>
      <c r="AD55" s="580" t="str">
        <f t="shared" si="470"/>
        <v/>
      </c>
      <c r="AE55" s="572" t="str">
        <f t="shared" si="471"/>
        <v/>
      </c>
      <c r="AF55" s="576" t="str">
        <f t="shared" si="472"/>
        <v/>
      </c>
      <c r="AG55" s="545" t="str">
        <f t="shared" si="473"/>
        <v/>
      </c>
      <c r="AH55" s="546" t="str">
        <f t="shared" si="474"/>
        <v/>
      </c>
      <c r="AI55" s="528" t="str">
        <f t="shared" si="475"/>
        <v/>
      </c>
      <c r="AJ55" s="529" t="str">
        <f t="shared" si="476"/>
        <v/>
      </c>
      <c r="AK55" s="578" t="str">
        <f t="shared" si="477"/>
        <v/>
      </c>
      <c r="AL55" s="572" t="str">
        <f t="shared" si="478"/>
        <v/>
      </c>
      <c r="AM55" s="577" t="str">
        <f t="shared" si="479"/>
        <v/>
      </c>
      <c r="AN55" s="524" t="str">
        <f t="shared" si="480"/>
        <v/>
      </c>
      <c r="AO55" s="525" t="str">
        <f>IF(ROUND(IF(M55="",0,DEGREES(ACOS(AK55))),4)=90,0,IF(M55="","",DEGREES(ACOS(AK55))))</f>
        <v/>
      </c>
      <c r="AP55" s="528" t="str">
        <f t="shared" si="481"/>
        <v/>
      </c>
      <c r="AQ55" s="529" t="str">
        <f t="shared" si="272"/>
        <v/>
      </c>
      <c r="AS55" s="946" t="str">
        <f t="shared" si="460"/>
        <v/>
      </c>
      <c r="AT55" s="942" t="str">
        <f t="shared" si="273"/>
        <v/>
      </c>
      <c r="AU55" s="418"/>
      <c r="AV55" s="164" t="str">
        <f t="shared" si="27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2"/>
        <v/>
      </c>
      <c r="BA55" s="296" t="str">
        <f t="shared" si="276"/>
        <v/>
      </c>
      <c r="BB55" s="177" t="str">
        <f t="shared" si="143"/>
        <v/>
      </c>
      <c r="BC55" s="9"/>
      <c r="BD55" s="5" t="str">
        <f t="shared" si="144"/>
        <v/>
      </c>
      <c r="BE55" s="6" t="str">
        <f t="shared" si="278"/>
        <v/>
      </c>
      <c r="BF55" s="4" t="str">
        <f t="shared" si="279"/>
        <v/>
      </c>
      <c r="BG55" s="5" t="str">
        <f t="shared" si="280"/>
        <v/>
      </c>
      <c r="BH55" s="10" t="str">
        <f t="shared" si="281"/>
        <v/>
      </c>
      <c r="BI55" s="9" t="str">
        <f t="shared" si="145"/>
        <v/>
      </c>
      <c r="BJ55" s="5" t="str">
        <f t="shared" si="283"/>
        <v/>
      </c>
      <c r="BK55" s="8" t="str">
        <f t="shared" si="284"/>
        <v/>
      </c>
      <c r="BL55" s="173" t="str">
        <f t="shared" si="285"/>
        <v/>
      </c>
      <c r="BM55" s="5" t="str">
        <f t="shared" si="286"/>
        <v/>
      </c>
      <c r="BN55" s="6" t="str">
        <f t="shared" si="287"/>
        <v/>
      </c>
      <c r="BO55" s="4" t="str">
        <f t="shared" si="146"/>
        <v/>
      </c>
      <c r="BP55" s="5" t="str">
        <f t="shared" si="147"/>
        <v/>
      </c>
      <c r="BQ55" s="5" t="str">
        <f t="shared" si="148"/>
        <v/>
      </c>
      <c r="BR55" s="6" t="str">
        <f t="shared" si="149"/>
        <v/>
      </c>
      <c r="BS55" s="4" t="str">
        <f t="shared" si="482"/>
        <v/>
      </c>
      <c r="BT55" s="5" t="str">
        <f t="shared" si="482"/>
        <v/>
      </c>
      <c r="BU55" s="10" t="str">
        <f t="shared" si="118"/>
        <v/>
      </c>
      <c r="BV55" s="9" t="str">
        <f t="shared" si="119"/>
        <v/>
      </c>
      <c r="BW55" s="5" t="str">
        <f t="shared" si="120"/>
        <v/>
      </c>
      <c r="BX55" s="8" t="str">
        <f t="shared" si="121"/>
        <v/>
      </c>
      <c r="BY55" s="173" t="str">
        <f t="shared" si="122"/>
        <v/>
      </c>
      <c r="BZ55" s="5" t="str">
        <f t="shared" si="123"/>
        <v/>
      </c>
      <c r="CA55" s="6" t="str">
        <f t="shared" si="124"/>
        <v/>
      </c>
      <c r="CB55" s="4" t="str">
        <f t="shared" si="150"/>
        <v/>
      </c>
      <c r="CC55" s="5" t="str">
        <f t="shared" si="151"/>
        <v/>
      </c>
      <c r="CD55" s="5" t="str">
        <f t="shared" si="152"/>
        <v/>
      </c>
      <c r="CE55" s="6" t="str">
        <f t="shared" si="153"/>
        <v/>
      </c>
      <c r="CF55" s="4" t="str">
        <f t="shared" si="154"/>
        <v/>
      </c>
      <c r="CG55" s="5" t="str">
        <f t="shared" si="155"/>
        <v/>
      </c>
      <c r="CH55" s="5" t="str">
        <f t="shared" si="156"/>
        <v/>
      </c>
      <c r="CI55" s="4" t="str">
        <f t="shared" si="125"/>
        <v/>
      </c>
      <c r="CJ55" s="5" t="str">
        <f t="shared" si="126"/>
        <v/>
      </c>
      <c r="CK55" s="8" t="str">
        <f t="shared" si="127"/>
        <v/>
      </c>
      <c r="CL55" s="173" t="str">
        <f t="shared" si="128"/>
        <v/>
      </c>
      <c r="CM55" s="5" t="str">
        <f t="shared" si="129"/>
        <v/>
      </c>
      <c r="CN55" s="6" t="str">
        <f t="shared" si="130"/>
        <v/>
      </c>
      <c r="CO55" s="167" t="str">
        <f t="shared" si="304"/>
        <v/>
      </c>
      <c r="CP55" s="4" t="str">
        <f t="shared" si="238"/>
        <v/>
      </c>
      <c r="CQ55" s="5" t="str">
        <f t="shared" si="239"/>
        <v/>
      </c>
      <c r="CR55" s="5" t="str">
        <f t="shared" si="157"/>
        <v/>
      </c>
      <c r="CS55" s="8" t="str">
        <f t="shared" si="158"/>
        <v/>
      </c>
      <c r="CT55" s="9" t="str">
        <f t="shared" si="159"/>
        <v/>
      </c>
      <c r="CU55" s="6" t="str">
        <f t="shared" si="160"/>
        <v/>
      </c>
      <c r="CV55" s="4" t="str">
        <f t="shared" si="240"/>
        <v/>
      </c>
      <c r="CW55" s="5" t="str">
        <f t="shared" si="161"/>
        <v/>
      </c>
      <c r="CX55" s="8" t="str">
        <f t="shared" si="162"/>
        <v/>
      </c>
      <c r="CY55" s="9" t="str">
        <f t="shared" si="163"/>
        <v/>
      </c>
      <c r="CZ55" s="5" t="str">
        <f t="shared" si="164"/>
        <v/>
      </c>
      <c r="DA55" s="6" t="str">
        <f t="shared" si="165"/>
        <v/>
      </c>
      <c r="DB55" s="4" t="str">
        <f t="shared" si="483"/>
        <v/>
      </c>
      <c r="DC55" s="5" t="str">
        <f t="shared" si="483"/>
        <v/>
      </c>
      <c r="DD55" s="10" t="str">
        <f t="shared" si="167"/>
        <v/>
      </c>
      <c r="DE55" s="9" t="str">
        <f t="shared" si="484"/>
        <v/>
      </c>
      <c r="DF55" s="5" t="str">
        <f t="shared" si="484"/>
        <v/>
      </c>
      <c r="DG55" s="10" t="str">
        <f t="shared" si="169"/>
        <v/>
      </c>
      <c r="DH55" s="70" t="str">
        <f t="shared" si="170"/>
        <v/>
      </c>
      <c r="DI55" s="4" t="str">
        <f t="shared" si="171"/>
        <v/>
      </c>
      <c r="DJ55" s="5" t="str">
        <f t="shared" si="172"/>
        <v/>
      </c>
      <c r="DK55" s="10" t="str">
        <f t="shared" si="173"/>
        <v/>
      </c>
      <c r="DL55" s="9" t="str">
        <f t="shared" si="174"/>
        <v/>
      </c>
      <c r="DM55" s="173" t="str">
        <f t="shared" si="175"/>
        <v/>
      </c>
      <c r="DN55" s="178" t="str">
        <f t="shared" si="176"/>
        <v/>
      </c>
      <c r="DO55" s="9" t="str">
        <f t="shared" si="177"/>
        <v/>
      </c>
      <c r="DP55" s="173" t="str">
        <f t="shared" si="178"/>
        <v/>
      </c>
      <c r="DQ55" s="11" t="str">
        <f t="shared" si="179"/>
        <v/>
      </c>
      <c r="DR55" s="173" t="str">
        <f t="shared" si="180"/>
        <v/>
      </c>
      <c r="DS55" s="5" t="str">
        <f t="shared" si="181"/>
        <v/>
      </c>
      <c r="DT55" s="5" t="str">
        <f t="shared" si="182"/>
        <v/>
      </c>
      <c r="DU55" s="5" t="str">
        <f t="shared" si="183"/>
        <v/>
      </c>
      <c r="DV55" s="5" t="str">
        <f t="shared" si="184"/>
        <v/>
      </c>
      <c r="DW55" s="5" t="str">
        <f t="shared" si="185"/>
        <v/>
      </c>
      <c r="DX55" s="167" t="str">
        <f t="shared" si="186"/>
        <v/>
      </c>
      <c r="DY55" s="9" t="str">
        <f t="shared" si="187"/>
        <v/>
      </c>
      <c r="DZ55" s="5" t="str">
        <f t="shared" si="188"/>
        <v/>
      </c>
      <c r="EA55" s="10" t="str">
        <f t="shared" si="189"/>
        <v/>
      </c>
      <c r="EB55" s="6" t="str">
        <f t="shared" si="190"/>
        <v/>
      </c>
      <c r="EC55" s="173" t="str">
        <f t="shared" si="191"/>
        <v/>
      </c>
      <c r="ED55" s="5" t="str">
        <f t="shared" si="192"/>
        <v/>
      </c>
      <c r="EE55" s="4" t="str">
        <f t="shared" si="193"/>
        <v/>
      </c>
      <c r="EF55" s="5" t="str">
        <f t="shared" si="194"/>
        <v/>
      </c>
      <c r="EG55" s="10" t="str">
        <f t="shared" si="195"/>
        <v/>
      </c>
      <c r="EH55" s="9" t="str">
        <f t="shared" si="196"/>
        <v/>
      </c>
      <c r="EI55" s="5" t="str">
        <f t="shared" si="197"/>
        <v/>
      </c>
      <c r="EJ55" s="6" t="str">
        <f t="shared" si="198"/>
        <v/>
      </c>
      <c r="EK55" s="236" t="str">
        <f t="shared" si="199"/>
        <v/>
      </c>
      <c r="EL55" s="238" t="str">
        <f t="shared" si="200"/>
        <v/>
      </c>
      <c r="EM55" s="4" t="str">
        <f t="shared" si="201"/>
        <v/>
      </c>
      <c r="EN55" s="5" t="str">
        <f t="shared" si="202"/>
        <v/>
      </c>
      <c r="EO55" s="10" t="str">
        <f t="shared" si="203"/>
        <v/>
      </c>
      <c r="EP55" s="9" t="str">
        <f t="shared" si="204"/>
        <v/>
      </c>
      <c r="EQ55" s="5" t="str">
        <f t="shared" si="205"/>
        <v/>
      </c>
      <c r="ER55" s="7" t="str">
        <f t="shared" si="206"/>
        <v/>
      </c>
      <c r="ES55" s="21" t="str">
        <f t="shared" si="351"/>
        <v/>
      </c>
      <c r="ET55" s="5" t="str">
        <f t="shared" si="352"/>
        <v/>
      </c>
      <c r="EU55" s="10" t="str">
        <f t="shared" si="353"/>
        <v/>
      </c>
      <c r="EV55" s="174" t="str">
        <f t="shared" si="485"/>
        <v/>
      </c>
      <c r="EW55" s="9" t="str">
        <f t="shared" si="486"/>
        <v/>
      </c>
      <c r="EX55" s="5" t="str">
        <f t="shared" si="487"/>
        <v/>
      </c>
      <c r="EY55" s="6" t="str">
        <f t="shared" si="207"/>
        <v/>
      </c>
      <c r="EZ55" s="51" t="str">
        <f t="shared" si="208"/>
        <v/>
      </c>
      <c r="FA55" s="173" t="str">
        <f t="shared" si="488"/>
        <v/>
      </c>
      <c r="FB55" s="5" t="str">
        <f t="shared" si="489"/>
        <v/>
      </c>
      <c r="FC55" s="6" t="str">
        <f t="shared" si="490"/>
        <v/>
      </c>
      <c r="FD55" s="4" t="str">
        <f t="shared" si="491"/>
        <v/>
      </c>
      <c r="FE55" s="5" t="str">
        <f t="shared" si="492"/>
        <v/>
      </c>
      <c r="FF55" s="7" t="str">
        <f t="shared" si="209"/>
        <v/>
      </c>
      <c r="FG55" s="173" t="str">
        <f t="shared" si="493"/>
        <v/>
      </c>
      <c r="FH55" s="5" t="str">
        <f t="shared" si="494"/>
        <v/>
      </c>
      <c r="FI55" s="10" t="str">
        <f t="shared" si="495"/>
        <v/>
      </c>
      <c r="FJ55" s="279" t="str">
        <f t="shared" si="211"/>
        <v/>
      </c>
      <c r="FK55" s="4" t="str">
        <f t="shared" si="496"/>
        <v/>
      </c>
      <c r="FL55" s="5" t="str">
        <f t="shared" si="212"/>
        <v/>
      </c>
      <c r="FM55" s="8" t="str">
        <f t="shared" si="213"/>
        <v/>
      </c>
      <c r="FN55" s="9" t="str">
        <f t="shared" si="214"/>
        <v/>
      </c>
      <c r="FO55" s="10" t="str">
        <f t="shared" si="497"/>
        <v/>
      </c>
      <c r="FP55" s="277" t="str">
        <f t="shared" si="498"/>
        <v/>
      </c>
      <c r="FQ55" s="173" t="str">
        <f t="shared" si="241"/>
        <v/>
      </c>
      <c r="FR55" s="10" t="str">
        <f t="shared" si="215"/>
        <v/>
      </c>
      <c r="FS55" s="9" t="str">
        <f t="shared" si="216"/>
        <v/>
      </c>
      <c r="FT55" s="6" t="str">
        <f t="shared" si="217"/>
        <v/>
      </c>
      <c r="FU55" s="4" t="str">
        <f t="shared" si="218"/>
        <v/>
      </c>
      <c r="FV55" s="5" t="str">
        <f t="shared" si="219"/>
        <v/>
      </c>
      <c r="FW55" s="8" t="str">
        <f t="shared" si="242"/>
        <v/>
      </c>
      <c r="FX55" s="9" t="str">
        <f t="shared" si="243"/>
        <v/>
      </c>
      <c r="FY55" s="10" t="str">
        <f t="shared" si="499"/>
        <v/>
      </c>
      <c r="FZ55" s="277" t="str">
        <f t="shared" si="244"/>
        <v/>
      </c>
      <c r="GA55" s="177" t="str">
        <f t="shared" si="220"/>
        <v/>
      </c>
      <c r="GB55" s="4" t="str">
        <f t="shared" si="221"/>
        <v/>
      </c>
      <c r="GC55" s="5" t="str">
        <f t="shared" si="222"/>
        <v/>
      </c>
      <c r="GD55" s="10" t="str">
        <f t="shared" si="223"/>
        <v/>
      </c>
      <c r="GE55" s="311" t="str">
        <f t="shared" si="224"/>
        <v/>
      </c>
      <c r="GF55" s="341" t="str">
        <f t="shared" si="245"/>
        <v/>
      </c>
      <c r="GG55" s="285" t="str">
        <f t="shared" si="500"/>
        <v/>
      </c>
      <c r="GH55" s="286" t="str">
        <f t="shared" si="501"/>
        <v/>
      </c>
      <c r="GI55" s="281" t="str">
        <f t="shared" si="502"/>
        <v/>
      </c>
      <c r="GJ55" s="167" t="str">
        <f t="shared" si="225"/>
        <v/>
      </c>
      <c r="GK55" s="174" t="str">
        <f t="shared" si="503"/>
        <v/>
      </c>
      <c r="GL55" s="174" t="str">
        <f t="shared" si="226"/>
        <v/>
      </c>
      <c r="GM55" s="177" t="str">
        <f t="shared" si="246"/>
        <v/>
      </c>
      <c r="GN55" s="280" t="str">
        <f t="shared" si="227"/>
        <v/>
      </c>
      <c r="GO55" s="4" t="str">
        <f t="shared" si="228"/>
        <v/>
      </c>
      <c r="GP55" s="8" t="str">
        <f t="shared" si="247"/>
        <v/>
      </c>
      <c r="GQ55" s="177" t="str">
        <f t="shared" si="229"/>
        <v/>
      </c>
      <c r="GR55" s="371" t="str">
        <f t="shared" si="248"/>
        <v/>
      </c>
      <c r="GS55" s="342" t="str">
        <f t="shared" si="504"/>
        <v/>
      </c>
      <c r="GT55" s="343" t="str">
        <f t="shared" si="505"/>
        <v/>
      </c>
      <c r="GU55" s="344" t="str">
        <f t="shared" si="506"/>
        <v/>
      </c>
      <c r="GV55" s="343" t="str">
        <f t="shared" si="251"/>
        <v/>
      </c>
      <c r="GW55" s="345" t="str">
        <f t="shared" si="507"/>
        <v/>
      </c>
      <c r="GX55" s="346" t="str">
        <f t="shared" si="508"/>
        <v/>
      </c>
      <c r="GY55" s="344" t="str">
        <f t="shared" si="509"/>
        <v/>
      </c>
      <c r="GZ55" s="345" t="str">
        <f t="shared" si="510"/>
        <v/>
      </c>
      <c r="HA55" s="342" t="str">
        <f t="shared" si="511"/>
        <v/>
      </c>
      <c r="HB55" s="5" t="str">
        <f t="shared" si="230"/>
        <v/>
      </c>
      <c r="HC55" s="343" t="str">
        <f t="shared" si="231"/>
        <v/>
      </c>
      <c r="HD55" s="363" t="str">
        <f t="shared" si="232"/>
        <v/>
      </c>
      <c r="HE55" s="344" t="str">
        <f t="shared" si="512"/>
        <v/>
      </c>
      <c r="HF55" s="5" t="str">
        <f t="shared" si="513"/>
        <v/>
      </c>
      <c r="HG55" s="343" t="str">
        <f t="shared" si="233"/>
        <v/>
      </c>
      <c r="HH55" s="349" t="str">
        <f t="shared" si="234"/>
        <v/>
      </c>
      <c r="HI55" s="317" t="str">
        <f t="shared" si="407"/>
        <v/>
      </c>
      <c r="HK55" s="310" t="str">
        <f t="shared" si="458"/>
        <v/>
      </c>
      <c r="HL55" s="348" t="str">
        <f t="shared" si="408"/>
        <v/>
      </c>
      <c r="HM55" s="923" t="str">
        <f t="shared" si="409"/>
        <v/>
      </c>
      <c r="HN55" s="924" t="str">
        <f t="shared" si="410"/>
        <v/>
      </c>
      <c r="HO55" s="925"/>
      <c r="HP55" s="926"/>
      <c r="HQ55" s="924" t="str">
        <f t="shared" si="411"/>
        <v/>
      </c>
      <c r="HR55" s="927" t="str">
        <f t="shared" si="412"/>
        <v/>
      </c>
      <c r="HS55" s="879" t="str">
        <f t="shared" si="459"/>
        <v/>
      </c>
      <c r="HT55" s="889" t="str">
        <f t="shared" si="413"/>
        <v/>
      </c>
      <c r="HU55" s="890" t="str">
        <f t="shared" si="414"/>
        <v/>
      </c>
      <c r="HV55" s="886" t="str">
        <f t="shared" si="415"/>
        <v/>
      </c>
      <c r="HW55" s="880" t="str">
        <f t="shared" si="416"/>
        <v/>
      </c>
      <c r="HX55" s="881" t="str">
        <f t="shared" si="417"/>
        <v/>
      </c>
      <c r="HY55" s="880" t="str">
        <f t="shared" si="418"/>
        <v/>
      </c>
      <c r="HZ55" s="882" t="str">
        <f t="shared" si="419"/>
        <v/>
      </c>
      <c r="IA55" s="883" t="str">
        <f t="shared" si="420"/>
        <v/>
      </c>
      <c r="IB55" s="884" t="str">
        <f t="shared" si="421"/>
        <v/>
      </c>
      <c r="IC55" s="855" t="str">
        <f t="shared" si="422"/>
        <v/>
      </c>
      <c r="ID55" s="351" t="str">
        <f t="shared" si="423"/>
        <v/>
      </c>
      <c r="IE55" s="857" t="str">
        <f t="shared" si="42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35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25"/>
        <v/>
      </c>
      <c r="IM55" s="482" t="str">
        <f t="shared" si="236"/>
        <v/>
      </c>
      <c r="IN55" s="670" t="str">
        <f t="shared" si="426"/>
        <v/>
      </c>
      <c r="IO55" s="702">
        <v>8.6773344048739608E-3</v>
      </c>
      <c r="IP55" s="5" t="str">
        <f t="shared" si="427"/>
        <v/>
      </c>
      <c r="IQ55" s="714">
        <v>340</v>
      </c>
      <c r="IR55" s="9" t="str">
        <f t="shared" si="428"/>
        <v/>
      </c>
      <c r="IS55" s="5" t="str">
        <f t="shared" si="429"/>
        <v/>
      </c>
      <c r="IT55" s="5" t="str">
        <f t="shared" si="430"/>
        <v/>
      </c>
      <c r="IU55" s="5" t="str">
        <f t="shared" si="431"/>
        <v/>
      </c>
      <c r="IV55" s="670" t="str">
        <f t="shared" si="432"/>
        <v/>
      </c>
      <c r="IW55" s="9" t="str">
        <f t="shared" si="433"/>
        <v/>
      </c>
      <c r="IX55" s="5" t="str">
        <f t="shared" si="434"/>
        <v/>
      </c>
      <c r="IY55" s="5" t="str">
        <f t="shared" si="435"/>
        <v/>
      </c>
      <c r="IZ55" s="5" t="str">
        <f t="shared" si="436"/>
        <v/>
      </c>
      <c r="JA55" s="705" t="str">
        <f t="shared" si="437"/>
        <v/>
      </c>
    </row>
    <row r="56" spans="1:261" ht="15" customHeight="1" x14ac:dyDescent="0.25">
      <c r="A56" s="75" t="str">
        <f t="shared" si="254"/>
        <v/>
      </c>
      <c r="B56" s="578" t="str">
        <f t="shared" si="255"/>
        <v/>
      </c>
      <c r="C56" s="572" t="str">
        <f t="shared" si="256"/>
        <v/>
      </c>
      <c r="D56" s="576" t="str">
        <f t="shared" si="257"/>
        <v/>
      </c>
      <c r="E56" s="580" t="str">
        <f t="shared" si="258"/>
        <v/>
      </c>
      <c r="F56" s="572" t="str">
        <f t="shared" si="259"/>
        <v/>
      </c>
      <c r="G56" s="579" t="str">
        <f t="shared" si="260"/>
        <v/>
      </c>
      <c r="H56" s="580" t="str">
        <f t="shared" si="261"/>
        <v/>
      </c>
      <c r="I56" s="572" t="str">
        <f t="shared" si="262"/>
        <v/>
      </c>
      <c r="J56" s="483" t="str">
        <f t="shared" si="263"/>
        <v/>
      </c>
      <c r="K56" s="806" t="str">
        <f t="shared" si="264"/>
        <v/>
      </c>
      <c r="L56" s="309"/>
      <c r="M56" s="164" t="str">
        <f t="shared" si="265"/>
        <v/>
      </c>
      <c r="N56" s="575" t="str">
        <f t="shared" si="266"/>
        <v/>
      </c>
      <c r="O56" s="572" t="str">
        <f t="shared" si="267"/>
        <v/>
      </c>
      <c r="P56" s="576" t="str">
        <f t="shared" si="268"/>
        <v/>
      </c>
      <c r="Q56" s="528" t="str">
        <f t="shared" si="138"/>
        <v/>
      </c>
      <c r="R56" s="572" t="str">
        <f t="shared" si="463"/>
        <v/>
      </c>
      <c r="S56" s="577" t="str">
        <f t="shared" si="464"/>
        <v/>
      </c>
      <c r="T56" s="578" t="str">
        <f t="shared" si="465"/>
        <v/>
      </c>
      <c r="U56" s="572" t="str">
        <f t="shared" si="466"/>
        <v/>
      </c>
      <c r="V56" s="579" t="str">
        <f t="shared" si="467"/>
        <v/>
      </c>
      <c r="W56" s="528" t="str">
        <f t="shared" si="252"/>
        <v/>
      </c>
      <c r="X56" s="572" t="str">
        <f t="shared" si="468"/>
        <v/>
      </c>
      <c r="Y56" s="573" t="str">
        <f t="shared" si="253"/>
        <v/>
      </c>
      <c r="Z56" s="575" t="str">
        <f t="shared" si="269"/>
        <v/>
      </c>
      <c r="AA56" s="572" t="str">
        <f t="shared" si="270"/>
        <v/>
      </c>
      <c r="AB56" s="572" t="str">
        <f t="shared" si="271"/>
        <v/>
      </c>
      <c r="AC56" s="579" t="str">
        <f t="shared" si="469"/>
        <v/>
      </c>
      <c r="AD56" s="580" t="str">
        <f t="shared" si="470"/>
        <v/>
      </c>
      <c r="AE56" s="572" t="str">
        <f t="shared" si="471"/>
        <v/>
      </c>
      <c r="AF56" s="576" t="str">
        <f t="shared" si="472"/>
        <v/>
      </c>
      <c r="AG56" s="545" t="str">
        <f t="shared" si="473"/>
        <v/>
      </c>
      <c r="AH56" s="546" t="str">
        <f t="shared" si="474"/>
        <v/>
      </c>
      <c r="AI56" s="528" t="str">
        <f t="shared" si="475"/>
        <v/>
      </c>
      <c r="AJ56" s="529" t="str">
        <f t="shared" si="476"/>
        <v/>
      </c>
      <c r="AK56" s="578" t="str">
        <f t="shared" si="477"/>
        <v/>
      </c>
      <c r="AL56" s="572" t="str">
        <f t="shared" si="478"/>
        <v/>
      </c>
      <c r="AM56" s="577" t="str">
        <f t="shared" si="479"/>
        <v/>
      </c>
      <c r="AN56" s="524" t="str">
        <f t="shared" si="480"/>
        <v/>
      </c>
      <c r="AO56" s="525" t="str">
        <f t="shared" ref="AO56:AO119" si="514">IF(ROUND(IF(M56="",0,DEGREES(ACOS(AK56))),4)=90,0,IF(M56="","",DEGREES(ACOS(AK56))))</f>
        <v/>
      </c>
      <c r="AP56" s="528" t="str">
        <f t="shared" si="481"/>
        <v/>
      </c>
      <c r="AQ56" s="529" t="str">
        <f t="shared" si="272"/>
        <v/>
      </c>
      <c r="AS56" s="946" t="str">
        <f t="shared" si="460"/>
        <v/>
      </c>
      <c r="AT56" s="942" t="str">
        <f t="shared" si="273"/>
        <v/>
      </c>
      <c r="AU56" s="418"/>
      <c r="AV56" s="164" t="str">
        <f t="shared" si="27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2"/>
        <v/>
      </c>
      <c r="BA56" s="296" t="str">
        <f t="shared" si="276"/>
        <v/>
      </c>
      <c r="BB56" s="177" t="str">
        <f t="shared" si="143"/>
        <v/>
      </c>
      <c r="BC56" s="9"/>
      <c r="BD56" s="5" t="str">
        <f t="shared" si="144"/>
        <v/>
      </c>
      <c r="BE56" s="6" t="str">
        <f t="shared" si="278"/>
        <v/>
      </c>
      <c r="BF56" s="4" t="str">
        <f t="shared" si="279"/>
        <v/>
      </c>
      <c r="BG56" s="5" t="str">
        <f t="shared" si="280"/>
        <v/>
      </c>
      <c r="BH56" s="10" t="str">
        <f t="shared" si="281"/>
        <v/>
      </c>
      <c r="BI56" s="9" t="str">
        <f t="shared" si="145"/>
        <v/>
      </c>
      <c r="BJ56" s="5" t="str">
        <f t="shared" si="283"/>
        <v/>
      </c>
      <c r="BK56" s="8" t="str">
        <f t="shared" si="284"/>
        <v/>
      </c>
      <c r="BL56" s="173" t="str">
        <f t="shared" si="285"/>
        <v/>
      </c>
      <c r="BM56" s="5" t="str">
        <f t="shared" si="286"/>
        <v/>
      </c>
      <c r="BN56" s="6" t="str">
        <f t="shared" si="287"/>
        <v/>
      </c>
      <c r="BO56" s="4" t="str">
        <f t="shared" si="146"/>
        <v/>
      </c>
      <c r="BP56" s="5" t="str">
        <f t="shared" si="147"/>
        <v/>
      </c>
      <c r="BQ56" s="5" t="str">
        <f t="shared" si="148"/>
        <v/>
      </c>
      <c r="BR56" s="6" t="str">
        <f t="shared" si="149"/>
        <v/>
      </c>
      <c r="BS56" s="4" t="str">
        <f t="shared" si="482"/>
        <v/>
      </c>
      <c r="BT56" s="5" t="str">
        <f t="shared" si="482"/>
        <v/>
      </c>
      <c r="BU56" s="10" t="str">
        <f t="shared" si="118"/>
        <v/>
      </c>
      <c r="BV56" s="9" t="str">
        <f t="shared" si="119"/>
        <v/>
      </c>
      <c r="BW56" s="5" t="str">
        <f t="shared" si="120"/>
        <v/>
      </c>
      <c r="BX56" s="8" t="str">
        <f t="shared" si="121"/>
        <v/>
      </c>
      <c r="BY56" s="173" t="str">
        <f t="shared" si="122"/>
        <v/>
      </c>
      <c r="BZ56" s="5" t="str">
        <f t="shared" si="123"/>
        <v/>
      </c>
      <c r="CA56" s="6" t="str">
        <f t="shared" si="124"/>
        <v/>
      </c>
      <c r="CB56" s="4" t="str">
        <f t="shared" si="150"/>
        <v/>
      </c>
      <c r="CC56" s="5" t="str">
        <f t="shared" si="151"/>
        <v/>
      </c>
      <c r="CD56" s="5" t="str">
        <f t="shared" si="152"/>
        <v/>
      </c>
      <c r="CE56" s="6" t="str">
        <f t="shared" si="153"/>
        <v/>
      </c>
      <c r="CF56" s="4" t="str">
        <f t="shared" si="154"/>
        <v/>
      </c>
      <c r="CG56" s="5" t="str">
        <f t="shared" si="155"/>
        <v/>
      </c>
      <c r="CH56" s="5" t="str">
        <f t="shared" si="156"/>
        <v/>
      </c>
      <c r="CI56" s="4" t="str">
        <f t="shared" si="125"/>
        <v/>
      </c>
      <c r="CJ56" s="5" t="str">
        <f t="shared" si="126"/>
        <v/>
      </c>
      <c r="CK56" s="8" t="str">
        <f t="shared" si="127"/>
        <v/>
      </c>
      <c r="CL56" s="173" t="str">
        <f t="shared" si="128"/>
        <v/>
      </c>
      <c r="CM56" s="5" t="str">
        <f t="shared" si="129"/>
        <v/>
      </c>
      <c r="CN56" s="6" t="str">
        <f t="shared" si="130"/>
        <v/>
      </c>
      <c r="CO56" s="167" t="str">
        <f t="shared" si="304"/>
        <v/>
      </c>
      <c r="CP56" s="4" t="str">
        <f t="shared" si="238"/>
        <v/>
      </c>
      <c r="CQ56" s="5" t="str">
        <f t="shared" si="239"/>
        <v/>
      </c>
      <c r="CR56" s="5" t="str">
        <f t="shared" si="157"/>
        <v/>
      </c>
      <c r="CS56" s="8" t="str">
        <f t="shared" si="158"/>
        <v/>
      </c>
      <c r="CT56" s="9" t="str">
        <f t="shared" si="159"/>
        <v/>
      </c>
      <c r="CU56" s="6" t="str">
        <f t="shared" si="160"/>
        <v/>
      </c>
      <c r="CV56" s="4" t="str">
        <f t="shared" si="240"/>
        <v/>
      </c>
      <c r="CW56" s="5" t="str">
        <f t="shared" si="161"/>
        <v/>
      </c>
      <c r="CX56" s="8" t="str">
        <f t="shared" si="162"/>
        <v/>
      </c>
      <c r="CY56" s="9" t="str">
        <f t="shared" si="163"/>
        <v/>
      </c>
      <c r="CZ56" s="5" t="str">
        <f t="shared" si="164"/>
        <v/>
      </c>
      <c r="DA56" s="6" t="str">
        <f t="shared" si="165"/>
        <v/>
      </c>
      <c r="DB56" s="4" t="str">
        <f t="shared" si="483"/>
        <v/>
      </c>
      <c r="DC56" s="5" t="str">
        <f t="shared" si="483"/>
        <v/>
      </c>
      <c r="DD56" s="10" t="str">
        <f t="shared" si="167"/>
        <v/>
      </c>
      <c r="DE56" s="9" t="str">
        <f t="shared" si="484"/>
        <v/>
      </c>
      <c r="DF56" s="5" t="str">
        <f t="shared" si="484"/>
        <v/>
      </c>
      <c r="DG56" s="10" t="str">
        <f t="shared" si="169"/>
        <v/>
      </c>
      <c r="DH56" s="70" t="str">
        <f t="shared" si="170"/>
        <v/>
      </c>
      <c r="DI56" s="4" t="str">
        <f t="shared" si="171"/>
        <v/>
      </c>
      <c r="DJ56" s="5" t="str">
        <f t="shared" si="172"/>
        <v/>
      </c>
      <c r="DK56" s="10" t="str">
        <f t="shared" si="173"/>
        <v/>
      </c>
      <c r="DL56" s="9" t="str">
        <f t="shared" si="174"/>
        <v/>
      </c>
      <c r="DM56" s="173" t="str">
        <f t="shared" si="175"/>
        <v/>
      </c>
      <c r="DN56" s="178" t="str">
        <f t="shared" si="176"/>
        <v/>
      </c>
      <c r="DO56" s="9" t="str">
        <f t="shared" si="177"/>
        <v/>
      </c>
      <c r="DP56" s="173" t="str">
        <f t="shared" si="178"/>
        <v/>
      </c>
      <c r="DQ56" s="11" t="str">
        <f t="shared" si="179"/>
        <v/>
      </c>
      <c r="DR56" s="173" t="str">
        <f t="shared" si="180"/>
        <v/>
      </c>
      <c r="DS56" s="5" t="str">
        <f t="shared" si="181"/>
        <v/>
      </c>
      <c r="DT56" s="5" t="str">
        <f t="shared" si="182"/>
        <v/>
      </c>
      <c r="DU56" s="5" t="str">
        <f t="shared" si="183"/>
        <v/>
      </c>
      <c r="DV56" s="5" t="str">
        <f t="shared" si="184"/>
        <v/>
      </c>
      <c r="DW56" s="5" t="str">
        <f t="shared" si="185"/>
        <v/>
      </c>
      <c r="DX56" s="167" t="str">
        <f t="shared" si="186"/>
        <v/>
      </c>
      <c r="DY56" s="9" t="str">
        <f t="shared" si="187"/>
        <v/>
      </c>
      <c r="DZ56" s="5" t="str">
        <f t="shared" si="188"/>
        <v/>
      </c>
      <c r="EA56" s="10" t="str">
        <f t="shared" si="189"/>
        <v/>
      </c>
      <c r="EB56" s="6" t="str">
        <f t="shared" si="190"/>
        <v/>
      </c>
      <c r="EC56" s="173" t="str">
        <f t="shared" si="191"/>
        <v/>
      </c>
      <c r="ED56" s="5" t="str">
        <f t="shared" si="192"/>
        <v/>
      </c>
      <c r="EE56" s="4" t="str">
        <f t="shared" si="193"/>
        <v/>
      </c>
      <c r="EF56" s="5" t="str">
        <f t="shared" si="194"/>
        <v/>
      </c>
      <c r="EG56" s="10" t="str">
        <f t="shared" si="195"/>
        <v/>
      </c>
      <c r="EH56" s="9" t="str">
        <f t="shared" si="196"/>
        <v/>
      </c>
      <c r="EI56" s="5" t="str">
        <f t="shared" si="197"/>
        <v/>
      </c>
      <c r="EJ56" s="6" t="str">
        <f t="shared" si="198"/>
        <v/>
      </c>
      <c r="EK56" s="236" t="str">
        <f t="shared" si="199"/>
        <v/>
      </c>
      <c r="EL56" s="238" t="str">
        <f t="shared" si="200"/>
        <v/>
      </c>
      <c r="EM56" s="4" t="str">
        <f t="shared" si="201"/>
        <v/>
      </c>
      <c r="EN56" s="5" t="str">
        <f t="shared" si="202"/>
        <v/>
      </c>
      <c r="EO56" s="10" t="str">
        <f t="shared" si="203"/>
        <v/>
      </c>
      <c r="EP56" s="9" t="str">
        <f t="shared" si="204"/>
        <v/>
      </c>
      <c r="EQ56" s="5" t="str">
        <f t="shared" si="205"/>
        <v/>
      </c>
      <c r="ER56" s="7" t="str">
        <f t="shared" si="206"/>
        <v/>
      </c>
      <c r="ES56" s="21" t="str">
        <f t="shared" si="351"/>
        <v/>
      </c>
      <c r="ET56" s="5" t="str">
        <f t="shared" si="352"/>
        <v/>
      </c>
      <c r="EU56" s="10" t="str">
        <f t="shared" si="353"/>
        <v/>
      </c>
      <c r="EV56" s="174" t="str">
        <f t="shared" si="485"/>
        <v/>
      </c>
      <c r="EW56" s="9" t="str">
        <f t="shared" si="486"/>
        <v/>
      </c>
      <c r="EX56" s="5" t="str">
        <f t="shared" si="487"/>
        <v/>
      </c>
      <c r="EY56" s="6" t="str">
        <f t="shared" si="207"/>
        <v/>
      </c>
      <c r="EZ56" s="51" t="str">
        <f t="shared" si="208"/>
        <v/>
      </c>
      <c r="FA56" s="173" t="str">
        <f t="shared" si="488"/>
        <v/>
      </c>
      <c r="FB56" s="5" t="str">
        <f t="shared" si="489"/>
        <v/>
      </c>
      <c r="FC56" s="6" t="str">
        <f t="shared" si="490"/>
        <v/>
      </c>
      <c r="FD56" s="4" t="str">
        <f t="shared" si="491"/>
        <v/>
      </c>
      <c r="FE56" s="5" t="str">
        <f t="shared" si="492"/>
        <v/>
      </c>
      <c r="FF56" s="7" t="str">
        <f t="shared" si="209"/>
        <v/>
      </c>
      <c r="FG56" s="173" t="str">
        <f t="shared" si="493"/>
        <v/>
      </c>
      <c r="FH56" s="5" t="str">
        <f t="shared" si="494"/>
        <v/>
      </c>
      <c r="FI56" s="10" t="str">
        <f t="shared" si="495"/>
        <v/>
      </c>
      <c r="FJ56" s="279" t="str">
        <f t="shared" si="211"/>
        <v/>
      </c>
      <c r="FK56" s="4" t="str">
        <f t="shared" si="496"/>
        <v/>
      </c>
      <c r="FL56" s="5" t="str">
        <f t="shared" si="212"/>
        <v/>
      </c>
      <c r="FM56" s="8" t="str">
        <f t="shared" si="213"/>
        <v/>
      </c>
      <c r="FN56" s="9" t="str">
        <f t="shared" si="214"/>
        <v/>
      </c>
      <c r="FO56" s="10" t="str">
        <f t="shared" si="497"/>
        <v/>
      </c>
      <c r="FP56" s="277" t="str">
        <f t="shared" si="498"/>
        <v/>
      </c>
      <c r="FQ56" s="173" t="str">
        <f t="shared" si="241"/>
        <v/>
      </c>
      <c r="FR56" s="10" t="str">
        <f t="shared" si="215"/>
        <v/>
      </c>
      <c r="FS56" s="9" t="str">
        <f t="shared" si="216"/>
        <v/>
      </c>
      <c r="FT56" s="6" t="str">
        <f t="shared" si="217"/>
        <v/>
      </c>
      <c r="FU56" s="4" t="str">
        <f t="shared" si="218"/>
        <v/>
      </c>
      <c r="FV56" s="5" t="str">
        <f t="shared" si="219"/>
        <v/>
      </c>
      <c r="FW56" s="8" t="str">
        <f t="shared" si="242"/>
        <v/>
      </c>
      <c r="FX56" s="9" t="str">
        <f t="shared" si="243"/>
        <v/>
      </c>
      <c r="FY56" s="10" t="str">
        <f t="shared" si="499"/>
        <v/>
      </c>
      <c r="FZ56" s="277" t="str">
        <f t="shared" si="244"/>
        <v/>
      </c>
      <c r="GA56" s="177" t="str">
        <f t="shared" si="220"/>
        <v/>
      </c>
      <c r="GB56" s="4" t="str">
        <f t="shared" si="221"/>
        <v/>
      </c>
      <c r="GC56" s="5" t="str">
        <f t="shared" si="222"/>
        <v/>
      </c>
      <c r="GD56" s="10" t="str">
        <f t="shared" si="223"/>
        <v/>
      </c>
      <c r="GE56" s="311" t="str">
        <f t="shared" si="224"/>
        <v/>
      </c>
      <c r="GF56" s="341" t="str">
        <f t="shared" si="245"/>
        <v/>
      </c>
      <c r="GG56" s="285" t="str">
        <f t="shared" si="500"/>
        <v/>
      </c>
      <c r="GH56" s="286" t="str">
        <f t="shared" si="501"/>
        <v/>
      </c>
      <c r="GI56" s="281" t="str">
        <f t="shared" si="502"/>
        <v/>
      </c>
      <c r="GJ56" s="167" t="str">
        <f t="shared" si="225"/>
        <v/>
      </c>
      <c r="GK56" s="174" t="str">
        <f t="shared" si="503"/>
        <v/>
      </c>
      <c r="GL56" s="174" t="str">
        <f t="shared" si="226"/>
        <v/>
      </c>
      <c r="GM56" s="177" t="str">
        <f t="shared" si="246"/>
        <v/>
      </c>
      <c r="GN56" s="280" t="str">
        <f t="shared" si="227"/>
        <v/>
      </c>
      <c r="GO56" s="4" t="str">
        <f t="shared" si="228"/>
        <v/>
      </c>
      <c r="GP56" s="8" t="str">
        <f t="shared" si="247"/>
        <v/>
      </c>
      <c r="GQ56" s="177" t="str">
        <f t="shared" si="229"/>
        <v/>
      </c>
      <c r="GR56" s="371" t="str">
        <f t="shared" si="248"/>
        <v/>
      </c>
      <c r="GS56" s="342" t="str">
        <f t="shared" si="504"/>
        <v/>
      </c>
      <c r="GT56" s="343" t="str">
        <f t="shared" si="505"/>
        <v/>
      </c>
      <c r="GU56" s="344" t="str">
        <f t="shared" si="506"/>
        <v/>
      </c>
      <c r="GV56" s="343" t="str">
        <f t="shared" si="251"/>
        <v/>
      </c>
      <c r="GW56" s="345" t="str">
        <f t="shared" si="507"/>
        <v/>
      </c>
      <c r="GX56" s="346" t="str">
        <f t="shared" si="508"/>
        <v/>
      </c>
      <c r="GY56" s="344" t="str">
        <f t="shared" si="509"/>
        <v/>
      </c>
      <c r="GZ56" s="345" t="str">
        <f t="shared" si="510"/>
        <v/>
      </c>
      <c r="HA56" s="342" t="str">
        <f t="shared" si="511"/>
        <v/>
      </c>
      <c r="HB56" s="5" t="str">
        <f t="shared" si="230"/>
        <v/>
      </c>
      <c r="HC56" s="343" t="str">
        <f t="shared" si="231"/>
        <v/>
      </c>
      <c r="HD56" s="363" t="str">
        <f t="shared" si="232"/>
        <v/>
      </c>
      <c r="HE56" s="344" t="str">
        <f t="shared" si="512"/>
        <v/>
      </c>
      <c r="HF56" s="5" t="str">
        <f t="shared" si="513"/>
        <v/>
      </c>
      <c r="HG56" s="343" t="str">
        <f t="shared" si="233"/>
        <v/>
      </c>
      <c r="HH56" s="349" t="str">
        <f t="shared" si="234"/>
        <v/>
      </c>
      <c r="HI56" s="317" t="str">
        <f t="shared" si="407"/>
        <v/>
      </c>
      <c r="HK56" s="310" t="str">
        <f t="shared" si="458"/>
        <v/>
      </c>
      <c r="HL56" s="348" t="str">
        <f t="shared" si="408"/>
        <v/>
      </c>
      <c r="HM56" s="923" t="str">
        <f t="shared" si="409"/>
        <v/>
      </c>
      <c r="HN56" s="924" t="str">
        <f t="shared" si="410"/>
        <v/>
      </c>
      <c r="HO56" s="925"/>
      <c r="HP56" s="926"/>
      <c r="HQ56" s="924" t="str">
        <f t="shared" si="411"/>
        <v/>
      </c>
      <c r="HR56" s="927" t="str">
        <f t="shared" si="412"/>
        <v/>
      </c>
      <c r="HS56" s="879" t="str">
        <f t="shared" si="459"/>
        <v/>
      </c>
      <c r="HT56" s="889" t="str">
        <f t="shared" si="413"/>
        <v/>
      </c>
      <c r="HU56" s="890" t="str">
        <f t="shared" si="414"/>
        <v/>
      </c>
      <c r="HV56" s="886" t="str">
        <f t="shared" si="415"/>
        <v/>
      </c>
      <c r="HW56" s="880" t="str">
        <f t="shared" si="416"/>
        <v/>
      </c>
      <c r="HX56" s="881" t="str">
        <f t="shared" si="417"/>
        <v/>
      </c>
      <c r="HY56" s="880" t="str">
        <f t="shared" si="418"/>
        <v/>
      </c>
      <c r="HZ56" s="882" t="str">
        <f t="shared" si="419"/>
        <v/>
      </c>
      <c r="IA56" s="883" t="str">
        <f t="shared" si="420"/>
        <v/>
      </c>
      <c r="IB56" s="884" t="str">
        <f t="shared" si="421"/>
        <v/>
      </c>
      <c r="IC56" s="855" t="str">
        <f t="shared" si="422"/>
        <v/>
      </c>
      <c r="ID56" s="351" t="str">
        <f t="shared" si="423"/>
        <v/>
      </c>
      <c r="IE56" s="857" t="str">
        <f t="shared" si="42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35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25"/>
        <v/>
      </c>
      <c r="IM56" s="482" t="str">
        <f t="shared" si="236"/>
        <v/>
      </c>
      <c r="IN56" s="670" t="str">
        <f t="shared" si="426"/>
        <v/>
      </c>
      <c r="IO56" s="702"/>
      <c r="IP56" s="5" t="str">
        <f t="shared" si="427"/>
        <v/>
      </c>
      <c r="IQ56" s="714"/>
      <c r="IR56" s="9" t="str">
        <f t="shared" si="428"/>
        <v/>
      </c>
      <c r="IS56" s="5" t="str">
        <f t="shared" si="429"/>
        <v/>
      </c>
      <c r="IT56" s="5" t="str">
        <f t="shared" si="430"/>
        <v/>
      </c>
      <c r="IU56" s="5" t="str">
        <f t="shared" si="431"/>
        <v/>
      </c>
      <c r="IV56" s="670" t="str">
        <f t="shared" si="432"/>
        <v/>
      </c>
      <c r="IW56" s="9" t="str">
        <f t="shared" si="433"/>
        <v/>
      </c>
      <c r="IX56" s="5" t="str">
        <f t="shared" si="434"/>
        <v/>
      </c>
      <c r="IY56" s="5" t="str">
        <f t="shared" si="435"/>
        <v/>
      </c>
      <c r="IZ56" s="5" t="str">
        <f t="shared" si="436"/>
        <v/>
      </c>
      <c r="JA56" s="705" t="str">
        <f t="shared" si="437"/>
        <v/>
      </c>
    </row>
    <row r="57" spans="1:261" ht="15" customHeight="1" x14ac:dyDescent="0.25">
      <c r="A57" s="75" t="str">
        <f t="shared" si="254"/>
        <v/>
      </c>
      <c r="B57" s="578" t="str">
        <f t="shared" si="255"/>
        <v/>
      </c>
      <c r="C57" s="572" t="str">
        <f t="shared" si="256"/>
        <v/>
      </c>
      <c r="D57" s="576" t="str">
        <f t="shared" si="257"/>
        <v/>
      </c>
      <c r="E57" s="580" t="str">
        <f t="shared" si="258"/>
        <v/>
      </c>
      <c r="F57" s="572" t="str">
        <f t="shared" si="259"/>
        <v/>
      </c>
      <c r="G57" s="579" t="str">
        <f t="shared" si="260"/>
        <v/>
      </c>
      <c r="H57" s="580" t="str">
        <f t="shared" si="261"/>
        <v/>
      </c>
      <c r="I57" s="572" t="str">
        <f t="shared" si="262"/>
        <v/>
      </c>
      <c r="J57" s="483" t="str">
        <f t="shared" si="263"/>
        <v/>
      </c>
      <c r="K57" s="806" t="str">
        <f t="shared" si="264"/>
        <v/>
      </c>
      <c r="L57" s="309"/>
      <c r="M57" s="164" t="str">
        <f t="shared" si="265"/>
        <v/>
      </c>
      <c r="N57" s="575" t="str">
        <f t="shared" si="266"/>
        <v/>
      </c>
      <c r="O57" s="572" t="str">
        <f t="shared" si="267"/>
        <v/>
      </c>
      <c r="P57" s="576" t="str">
        <f t="shared" si="268"/>
        <v/>
      </c>
      <c r="Q57" s="528" t="str">
        <f t="shared" si="138"/>
        <v/>
      </c>
      <c r="R57" s="572" t="str">
        <f t="shared" si="463"/>
        <v/>
      </c>
      <c r="S57" s="577" t="str">
        <f t="shared" si="464"/>
        <v/>
      </c>
      <c r="T57" s="578" t="str">
        <f t="shared" si="465"/>
        <v/>
      </c>
      <c r="U57" s="572" t="str">
        <f t="shared" si="466"/>
        <v/>
      </c>
      <c r="V57" s="579" t="str">
        <f t="shared" si="467"/>
        <v/>
      </c>
      <c r="W57" s="528" t="str">
        <f t="shared" si="252"/>
        <v/>
      </c>
      <c r="X57" s="572" t="str">
        <f t="shared" si="468"/>
        <v/>
      </c>
      <c r="Y57" s="573" t="str">
        <f t="shared" si="253"/>
        <v/>
      </c>
      <c r="Z57" s="575" t="str">
        <f t="shared" si="269"/>
        <v/>
      </c>
      <c r="AA57" s="572" t="str">
        <f t="shared" si="270"/>
        <v/>
      </c>
      <c r="AB57" s="572" t="str">
        <f t="shared" si="271"/>
        <v/>
      </c>
      <c r="AC57" s="579" t="str">
        <f t="shared" si="469"/>
        <v/>
      </c>
      <c r="AD57" s="580" t="str">
        <f t="shared" si="470"/>
        <v/>
      </c>
      <c r="AE57" s="572" t="str">
        <f t="shared" si="471"/>
        <v/>
      </c>
      <c r="AF57" s="576" t="str">
        <f t="shared" si="472"/>
        <v/>
      </c>
      <c r="AG57" s="545" t="str">
        <f t="shared" si="473"/>
        <v/>
      </c>
      <c r="AH57" s="546" t="str">
        <f t="shared" si="474"/>
        <v/>
      </c>
      <c r="AI57" s="528" t="str">
        <f t="shared" si="475"/>
        <v/>
      </c>
      <c r="AJ57" s="529" t="str">
        <f t="shared" si="476"/>
        <v/>
      </c>
      <c r="AK57" s="578" t="str">
        <f t="shared" si="477"/>
        <v/>
      </c>
      <c r="AL57" s="572" t="str">
        <f t="shared" si="478"/>
        <v/>
      </c>
      <c r="AM57" s="577" t="str">
        <f t="shared" si="479"/>
        <v/>
      </c>
      <c r="AN57" s="524" t="str">
        <f t="shared" si="480"/>
        <v/>
      </c>
      <c r="AO57" s="525" t="str">
        <f t="shared" si="514"/>
        <v/>
      </c>
      <c r="AP57" s="528" t="str">
        <f t="shared" si="481"/>
        <v/>
      </c>
      <c r="AQ57" s="529" t="str">
        <f t="shared" si="272"/>
        <v/>
      </c>
      <c r="AS57" s="946" t="str">
        <f t="shared" si="460"/>
        <v/>
      </c>
      <c r="AT57" s="942" t="str">
        <f t="shared" si="273"/>
        <v/>
      </c>
      <c r="AU57" s="418"/>
      <c r="AV57" s="164" t="str">
        <f t="shared" si="27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2"/>
        <v/>
      </c>
      <c r="BA57" s="296" t="str">
        <f t="shared" si="276"/>
        <v/>
      </c>
      <c r="BB57" s="177" t="str">
        <f t="shared" si="143"/>
        <v/>
      </c>
      <c r="BC57" s="9"/>
      <c r="BD57" s="5" t="str">
        <f t="shared" si="144"/>
        <v/>
      </c>
      <c r="BE57" s="6" t="str">
        <f t="shared" si="278"/>
        <v/>
      </c>
      <c r="BF57" s="4" t="str">
        <f t="shared" si="279"/>
        <v/>
      </c>
      <c r="BG57" s="5" t="str">
        <f t="shared" si="280"/>
        <v/>
      </c>
      <c r="BH57" s="10" t="str">
        <f t="shared" si="281"/>
        <v/>
      </c>
      <c r="BI57" s="9" t="str">
        <f t="shared" si="145"/>
        <v/>
      </c>
      <c r="BJ57" s="5" t="str">
        <f t="shared" si="283"/>
        <v/>
      </c>
      <c r="BK57" s="8" t="str">
        <f t="shared" si="284"/>
        <v/>
      </c>
      <c r="BL57" s="173" t="str">
        <f t="shared" si="285"/>
        <v/>
      </c>
      <c r="BM57" s="5" t="str">
        <f t="shared" si="286"/>
        <v/>
      </c>
      <c r="BN57" s="6" t="str">
        <f t="shared" si="287"/>
        <v/>
      </c>
      <c r="BO57" s="4" t="str">
        <f t="shared" si="146"/>
        <v/>
      </c>
      <c r="BP57" s="5" t="str">
        <f t="shared" si="147"/>
        <v/>
      </c>
      <c r="BQ57" s="5" t="str">
        <f t="shared" si="148"/>
        <v/>
      </c>
      <c r="BR57" s="6" t="str">
        <f t="shared" si="149"/>
        <v/>
      </c>
      <c r="BS57" s="4" t="str">
        <f t="shared" si="482"/>
        <v/>
      </c>
      <c r="BT57" s="5" t="str">
        <f t="shared" si="482"/>
        <v/>
      </c>
      <c r="BU57" s="10" t="str">
        <f t="shared" si="118"/>
        <v/>
      </c>
      <c r="BV57" s="9" t="str">
        <f t="shared" si="119"/>
        <v/>
      </c>
      <c r="BW57" s="5" t="str">
        <f t="shared" si="120"/>
        <v/>
      </c>
      <c r="BX57" s="8" t="str">
        <f t="shared" si="121"/>
        <v/>
      </c>
      <c r="BY57" s="173" t="str">
        <f t="shared" si="122"/>
        <v/>
      </c>
      <c r="BZ57" s="5" t="str">
        <f t="shared" si="123"/>
        <v/>
      </c>
      <c r="CA57" s="6" t="str">
        <f t="shared" si="124"/>
        <v/>
      </c>
      <c r="CB57" s="4" t="str">
        <f t="shared" si="150"/>
        <v/>
      </c>
      <c r="CC57" s="5" t="str">
        <f t="shared" si="151"/>
        <v/>
      </c>
      <c r="CD57" s="5" t="str">
        <f t="shared" si="152"/>
        <v/>
      </c>
      <c r="CE57" s="6" t="str">
        <f t="shared" si="153"/>
        <v/>
      </c>
      <c r="CF57" s="4" t="str">
        <f t="shared" si="154"/>
        <v/>
      </c>
      <c r="CG57" s="5" t="str">
        <f t="shared" si="155"/>
        <v/>
      </c>
      <c r="CH57" s="5" t="str">
        <f t="shared" si="156"/>
        <v/>
      </c>
      <c r="CI57" s="4" t="str">
        <f t="shared" si="125"/>
        <v/>
      </c>
      <c r="CJ57" s="5" t="str">
        <f t="shared" si="126"/>
        <v/>
      </c>
      <c r="CK57" s="8" t="str">
        <f t="shared" si="127"/>
        <v/>
      </c>
      <c r="CL57" s="173" t="str">
        <f t="shared" si="128"/>
        <v/>
      </c>
      <c r="CM57" s="5" t="str">
        <f t="shared" si="129"/>
        <v/>
      </c>
      <c r="CN57" s="6" t="str">
        <f t="shared" si="130"/>
        <v/>
      </c>
      <c r="CO57" s="167" t="str">
        <f t="shared" si="304"/>
        <v/>
      </c>
      <c r="CP57" s="4" t="str">
        <f t="shared" si="238"/>
        <v/>
      </c>
      <c r="CQ57" s="5" t="str">
        <f t="shared" si="239"/>
        <v/>
      </c>
      <c r="CR57" s="5" t="str">
        <f t="shared" si="157"/>
        <v/>
      </c>
      <c r="CS57" s="8" t="str">
        <f t="shared" si="158"/>
        <v/>
      </c>
      <c r="CT57" s="9" t="str">
        <f t="shared" si="159"/>
        <v/>
      </c>
      <c r="CU57" s="6" t="str">
        <f t="shared" si="160"/>
        <v/>
      </c>
      <c r="CV57" s="4" t="str">
        <f t="shared" si="240"/>
        <v/>
      </c>
      <c r="CW57" s="5" t="str">
        <f t="shared" si="161"/>
        <v/>
      </c>
      <c r="CX57" s="8" t="str">
        <f t="shared" si="162"/>
        <v/>
      </c>
      <c r="CY57" s="9" t="str">
        <f t="shared" si="163"/>
        <v/>
      </c>
      <c r="CZ57" s="5" t="str">
        <f t="shared" si="164"/>
        <v/>
      </c>
      <c r="DA57" s="6" t="str">
        <f t="shared" si="165"/>
        <v/>
      </c>
      <c r="DB57" s="4" t="str">
        <f t="shared" si="483"/>
        <v/>
      </c>
      <c r="DC57" s="5" t="str">
        <f t="shared" si="483"/>
        <v/>
      </c>
      <c r="DD57" s="10" t="str">
        <f t="shared" si="167"/>
        <v/>
      </c>
      <c r="DE57" s="9" t="str">
        <f t="shared" si="484"/>
        <v/>
      </c>
      <c r="DF57" s="5" t="str">
        <f t="shared" si="484"/>
        <v/>
      </c>
      <c r="DG57" s="10" t="str">
        <f t="shared" si="169"/>
        <v/>
      </c>
      <c r="DH57" s="70" t="str">
        <f t="shared" si="170"/>
        <v/>
      </c>
      <c r="DI57" s="4" t="str">
        <f t="shared" si="171"/>
        <v/>
      </c>
      <c r="DJ57" s="5" t="str">
        <f t="shared" si="172"/>
        <v/>
      </c>
      <c r="DK57" s="10" t="str">
        <f t="shared" si="173"/>
        <v/>
      </c>
      <c r="DL57" s="9" t="str">
        <f t="shared" si="174"/>
        <v/>
      </c>
      <c r="DM57" s="173" t="str">
        <f t="shared" si="175"/>
        <v/>
      </c>
      <c r="DN57" s="178" t="str">
        <f t="shared" si="176"/>
        <v/>
      </c>
      <c r="DO57" s="9" t="str">
        <f t="shared" si="177"/>
        <v/>
      </c>
      <c r="DP57" s="173" t="str">
        <f t="shared" si="178"/>
        <v/>
      </c>
      <c r="DQ57" s="11" t="str">
        <f t="shared" si="179"/>
        <v/>
      </c>
      <c r="DR57" s="173" t="str">
        <f t="shared" si="180"/>
        <v/>
      </c>
      <c r="DS57" s="5" t="str">
        <f t="shared" si="181"/>
        <v/>
      </c>
      <c r="DT57" s="5" t="str">
        <f t="shared" si="182"/>
        <v/>
      </c>
      <c r="DU57" s="5" t="str">
        <f t="shared" si="183"/>
        <v/>
      </c>
      <c r="DV57" s="5" t="str">
        <f t="shared" si="184"/>
        <v/>
      </c>
      <c r="DW57" s="5" t="str">
        <f t="shared" si="185"/>
        <v/>
      </c>
      <c r="DX57" s="167" t="str">
        <f t="shared" si="186"/>
        <v/>
      </c>
      <c r="DY57" s="9" t="str">
        <f t="shared" si="187"/>
        <v/>
      </c>
      <c r="DZ57" s="5" t="str">
        <f t="shared" si="188"/>
        <v/>
      </c>
      <c r="EA57" s="10" t="str">
        <f t="shared" si="189"/>
        <v/>
      </c>
      <c r="EB57" s="6" t="str">
        <f t="shared" si="190"/>
        <v/>
      </c>
      <c r="EC57" s="173" t="str">
        <f t="shared" si="191"/>
        <v/>
      </c>
      <c r="ED57" s="5" t="str">
        <f t="shared" si="192"/>
        <v/>
      </c>
      <c r="EE57" s="4" t="str">
        <f t="shared" si="193"/>
        <v/>
      </c>
      <c r="EF57" s="5" t="str">
        <f t="shared" si="194"/>
        <v/>
      </c>
      <c r="EG57" s="10" t="str">
        <f t="shared" si="195"/>
        <v/>
      </c>
      <c r="EH57" s="9" t="str">
        <f t="shared" si="196"/>
        <v/>
      </c>
      <c r="EI57" s="5" t="str">
        <f t="shared" si="197"/>
        <v/>
      </c>
      <c r="EJ57" s="6" t="str">
        <f t="shared" si="198"/>
        <v/>
      </c>
      <c r="EK57" s="236" t="str">
        <f t="shared" si="199"/>
        <v/>
      </c>
      <c r="EL57" s="238" t="str">
        <f t="shared" si="200"/>
        <v/>
      </c>
      <c r="EM57" s="4" t="str">
        <f t="shared" si="201"/>
        <v/>
      </c>
      <c r="EN57" s="5" t="str">
        <f t="shared" si="202"/>
        <v/>
      </c>
      <c r="EO57" s="10" t="str">
        <f t="shared" si="203"/>
        <v/>
      </c>
      <c r="EP57" s="9" t="str">
        <f t="shared" si="204"/>
        <v/>
      </c>
      <c r="EQ57" s="5" t="str">
        <f t="shared" si="205"/>
        <v/>
      </c>
      <c r="ER57" s="7" t="str">
        <f t="shared" si="206"/>
        <v/>
      </c>
      <c r="ES57" s="21" t="str">
        <f t="shared" si="351"/>
        <v/>
      </c>
      <c r="ET57" s="5" t="str">
        <f t="shared" si="352"/>
        <v/>
      </c>
      <c r="EU57" s="10" t="str">
        <f t="shared" si="353"/>
        <v/>
      </c>
      <c r="EV57" s="174" t="str">
        <f t="shared" si="485"/>
        <v/>
      </c>
      <c r="EW57" s="9" t="str">
        <f t="shared" si="486"/>
        <v/>
      </c>
      <c r="EX57" s="5" t="str">
        <f t="shared" si="487"/>
        <v/>
      </c>
      <c r="EY57" s="6" t="str">
        <f t="shared" si="207"/>
        <v/>
      </c>
      <c r="EZ57" s="51" t="str">
        <f t="shared" si="208"/>
        <v/>
      </c>
      <c r="FA57" s="173" t="str">
        <f t="shared" si="488"/>
        <v/>
      </c>
      <c r="FB57" s="5" t="str">
        <f t="shared" si="489"/>
        <v/>
      </c>
      <c r="FC57" s="6" t="str">
        <f t="shared" si="490"/>
        <v/>
      </c>
      <c r="FD57" s="4" t="str">
        <f t="shared" si="491"/>
        <v/>
      </c>
      <c r="FE57" s="5" t="str">
        <f t="shared" si="492"/>
        <v/>
      </c>
      <c r="FF57" s="7" t="str">
        <f t="shared" si="209"/>
        <v/>
      </c>
      <c r="FG57" s="173" t="str">
        <f t="shared" si="493"/>
        <v/>
      </c>
      <c r="FH57" s="5" t="str">
        <f t="shared" si="494"/>
        <v/>
      </c>
      <c r="FI57" s="10" t="str">
        <f t="shared" si="495"/>
        <v/>
      </c>
      <c r="FJ57" s="279" t="str">
        <f t="shared" si="211"/>
        <v/>
      </c>
      <c r="FK57" s="4" t="str">
        <f t="shared" si="496"/>
        <v/>
      </c>
      <c r="FL57" s="5" t="str">
        <f t="shared" si="212"/>
        <v/>
      </c>
      <c r="FM57" s="8" t="str">
        <f t="shared" si="213"/>
        <v/>
      </c>
      <c r="FN57" s="9" t="str">
        <f t="shared" si="214"/>
        <v/>
      </c>
      <c r="FO57" s="10" t="str">
        <f t="shared" si="497"/>
        <v/>
      </c>
      <c r="FP57" s="277" t="str">
        <f t="shared" si="498"/>
        <v/>
      </c>
      <c r="FQ57" s="173" t="str">
        <f t="shared" si="241"/>
        <v/>
      </c>
      <c r="FR57" s="10" t="str">
        <f t="shared" si="215"/>
        <v/>
      </c>
      <c r="FS57" s="9" t="str">
        <f t="shared" si="216"/>
        <v/>
      </c>
      <c r="FT57" s="6" t="str">
        <f t="shared" si="217"/>
        <v/>
      </c>
      <c r="FU57" s="4" t="str">
        <f t="shared" si="218"/>
        <v/>
      </c>
      <c r="FV57" s="5" t="str">
        <f t="shared" si="219"/>
        <v/>
      </c>
      <c r="FW57" s="8" t="str">
        <f t="shared" si="242"/>
        <v/>
      </c>
      <c r="FX57" s="9" t="str">
        <f t="shared" si="243"/>
        <v/>
      </c>
      <c r="FY57" s="10" t="str">
        <f t="shared" si="499"/>
        <v/>
      </c>
      <c r="FZ57" s="277" t="str">
        <f t="shared" si="244"/>
        <v/>
      </c>
      <c r="GA57" s="177" t="str">
        <f t="shared" si="220"/>
        <v/>
      </c>
      <c r="GB57" s="4" t="str">
        <f t="shared" si="221"/>
        <v/>
      </c>
      <c r="GC57" s="5" t="str">
        <f t="shared" si="222"/>
        <v/>
      </c>
      <c r="GD57" s="10" t="str">
        <f t="shared" si="223"/>
        <v/>
      </c>
      <c r="GE57" s="311" t="str">
        <f t="shared" si="224"/>
        <v/>
      </c>
      <c r="GF57" s="341" t="str">
        <f t="shared" si="245"/>
        <v/>
      </c>
      <c r="GG57" s="285" t="str">
        <f t="shared" si="500"/>
        <v/>
      </c>
      <c r="GH57" s="286" t="str">
        <f t="shared" si="501"/>
        <v/>
      </c>
      <c r="GI57" s="281" t="str">
        <f t="shared" si="502"/>
        <v/>
      </c>
      <c r="GJ57" s="167" t="str">
        <f t="shared" si="225"/>
        <v/>
      </c>
      <c r="GK57" s="174" t="str">
        <f t="shared" si="503"/>
        <v/>
      </c>
      <c r="GL57" s="174" t="str">
        <f t="shared" si="226"/>
        <v/>
      </c>
      <c r="GM57" s="177" t="str">
        <f t="shared" si="246"/>
        <v/>
      </c>
      <c r="GN57" s="280" t="str">
        <f t="shared" si="227"/>
        <v/>
      </c>
      <c r="GO57" s="4" t="str">
        <f t="shared" si="228"/>
        <v/>
      </c>
      <c r="GP57" s="8" t="str">
        <f t="shared" si="247"/>
        <v/>
      </c>
      <c r="GQ57" s="177" t="str">
        <f t="shared" si="229"/>
        <v/>
      </c>
      <c r="GR57" s="371" t="str">
        <f t="shared" si="248"/>
        <v/>
      </c>
      <c r="GS57" s="342" t="str">
        <f t="shared" si="504"/>
        <v/>
      </c>
      <c r="GT57" s="343" t="str">
        <f t="shared" si="505"/>
        <v/>
      </c>
      <c r="GU57" s="344" t="str">
        <f t="shared" si="506"/>
        <v/>
      </c>
      <c r="GV57" s="343" t="str">
        <f t="shared" si="251"/>
        <v/>
      </c>
      <c r="GW57" s="345" t="str">
        <f t="shared" si="507"/>
        <v/>
      </c>
      <c r="GX57" s="346" t="str">
        <f t="shared" si="508"/>
        <v/>
      </c>
      <c r="GY57" s="344" t="str">
        <f t="shared" si="509"/>
        <v/>
      </c>
      <c r="GZ57" s="345" t="str">
        <f t="shared" si="510"/>
        <v/>
      </c>
      <c r="HA57" s="342" t="str">
        <f t="shared" si="511"/>
        <v/>
      </c>
      <c r="HB57" s="5" t="str">
        <f t="shared" si="230"/>
        <v/>
      </c>
      <c r="HC57" s="343" t="str">
        <f t="shared" si="231"/>
        <v/>
      </c>
      <c r="HD57" s="363" t="str">
        <f t="shared" si="232"/>
        <v/>
      </c>
      <c r="HE57" s="344" t="str">
        <f t="shared" si="512"/>
        <v/>
      </c>
      <c r="HF57" s="5" t="str">
        <f t="shared" si="513"/>
        <v/>
      </c>
      <c r="HG57" s="343" t="str">
        <f t="shared" si="233"/>
        <v/>
      </c>
      <c r="HH57" s="349" t="str">
        <f t="shared" si="234"/>
        <v/>
      </c>
      <c r="HI57" s="317" t="str">
        <f t="shared" si="407"/>
        <v/>
      </c>
      <c r="HK57" s="310" t="str">
        <f t="shared" si="458"/>
        <v/>
      </c>
      <c r="HL57" s="348" t="str">
        <f t="shared" si="408"/>
        <v/>
      </c>
      <c r="HM57" s="923" t="str">
        <f t="shared" si="409"/>
        <v/>
      </c>
      <c r="HN57" s="924" t="str">
        <f t="shared" si="410"/>
        <v/>
      </c>
      <c r="HO57" s="925"/>
      <c r="HP57" s="926"/>
      <c r="HQ57" s="924" t="str">
        <f t="shared" si="411"/>
        <v/>
      </c>
      <c r="HR57" s="927" t="str">
        <f t="shared" si="412"/>
        <v/>
      </c>
      <c r="HS57" s="879" t="str">
        <f t="shared" si="459"/>
        <v/>
      </c>
      <c r="HT57" s="889" t="str">
        <f t="shared" si="413"/>
        <v/>
      </c>
      <c r="HU57" s="890" t="str">
        <f t="shared" si="414"/>
        <v/>
      </c>
      <c r="HV57" s="886" t="str">
        <f t="shared" si="415"/>
        <v/>
      </c>
      <c r="HW57" s="880" t="str">
        <f t="shared" si="416"/>
        <v/>
      </c>
      <c r="HX57" s="881" t="str">
        <f t="shared" si="417"/>
        <v/>
      </c>
      <c r="HY57" s="880" t="str">
        <f t="shared" si="418"/>
        <v/>
      </c>
      <c r="HZ57" s="882" t="str">
        <f t="shared" si="419"/>
        <v/>
      </c>
      <c r="IA57" s="883" t="str">
        <f t="shared" si="420"/>
        <v/>
      </c>
      <c r="IB57" s="884" t="str">
        <f t="shared" si="421"/>
        <v/>
      </c>
      <c r="IC57" s="855" t="str">
        <f t="shared" si="422"/>
        <v/>
      </c>
      <c r="ID57" s="351" t="str">
        <f t="shared" si="423"/>
        <v/>
      </c>
      <c r="IE57" s="857" t="str">
        <f t="shared" si="42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35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25"/>
        <v/>
      </c>
      <c r="IM57" s="482" t="str">
        <f t="shared" si="236"/>
        <v/>
      </c>
      <c r="IN57" s="670" t="str">
        <f t="shared" si="426"/>
        <v/>
      </c>
      <c r="IO57" s="702"/>
      <c r="IP57" s="5" t="str">
        <f t="shared" si="427"/>
        <v/>
      </c>
      <c r="IQ57" s="714"/>
      <c r="IR57" s="9" t="str">
        <f t="shared" si="428"/>
        <v/>
      </c>
      <c r="IS57" s="5" t="str">
        <f t="shared" si="429"/>
        <v/>
      </c>
      <c r="IT57" s="5" t="str">
        <f t="shared" si="430"/>
        <v/>
      </c>
      <c r="IU57" s="5" t="str">
        <f t="shared" si="431"/>
        <v/>
      </c>
      <c r="IV57" s="670" t="str">
        <f t="shared" si="432"/>
        <v/>
      </c>
      <c r="IW57" s="9" t="str">
        <f t="shared" si="433"/>
        <v/>
      </c>
      <c r="IX57" s="5" t="str">
        <f t="shared" si="434"/>
        <v/>
      </c>
      <c r="IY57" s="5" t="str">
        <f t="shared" si="435"/>
        <v/>
      </c>
      <c r="IZ57" s="5" t="str">
        <f t="shared" si="436"/>
        <v/>
      </c>
      <c r="JA57" s="705" t="str">
        <f t="shared" si="437"/>
        <v/>
      </c>
    </row>
    <row r="58" spans="1:261" ht="15" customHeight="1" x14ac:dyDescent="0.25">
      <c r="A58" s="75" t="str">
        <f t="shared" si="254"/>
        <v/>
      </c>
      <c r="B58" s="578" t="str">
        <f t="shared" si="255"/>
        <v/>
      </c>
      <c r="C58" s="572" t="str">
        <f t="shared" si="256"/>
        <v/>
      </c>
      <c r="D58" s="576" t="str">
        <f t="shared" si="257"/>
        <v/>
      </c>
      <c r="E58" s="580" t="str">
        <f t="shared" si="258"/>
        <v/>
      </c>
      <c r="F58" s="572" t="str">
        <f t="shared" si="259"/>
        <v/>
      </c>
      <c r="G58" s="579" t="str">
        <f t="shared" si="260"/>
        <v/>
      </c>
      <c r="H58" s="580" t="str">
        <f t="shared" si="261"/>
        <v/>
      </c>
      <c r="I58" s="572" t="str">
        <f t="shared" si="262"/>
        <v/>
      </c>
      <c r="J58" s="483" t="str">
        <f t="shared" si="263"/>
        <v/>
      </c>
      <c r="K58" s="806" t="str">
        <f t="shared" si="264"/>
        <v/>
      </c>
      <c r="L58" s="309"/>
      <c r="M58" s="164" t="str">
        <f t="shared" si="265"/>
        <v/>
      </c>
      <c r="N58" s="575" t="str">
        <f t="shared" si="266"/>
        <v/>
      </c>
      <c r="O58" s="572" t="str">
        <f t="shared" si="267"/>
        <v/>
      </c>
      <c r="P58" s="576" t="str">
        <f t="shared" si="268"/>
        <v/>
      </c>
      <c r="Q58" s="528" t="str">
        <f t="shared" si="138"/>
        <v/>
      </c>
      <c r="R58" s="572" t="str">
        <f t="shared" si="463"/>
        <v/>
      </c>
      <c r="S58" s="577" t="str">
        <f t="shared" si="464"/>
        <v/>
      </c>
      <c r="T58" s="578" t="str">
        <f t="shared" si="465"/>
        <v/>
      </c>
      <c r="U58" s="572" t="str">
        <f t="shared" si="466"/>
        <v/>
      </c>
      <c r="V58" s="579" t="str">
        <f t="shared" si="467"/>
        <v/>
      </c>
      <c r="W58" s="528" t="str">
        <f t="shared" si="252"/>
        <v/>
      </c>
      <c r="X58" s="572" t="str">
        <f t="shared" si="468"/>
        <v/>
      </c>
      <c r="Y58" s="573" t="str">
        <f t="shared" si="253"/>
        <v/>
      </c>
      <c r="Z58" s="575" t="str">
        <f t="shared" si="269"/>
        <v/>
      </c>
      <c r="AA58" s="572" t="str">
        <f t="shared" si="270"/>
        <v/>
      </c>
      <c r="AB58" s="572" t="str">
        <f t="shared" si="271"/>
        <v/>
      </c>
      <c r="AC58" s="579" t="str">
        <f t="shared" si="469"/>
        <v/>
      </c>
      <c r="AD58" s="580" t="str">
        <f t="shared" si="470"/>
        <v/>
      </c>
      <c r="AE58" s="572" t="str">
        <f t="shared" si="471"/>
        <v/>
      </c>
      <c r="AF58" s="576" t="str">
        <f t="shared" si="472"/>
        <v/>
      </c>
      <c r="AG58" s="545" t="str">
        <f t="shared" si="473"/>
        <v/>
      </c>
      <c r="AH58" s="546" t="str">
        <f t="shared" si="474"/>
        <v/>
      </c>
      <c r="AI58" s="528" t="str">
        <f t="shared" si="475"/>
        <v/>
      </c>
      <c r="AJ58" s="529" t="str">
        <f t="shared" si="476"/>
        <v/>
      </c>
      <c r="AK58" s="578" t="str">
        <f t="shared" si="477"/>
        <v/>
      </c>
      <c r="AL58" s="572" t="str">
        <f t="shared" si="478"/>
        <v/>
      </c>
      <c r="AM58" s="577" t="str">
        <f t="shared" si="479"/>
        <v/>
      </c>
      <c r="AN58" s="524" t="str">
        <f t="shared" si="480"/>
        <v/>
      </c>
      <c r="AO58" s="525" t="str">
        <f t="shared" si="514"/>
        <v/>
      </c>
      <c r="AP58" s="528" t="str">
        <f t="shared" si="481"/>
        <v/>
      </c>
      <c r="AQ58" s="529" t="str">
        <f t="shared" si="272"/>
        <v/>
      </c>
      <c r="AS58" s="946" t="str">
        <f t="shared" si="460"/>
        <v/>
      </c>
      <c r="AT58" s="942" t="str">
        <f t="shared" si="273"/>
        <v/>
      </c>
      <c r="AU58" s="418"/>
      <c r="AV58" s="164" t="str">
        <f t="shared" si="27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2"/>
        <v/>
      </c>
      <c r="BA58" s="296" t="str">
        <f t="shared" si="276"/>
        <v/>
      </c>
      <c r="BB58" s="177" t="str">
        <f t="shared" si="143"/>
        <v/>
      </c>
      <c r="BC58" s="9"/>
      <c r="BD58" s="5" t="str">
        <f t="shared" si="144"/>
        <v/>
      </c>
      <c r="BE58" s="6" t="str">
        <f t="shared" si="278"/>
        <v/>
      </c>
      <c r="BF58" s="4" t="str">
        <f t="shared" si="279"/>
        <v/>
      </c>
      <c r="BG58" s="5" t="str">
        <f t="shared" si="280"/>
        <v/>
      </c>
      <c r="BH58" s="10" t="str">
        <f t="shared" si="281"/>
        <v/>
      </c>
      <c r="BI58" s="9" t="str">
        <f t="shared" si="145"/>
        <v/>
      </c>
      <c r="BJ58" s="5" t="str">
        <f t="shared" si="283"/>
        <v/>
      </c>
      <c r="BK58" s="8" t="str">
        <f t="shared" si="284"/>
        <v/>
      </c>
      <c r="BL58" s="173" t="str">
        <f t="shared" si="285"/>
        <v/>
      </c>
      <c r="BM58" s="5" t="str">
        <f t="shared" si="286"/>
        <v/>
      </c>
      <c r="BN58" s="6" t="str">
        <f t="shared" si="287"/>
        <v/>
      </c>
      <c r="BO58" s="4" t="str">
        <f t="shared" si="146"/>
        <v/>
      </c>
      <c r="BP58" s="5" t="str">
        <f t="shared" si="147"/>
        <v/>
      </c>
      <c r="BQ58" s="5" t="str">
        <f t="shared" si="148"/>
        <v/>
      </c>
      <c r="BR58" s="6" t="str">
        <f t="shared" si="149"/>
        <v/>
      </c>
      <c r="BS58" s="4" t="str">
        <f t="shared" si="482"/>
        <v/>
      </c>
      <c r="BT58" s="5" t="str">
        <f t="shared" si="482"/>
        <v/>
      </c>
      <c r="BU58" s="10" t="str">
        <f t="shared" si="118"/>
        <v/>
      </c>
      <c r="BV58" s="9" t="str">
        <f t="shared" si="119"/>
        <v/>
      </c>
      <c r="BW58" s="5" t="str">
        <f t="shared" si="120"/>
        <v/>
      </c>
      <c r="BX58" s="8" t="str">
        <f t="shared" si="121"/>
        <v/>
      </c>
      <c r="BY58" s="173" t="str">
        <f t="shared" si="122"/>
        <v/>
      </c>
      <c r="BZ58" s="5" t="str">
        <f t="shared" si="123"/>
        <v/>
      </c>
      <c r="CA58" s="6" t="str">
        <f t="shared" si="124"/>
        <v/>
      </c>
      <c r="CB58" s="4" t="str">
        <f t="shared" si="150"/>
        <v/>
      </c>
      <c r="CC58" s="5" t="str">
        <f t="shared" si="151"/>
        <v/>
      </c>
      <c r="CD58" s="5" t="str">
        <f t="shared" si="152"/>
        <v/>
      </c>
      <c r="CE58" s="6" t="str">
        <f t="shared" si="153"/>
        <v/>
      </c>
      <c r="CF58" s="4" t="str">
        <f t="shared" si="154"/>
        <v/>
      </c>
      <c r="CG58" s="5" t="str">
        <f t="shared" si="155"/>
        <v/>
      </c>
      <c r="CH58" s="5" t="str">
        <f t="shared" si="156"/>
        <v/>
      </c>
      <c r="CI58" s="4" t="str">
        <f t="shared" si="125"/>
        <v/>
      </c>
      <c r="CJ58" s="5" t="str">
        <f t="shared" si="126"/>
        <v/>
      </c>
      <c r="CK58" s="8" t="str">
        <f t="shared" si="127"/>
        <v/>
      </c>
      <c r="CL58" s="173" t="str">
        <f t="shared" si="128"/>
        <v/>
      </c>
      <c r="CM58" s="5" t="str">
        <f t="shared" si="129"/>
        <v/>
      </c>
      <c r="CN58" s="6" t="str">
        <f t="shared" si="130"/>
        <v/>
      </c>
      <c r="CO58" s="167" t="str">
        <f t="shared" si="304"/>
        <v/>
      </c>
      <c r="CP58" s="4" t="str">
        <f t="shared" si="238"/>
        <v/>
      </c>
      <c r="CQ58" s="5" t="str">
        <f t="shared" si="239"/>
        <v/>
      </c>
      <c r="CR58" s="5" t="str">
        <f t="shared" si="157"/>
        <v/>
      </c>
      <c r="CS58" s="8" t="str">
        <f t="shared" si="158"/>
        <v/>
      </c>
      <c r="CT58" s="9" t="str">
        <f t="shared" si="159"/>
        <v/>
      </c>
      <c r="CU58" s="6" t="str">
        <f t="shared" si="160"/>
        <v/>
      </c>
      <c r="CV58" s="4" t="str">
        <f t="shared" si="240"/>
        <v/>
      </c>
      <c r="CW58" s="5" t="str">
        <f t="shared" si="161"/>
        <v/>
      </c>
      <c r="CX58" s="8" t="str">
        <f t="shared" si="162"/>
        <v/>
      </c>
      <c r="CY58" s="9" t="str">
        <f t="shared" si="163"/>
        <v/>
      </c>
      <c r="CZ58" s="5" t="str">
        <f t="shared" si="164"/>
        <v/>
      </c>
      <c r="DA58" s="6" t="str">
        <f t="shared" si="165"/>
        <v/>
      </c>
      <c r="DB58" s="4" t="str">
        <f t="shared" si="483"/>
        <v/>
      </c>
      <c r="DC58" s="5" t="str">
        <f t="shared" si="483"/>
        <v/>
      </c>
      <c r="DD58" s="10" t="str">
        <f t="shared" si="167"/>
        <v/>
      </c>
      <c r="DE58" s="9" t="str">
        <f t="shared" si="484"/>
        <v/>
      </c>
      <c r="DF58" s="5" t="str">
        <f t="shared" si="484"/>
        <v/>
      </c>
      <c r="DG58" s="10" t="str">
        <f t="shared" si="169"/>
        <v/>
      </c>
      <c r="DH58" s="70" t="str">
        <f t="shared" si="170"/>
        <v/>
      </c>
      <c r="DI58" s="4" t="str">
        <f t="shared" si="171"/>
        <v/>
      </c>
      <c r="DJ58" s="5" t="str">
        <f t="shared" si="172"/>
        <v/>
      </c>
      <c r="DK58" s="10" t="str">
        <f t="shared" si="173"/>
        <v/>
      </c>
      <c r="DL58" s="9" t="str">
        <f t="shared" si="174"/>
        <v/>
      </c>
      <c r="DM58" s="173" t="str">
        <f t="shared" si="175"/>
        <v/>
      </c>
      <c r="DN58" s="178" t="str">
        <f t="shared" si="176"/>
        <v/>
      </c>
      <c r="DO58" s="9" t="str">
        <f t="shared" si="177"/>
        <v/>
      </c>
      <c r="DP58" s="173" t="str">
        <f t="shared" si="178"/>
        <v/>
      </c>
      <c r="DQ58" s="11" t="str">
        <f t="shared" si="179"/>
        <v/>
      </c>
      <c r="DR58" s="173" t="str">
        <f t="shared" si="180"/>
        <v/>
      </c>
      <c r="DS58" s="5" t="str">
        <f t="shared" si="181"/>
        <v/>
      </c>
      <c r="DT58" s="5" t="str">
        <f t="shared" si="182"/>
        <v/>
      </c>
      <c r="DU58" s="5" t="str">
        <f t="shared" si="183"/>
        <v/>
      </c>
      <c r="DV58" s="5" t="str">
        <f t="shared" si="184"/>
        <v/>
      </c>
      <c r="DW58" s="5" t="str">
        <f t="shared" si="185"/>
        <v/>
      </c>
      <c r="DX58" s="167" t="str">
        <f t="shared" si="186"/>
        <v/>
      </c>
      <c r="DY58" s="9" t="str">
        <f t="shared" si="187"/>
        <v/>
      </c>
      <c r="DZ58" s="5" t="str">
        <f t="shared" si="188"/>
        <v/>
      </c>
      <c r="EA58" s="10" t="str">
        <f t="shared" si="189"/>
        <v/>
      </c>
      <c r="EB58" s="6" t="str">
        <f t="shared" si="190"/>
        <v/>
      </c>
      <c r="EC58" s="173" t="str">
        <f t="shared" si="191"/>
        <v/>
      </c>
      <c r="ED58" s="5" t="str">
        <f t="shared" si="192"/>
        <v/>
      </c>
      <c r="EE58" s="4" t="str">
        <f t="shared" si="193"/>
        <v/>
      </c>
      <c r="EF58" s="5" t="str">
        <f t="shared" si="194"/>
        <v/>
      </c>
      <c r="EG58" s="10" t="str">
        <f t="shared" si="195"/>
        <v/>
      </c>
      <c r="EH58" s="9" t="str">
        <f t="shared" si="196"/>
        <v/>
      </c>
      <c r="EI58" s="5" t="str">
        <f t="shared" si="197"/>
        <v/>
      </c>
      <c r="EJ58" s="6" t="str">
        <f t="shared" si="198"/>
        <v/>
      </c>
      <c r="EK58" s="236" t="str">
        <f t="shared" si="199"/>
        <v/>
      </c>
      <c r="EL58" s="238" t="str">
        <f t="shared" si="200"/>
        <v/>
      </c>
      <c r="EM58" s="4" t="str">
        <f t="shared" si="201"/>
        <v/>
      </c>
      <c r="EN58" s="5" t="str">
        <f t="shared" si="202"/>
        <v/>
      </c>
      <c r="EO58" s="10" t="str">
        <f t="shared" si="203"/>
        <v/>
      </c>
      <c r="EP58" s="9" t="str">
        <f t="shared" si="204"/>
        <v/>
      </c>
      <c r="EQ58" s="5" t="str">
        <f t="shared" si="205"/>
        <v/>
      </c>
      <c r="ER58" s="7" t="str">
        <f t="shared" si="206"/>
        <v/>
      </c>
      <c r="ES58" s="21" t="str">
        <f t="shared" si="351"/>
        <v/>
      </c>
      <c r="ET58" s="5" t="str">
        <f t="shared" si="352"/>
        <v/>
      </c>
      <c r="EU58" s="10" t="str">
        <f t="shared" si="353"/>
        <v/>
      </c>
      <c r="EV58" s="174" t="str">
        <f t="shared" si="485"/>
        <v/>
      </c>
      <c r="EW58" s="9" t="str">
        <f t="shared" si="486"/>
        <v/>
      </c>
      <c r="EX58" s="5" t="str">
        <f t="shared" si="487"/>
        <v/>
      </c>
      <c r="EY58" s="6" t="str">
        <f t="shared" si="207"/>
        <v/>
      </c>
      <c r="EZ58" s="51" t="str">
        <f t="shared" si="208"/>
        <v/>
      </c>
      <c r="FA58" s="173" t="str">
        <f t="shared" si="488"/>
        <v/>
      </c>
      <c r="FB58" s="5" t="str">
        <f t="shared" si="489"/>
        <v/>
      </c>
      <c r="FC58" s="6" t="str">
        <f t="shared" si="490"/>
        <v/>
      </c>
      <c r="FD58" s="4" t="str">
        <f t="shared" si="491"/>
        <v/>
      </c>
      <c r="FE58" s="5" t="str">
        <f t="shared" si="492"/>
        <v/>
      </c>
      <c r="FF58" s="7" t="str">
        <f t="shared" si="209"/>
        <v/>
      </c>
      <c r="FG58" s="173" t="str">
        <f t="shared" si="493"/>
        <v/>
      </c>
      <c r="FH58" s="5" t="str">
        <f t="shared" si="494"/>
        <v/>
      </c>
      <c r="FI58" s="10" t="str">
        <f t="shared" si="495"/>
        <v/>
      </c>
      <c r="FJ58" s="279" t="str">
        <f t="shared" si="211"/>
        <v/>
      </c>
      <c r="FK58" s="4" t="str">
        <f t="shared" si="496"/>
        <v/>
      </c>
      <c r="FL58" s="5" t="str">
        <f t="shared" si="212"/>
        <v/>
      </c>
      <c r="FM58" s="8" t="str">
        <f t="shared" si="213"/>
        <v/>
      </c>
      <c r="FN58" s="9" t="str">
        <f t="shared" si="214"/>
        <v/>
      </c>
      <c r="FO58" s="10" t="str">
        <f t="shared" si="497"/>
        <v/>
      </c>
      <c r="FP58" s="277" t="str">
        <f t="shared" si="498"/>
        <v/>
      </c>
      <c r="FQ58" s="173" t="str">
        <f t="shared" si="241"/>
        <v/>
      </c>
      <c r="FR58" s="10" t="str">
        <f t="shared" si="215"/>
        <v/>
      </c>
      <c r="FS58" s="9" t="str">
        <f t="shared" si="216"/>
        <v/>
      </c>
      <c r="FT58" s="6" t="str">
        <f t="shared" si="217"/>
        <v/>
      </c>
      <c r="FU58" s="4" t="str">
        <f t="shared" si="218"/>
        <v/>
      </c>
      <c r="FV58" s="5" t="str">
        <f t="shared" si="219"/>
        <v/>
      </c>
      <c r="FW58" s="8" t="str">
        <f t="shared" si="242"/>
        <v/>
      </c>
      <c r="FX58" s="9" t="str">
        <f t="shared" si="243"/>
        <v/>
      </c>
      <c r="FY58" s="10" t="str">
        <f t="shared" si="499"/>
        <v/>
      </c>
      <c r="FZ58" s="277" t="str">
        <f t="shared" si="244"/>
        <v/>
      </c>
      <c r="GA58" s="177" t="str">
        <f t="shared" si="220"/>
        <v/>
      </c>
      <c r="GB58" s="4" t="str">
        <f t="shared" si="221"/>
        <v/>
      </c>
      <c r="GC58" s="5" t="str">
        <f t="shared" si="222"/>
        <v/>
      </c>
      <c r="GD58" s="10" t="str">
        <f t="shared" si="223"/>
        <v/>
      </c>
      <c r="GE58" s="311" t="str">
        <f t="shared" si="224"/>
        <v/>
      </c>
      <c r="GF58" s="341" t="str">
        <f t="shared" si="245"/>
        <v/>
      </c>
      <c r="GG58" s="285" t="str">
        <f t="shared" si="500"/>
        <v/>
      </c>
      <c r="GH58" s="286" t="str">
        <f t="shared" si="501"/>
        <v/>
      </c>
      <c r="GI58" s="281" t="str">
        <f t="shared" si="502"/>
        <v/>
      </c>
      <c r="GJ58" s="167" t="str">
        <f t="shared" si="225"/>
        <v/>
      </c>
      <c r="GK58" s="174" t="str">
        <f t="shared" si="503"/>
        <v/>
      </c>
      <c r="GL58" s="174" t="str">
        <f t="shared" si="226"/>
        <v/>
      </c>
      <c r="GM58" s="177" t="str">
        <f t="shared" si="246"/>
        <v/>
      </c>
      <c r="GN58" s="280" t="str">
        <f t="shared" si="227"/>
        <v/>
      </c>
      <c r="GO58" s="4" t="str">
        <f t="shared" si="228"/>
        <v/>
      </c>
      <c r="GP58" s="8" t="str">
        <f t="shared" si="247"/>
        <v/>
      </c>
      <c r="GQ58" s="177" t="str">
        <f t="shared" si="229"/>
        <v/>
      </c>
      <c r="GR58" s="371" t="str">
        <f t="shared" si="248"/>
        <v/>
      </c>
      <c r="GS58" s="342" t="str">
        <f t="shared" si="504"/>
        <v/>
      </c>
      <c r="GT58" s="343" t="str">
        <f t="shared" si="505"/>
        <v/>
      </c>
      <c r="GU58" s="344" t="str">
        <f t="shared" si="506"/>
        <v/>
      </c>
      <c r="GV58" s="343" t="str">
        <f t="shared" si="251"/>
        <v/>
      </c>
      <c r="GW58" s="345" t="str">
        <f t="shared" si="507"/>
        <v/>
      </c>
      <c r="GX58" s="346" t="str">
        <f t="shared" si="508"/>
        <v/>
      </c>
      <c r="GY58" s="344" t="str">
        <f t="shared" si="509"/>
        <v/>
      </c>
      <c r="GZ58" s="345" t="str">
        <f t="shared" si="510"/>
        <v/>
      </c>
      <c r="HA58" s="342" t="str">
        <f t="shared" si="511"/>
        <v/>
      </c>
      <c r="HB58" s="5" t="str">
        <f t="shared" si="230"/>
        <v/>
      </c>
      <c r="HC58" s="343" t="str">
        <f t="shared" si="231"/>
        <v/>
      </c>
      <c r="HD58" s="363" t="str">
        <f t="shared" si="232"/>
        <v/>
      </c>
      <c r="HE58" s="344" t="str">
        <f t="shared" si="512"/>
        <v/>
      </c>
      <c r="HF58" s="5" t="str">
        <f t="shared" si="513"/>
        <v/>
      </c>
      <c r="HG58" s="343" t="str">
        <f t="shared" si="233"/>
        <v/>
      </c>
      <c r="HH58" s="349" t="str">
        <f t="shared" si="234"/>
        <v/>
      </c>
      <c r="HI58" s="317" t="str">
        <f t="shared" si="407"/>
        <v/>
      </c>
      <c r="HK58" s="310" t="str">
        <f t="shared" si="458"/>
        <v/>
      </c>
      <c r="HL58" s="348" t="str">
        <f t="shared" si="408"/>
        <v/>
      </c>
      <c r="HM58" s="923" t="str">
        <f t="shared" si="409"/>
        <v/>
      </c>
      <c r="HN58" s="924" t="str">
        <f t="shared" si="410"/>
        <v/>
      </c>
      <c r="HO58" s="925"/>
      <c r="HP58" s="926"/>
      <c r="HQ58" s="924" t="str">
        <f t="shared" si="411"/>
        <v/>
      </c>
      <c r="HR58" s="927" t="str">
        <f t="shared" si="412"/>
        <v/>
      </c>
      <c r="HS58" s="879" t="str">
        <f t="shared" si="459"/>
        <v/>
      </c>
      <c r="HT58" s="889" t="str">
        <f t="shared" si="413"/>
        <v/>
      </c>
      <c r="HU58" s="890" t="str">
        <f t="shared" si="414"/>
        <v/>
      </c>
      <c r="HV58" s="886" t="str">
        <f t="shared" si="415"/>
        <v/>
      </c>
      <c r="HW58" s="880" t="str">
        <f t="shared" si="416"/>
        <v/>
      </c>
      <c r="HX58" s="881" t="str">
        <f t="shared" si="417"/>
        <v/>
      </c>
      <c r="HY58" s="880" t="str">
        <f t="shared" si="418"/>
        <v/>
      </c>
      <c r="HZ58" s="882" t="str">
        <f t="shared" si="419"/>
        <v/>
      </c>
      <c r="IA58" s="883" t="str">
        <f t="shared" si="420"/>
        <v/>
      </c>
      <c r="IB58" s="884" t="str">
        <f t="shared" si="421"/>
        <v/>
      </c>
      <c r="IC58" s="855" t="str">
        <f t="shared" si="422"/>
        <v/>
      </c>
      <c r="ID58" s="351" t="str">
        <f t="shared" si="423"/>
        <v/>
      </c>
      <c r="IE58" s="857" t="str">
        <f t="shared" si="42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35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25"/>
        <v/>
      </c>
      <c r="IM58" s="482" t="str">
        <f t="shared" si="236"/>
        <v/>
      </c>
      <c r="IN58" s="670" t="str">
        <f t="shared" si="426"/>
        <v/>
      </c>
      <c r="IO58" s="702"/>
      <c r="IP58" s="5" t="str">
        <f t="shared" si="427"/>
        <v/>
      </c>
      <c r="IQ58" s="714"/>
      <c r="IR58" s="9" t="str">
        <f t="shared" si="428"/>
        <v/>
      </c>
      <c r="IS58" s="5" t="str">
        <f t="shared" si="429"/>
        <v/>
      </c>
      <c r="IT58" s="5" t="str">
        <f t="shared" si="430"/>
        <v/>
      </c>
      <c r="IU58" s="5" t="str">
        <f t="shared" si="431"/>
        <v/>
      </c>
      <c r="IV58" s="670" t="str">
        <f t="shared" si="432"/>
        <v/>
      </c>
      <c r="IW58" s="9" t="str">
        <f t="shared" si="433"/>
        <v/>
      </c>
      <c r="IX58" s="5" t="str">
        <f t="shared" si="434"/>
        <v/>
      </c>
      <c r="IY58" s="5" t="str">
        <f t="shared" si="435"/>
        <v/>
      </c>
      <c r="IZ58" s="5" t="str">
        <f t="shared" si="436"/>
        <v/>
      </c>
      <c r="JA58" s="705" t="str">
        <f t="shared" si="437"/>
        <v/>
      </c>
    </row>
    <row r="59" spans="1:261" ht="15" customHeight="1" x14ac:dyDescent="0.25">
      <c r="A59" s="75" t="str">
        <f t="shared" si="254"/>
        <v/>
      </c>
      <c r="B59" s="578" t="str">
        <f t="shared" si="255"/>
        <v/>
      </c>
      <c r="C59" s="572" t="str">
        <f t="shared" si="256"/>
        <v/>
      </c>
      <c r="D59" s="576" t="str">
        <f t="shared" si="257"/>
        <v/>
      </c>
      <c r="E59" s="580" t="str">
        <f t="shared" si="258"/>
        <v/>
      </c>
      <c r="F59" s="572" t="str">
        <f t="shared" si="259"/>
        <v/>
      </c>
      <c r="G59" s="579" t="str">
        <f t="shared" si="260"/>
        <v/>
      </c>
      <c r="H59" s="580" t="str">
        <f t="shared" si="261"/>
        <v/>
      </c>
      <c r="I59" s="572" t="str">
        <f t="shared" si="262"/>
        <v/>
      </c>
      <c r="J59" s="483" t="str">
        <f t="shared" si="263"/>
        <v/>
      </c>
      <c r="K59" s="806" t="str">
        <f t="shared" si="264"/>
        <v/>
      </c>
      <c r="L59" s="309"/>
      <c r="M59" s="164" t="str">
        <f t="shared" si="265"/>
        <v/>
      </c>
      <c r="N59" s="575" t="str">
        <f t="shared" si="266"/>
        <v/>
      </c>
      <c r="O59" s="572" t="str">
        <f t="shared" si="267"/>
        <v/>
      </c>
      <c r="P59" s="576" t="str">
        <f t="shared" si="268"/>
        <v/>
      </c>
      <c r="Q59" s="528" t="str">
        <f t="shared" si="138"/>
        <v/>
      </c>
      <c r="R59" s="572" t="str">
        <f t="shared" si="100"/>
        <v/>
      </c>
      <c r="S59" s="577" t="str">
        <f t="shared" si="101"/>
        <v/>
      </c>
      <c r="T59" s="578" t="str">
        <f t="shared" si="102"/>
        <v/>
      </c>
      <c r="U59" s="572" t="str">
        <f t="shared" si="103"/>
        <v/>
      </c>
      <c r="V59" s="579" t="str">
        <f t="shared" si="139"/>
        <v/>
      </c>
      <c r="W59" s="528" t="str">
        <f t="shared" si="252"/>
        <v/>
      </c>
      <c r="X59" s="572" t="str">
        <f t="shared" si="104"/>
        <v/>
      </c>
      <c r="Y59" s="573" t="str">
        <f t="shared" si="253"/>
        <v/>
      </c>
      <c r="Z59" s="575" t="str">
        <f t="shared" si="269"/>
        <v/>
      </c>
      <c r="AA59" s="572" t="str">
        <f t="shared" si="270"/>
        <v/>
      </c>
      <c r="AB59" s="572" t="str">
        <f t="shared" si="271"/>
        <v/>
      </c>
      <c r="AC59" s="579" t="str">
        <f t="shared" si="105"/>
        <v/>
      </c>
      <c r="AD59" s="580" t="str">
        <f t="shared" si="140"/>
        <v/>
      </c>
      <c r="AE59" s="572" t="str">
        <f t="shared" si="106"/>
        <v/>
      </c>
      <c r="AF59" s="576" t="str">
        <f t="shared" si="107"/>
        <v/>
      </c>
      <c r="AG59" s="545" t="str">
        <f t="shared" si="108"/>
        <v/>
      </c>
      <c r="AH59" s="546" t="str">
        <f t="shared" si="109"/>
        <v/>
      </c>
      <c r="AI59" s="528" t="str">
        <f t="shared" si="110"/>
        <v/>
      </c>
      <c r="AJ59" s="529" t="str">
        <f t="shared" si="111"/>
        <v/>
      </c>
      <c r="AK59" s="578" t="str">
        <f t="shared" si="237"/>
        <v/>
      </c>
      <c r="AL59" s="572" t="str">
        <f t="shared" si="112"/>
        <v/>
      </c>
      <c r="AM59" s="577" t="str">
        <f t="shared" si="113"/>
        <v/>
      </c>
      <c r="AN59" s="524" t="str">
        <f t="shared" si="114"/>
        <v/>
      </c>
      <c r="AO59" s="525" t="str">
        <f t="shared" si="514"/>
        <v/>
      </c>
      <c r="AP59" s="528" t="str">
        <f t="shared" si="116"/>
        <v/>
      </c>
      <c r="AQ59" s="529" t="str">
        <f t="shared" si="272"/>
        <v/>
      </c>
      <c r="AS59" s="946" t="str">
        <f t="shared" si="460"/>
        <v/>
      </c>
      <c r="AT59" s="942" t="str">
        <f t="shared" si="273"/>
        <v/>
      </c>
      <c r="AU59" s="418"/>
      <c r="AV59" s="164" t="str">
        <f t="shared" si="27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2"/>
        <v/>
      </c>
      <c r="BA59" s="296" t="str">
        <f t="shared" si="276"/>
        <v/>
      </c>
      <c r="BB59" s="177" t="str">
        <f t="shared" si="143"/>
        <v/>
      </c>
      <c r="BC59" s="9"/>
      <c r="BD59" s="5" t="str">
        <f t="shared" si="144"/>
        <v/>
      </c>
      <c r="BE59" s="6" t="str">
        <f t="shared" si="278"/>
        <v/>
      </c>
      <c r="BF59" s="4" t="str">
        <f t="shared" si="279"/>
        <v/>
      </c>
      <c r="BG59" s="5" t="str">
        <f t="shared" si="280"/>
        <v/>
      </c>
      <c r="BH59" s="10" t="str">
        <f t="shared" si="281"/>
        <v/>
      </c>
      <c r="BI59" s="9" t="str">
        <f t="shared" si="145"/>
        <v/>
      </c>
      <c r="BJ59" s="5" t="str">
        <f t="shared" si="283"/>
        <v/>
      </c>
      <c r="BK59" s="8" t="str">
        <f t="shared" si="284"/>
        <v/>
      </c>
      <c r="BL59" s="173" t="str">
        <f t="shared" si="285"/>
        <v/>
      </c>
      <c r="BM59" s="5" t="str">
        <f t="shared" si="286"/>
        <v/>
      </c>
      <c r="BN59" s="6" t="str">
        <f t="shared" si="287"/>
        <v/>
      </c>
      <c r="BO59" s="4" t="str">
        <f t="shared" si="146"/>
        <v/>
      </c>
      <c r="BP59" s="5" t="str">
        <f t="shared" si="147"/>
        <v/>
      </c>
      <c r="BQ59" s="5" t="str">
        <f t="shared" si="148"/>
        <v/>
      </c>
      <c r="BR59" s="6" t="str">
        <f t="shared" si="149"/>
        <v/>
      </c>
      <c r="BS59" s="4" t="str">
        <f t="shared" si="482"/>
        <v/>
      </c>
      <c r="BT59" s="5" t="str">
        <f t="shared" si="482"/>
        <v/>
      </c>
      <c r="BU59" s="10" t="str">
        <f t="shared" si="118"/>
        <v/>
      </c>
      <c r="BV59" s="9" t="str">
        <f t="shared" si="119"/>
        <v/>
      </c>
      <c r="BW59" s="5" t="str">
        <f t="shared" si="120"/>
        <v/>
      </c>
      <c r="BX59" s="8" t="str">
        <f t="shared" si="121"/>
        <v/>
      </c>
      <c r="BY59" s="173" t="str">
        <f t="shared" si="122"/>
        <v/>
      </c>
      <c r="BZ59" s="5" t="str">
        <f t="shared" si="123"/>
        <v/>
      </c>
      <c r="CA59" s="6" t="str">
        <f t="shared" si="124"/>
        <v/>
      </c>
      <c r="CB59" s="4" t="str">
        <f t="shared" si="150"/>
        <v/>
      </c>
      <c r="CC59" s="5" t="str">
        <f t="shared" si="151"/>
        <v/>
      </c>
      <c r="CD59" s="5" t="str">
        <f t="shared" si="152"/>
        <v/>
      </c>
      <c r="CE59" s="6" t="str">
        <f t="shared" si="153"/>
        <v/>
      </c>
      <c r="CF59" s="4" t="str">
        <f t="shared" si="154"/>
        <v/>
      </c>
      <c r="CG59" s="5" t="str">
        <f t="shared" si="155"/>
        <v/>
      </c>
      <c r="CH59" s="5" t="str">
        <f t="shared" si="156"/>
        <v/>
      </c>
      <c r="CI59" s="4" t="str">
        <f t="shared" si="125"/>
        <v/>
      </c>
      <c r="CJ59" s="5" t="str">
        <f t="shared" si="126"/>
        <v/>
      </c>
      <c r="CK59" s="8" t="str">
        <f t="shared" si="127"/>
        <v/>
      </c>
      <c r="CL59" s="173" t="str">
        <f t="shared" si="128"/>
        <v/>
      </c>
      <c r="CM59" s="5" t="str">
        <f t="shared" si="129"/>
        <v/>
      </c>
      <c r="CN59" s="6" t="str">
        <f t="shared" si="130"/>
        <v/>
      </c>
      <c r="CO59" s="167" t="str">
        <f t="shared" si="304"/>
        <v/>
      </c>
      <c r="CP59" s="4" t="str">
        <f t="shared" si="238"/>
        <v/>
      </c>
      <c r="CQ59" s="5" t="str">
        <f t="shared" si="239"/>
        <v/>
      </c>
      <c r="CR59" s="5" t="str">
        <f t="shared" si="157"/>
        <v/>
      </c>
      <c r="CS59" s="8" t="str">
        <f t="shared" si="158"/>
        <v/>
      </c>
      <c r="CT59" s="9" t="str">
        <f t="shared" si="159"/>
        <v/>
      </c>
      <c r="CU59" s="6" t="str">
        <f t="shared" si="160"/>
        <v/>
      </c>
      <c r="CV59" s="4" t="str">
        <f t="shared" si="240"/>
        <v/>
      </c>
      <c r="CW59" s="5" t="str">
        <f t="shared" si="161"/>
        <v/>
      </c>
      <c r="CX59" s="8" t="str">
        <f t="shared" si="162"/>
        <v/>
      </c>
      <c r="CY59" s="9" t="str">
        <f t="shared" si="163"/>
        <v/>
      </c>
      <c r="CZ59" s="5" t="str">
        <f t="shared" si="164"/>
        <v/>
      </c>
      <c r="DA59" s="6" t="str">
        <f t="shared" si="165"/>
        <v/>
      </c>
      <c r="DB59" s="4" t="str">
        <f t="shared" si="483"/>
        <v/>
      </c>
      <c r="DC59" s="5" t="str">
        <f t="shared" si="483"/>
        <v/>
      </c>
      <c r="DD59" s="10" t="str">
        <f t="shared" si="167"/>
        <v/>
      </c>
      <c r="DE59" s="9" t="str">
        <f t="shared" si="484"/>
        <v/>
      </c>
      <c r="DF59" s="5" t="str">
        <f t="shared" si="484"/>
        <v/>
      </c>
      <c r="DG59" s="10" t="str">
        <f t="shared" si="169"/>
        <v/>
      </c>
      <c r="DH59" s="70" t="str">
        <f t="shared" si="170"/>
        <v/>
      </c>
      <c r="DI59" s="4" t="str">
        <f t="shared" si="171"/>
        <v/>
      </c>
      <c r="DJ59" s="5" t="str">
        <f t="shared" si="172"/>
        <v/>
      </c>
      <c r="DK59" s="10" t="str">
        <f t="shared" si="173"/>
        <v/>
      </c>
      <c r="DL59" s="9" t="str">
        <f t="shared" si="174"/>
        <v/>
      </c>
      <c r="DM59" s="173" t="str">
        <f t="shared" si="175"/>
        <v/>
      </c>
      <c r="DN59" s="178" t="str">
        <f t="shared" si="176"/>
        <v/>
      </c>
      <c r="DO59" s="9" t="str">
        <f t="shared" si="177"/>
        <v/>
      </c>
      <c r="DP59" s="173" t="str">
        <f t="shared" si="178"/>
        <v/>
      </c>
      <c r="DQ59" s="11" t="str">
        <f t="shared" si="179"/>
        <v/>
      </c>
      <c r="DR59" s="173" t="str">
        <f t="shared" si="180"/>
        <v/>
      </c>
      <c r="DS59" s="5" t="str">
        <f t="shared" si="181"/>
        <v/>
      </c>
      <c r="DT59" s="5" t="str">
        <f t="shared" si="182"/>
        <v/>
      </c>
      <c r="DU59" s="5" t="str">
        <f t="shared" si="183"/>
        <v/>
      </c>
      <c r="DV59" s="5" t="str">
        <f t="shared" si="184"/>
        <v/>
      </c>
      <c r="DW59" s="5" t="str">
        <f t="shared" si="185"/>
        <v/>
      </c>
      <c r="DX59" s="167" t="str">
        <f t="shared" si="186"/>
        <v/>
      </c>
      <c r="DY59" s="9" t="str">
        <f t="shared" si="187"/>
        <v/>
      </c>
      <c r="DZ59" s="5" t="str">
        <f t="shared" si="188"/>
        <v/>
      </c>
      <c r="EA59" s="10" t="str">
        <f t="shared" si="189"/>
        <v/>
      </c>
      <c r="EB59" s="6" t="str">
        <f t="shared" si="190"/>
        <v/>
      </c>
      <c r="EC59" s="173" t="str">
        <f t="shared" si="191"/>
        <v/>
      </c>
      <c r="ED59" s="5" t="str">
        <f t="shared" si="192"/>
        <v/>
      </c>
      <c r="EE59" s="4" t="str">
        <f t="shared" si="193"/>
        <v/>
      </c>
      <c r="EF59" s="5" t="str">
        <f t="shared" si="194"/>
        <v/>
      </c>
      <c r="EG59" s="10" t="str">
        <f t="shared" si="195"/>
        <v/>
      </c>
      <c r="EH59" s="9" t="str">
        <f t="shared" si="196"/>
        <v/>
      </c>
      <c r="EI59" s="5" t="str">
        <f t="shared" si="197"/>
        <v/>
      </c>
      <c r="EJ59" s="6" t="str">
        <f t="shared" si="198"/>
        <v/>
      </c>
      <c r="EK59" s="236" t="str">
        <f t="shared" si="199"/>
        <v/>
      </c>
      <c r="EL59" s="238" t="str">
        <f t="shared" si="200"/>
        <v/>
      </c>
      <c r="EM59" s="4" t="str">
        <f t="shared" si="201"/>
        <v/>
      </c>
      <c r="EN59" s="5" t="str">
        <f t="shared" si="202"/>
        <v/>
      </c>
      <c r="EO59" s="10" t="str">
        <f t="shared" si="203"/>
        <v/>
      </c>
      <c r="EP59" s="9" t="str">
        <f t="shared" si="204"/>
        <v/>
      </c>
      <c r="EQ59" s="5" t="str">
        <f t="shared" si="205"/>
        <v/>
      </c>
      <c r="ER59" s="7" t="str">
        <f t="shared" si="206"/>
        <v/>
      </c>
      <c r="ES59" s="21" t="str">
        <f t="shared" si="351"/>
        <v/>
      </c>
      <c r="ET59" s="5" t="str">
        <f t="shared" si="352"/>
        <v/>
      </c>
      <c r="EU59" s="10" t="str">
        <f t="shared" si="353"/>
        <v/>
      </c>
      <c r="EV59" s="174" t="str">
        <f t="shared" si="485"/>
        <v/>
      </c>
      <c r="EW59" s="9" t="str">
        <f t="shared" si="486"/>
        <v/>
      </c>
      <c r="EX59" s="5" t="str">
        <f t="shared" si="487"/>
        <v/>
      </c>
      <c r="EY59" s="6" t="str">
        <f t="shared" si="207"/>
        <v/>
      </c>
      <c r="EZ59" s="51" t="str">
        <f t="shared" si="208"/>
        <v/>
      </c>
      <c r="FA59" s="173" t="str">
        <f t="shared" si="488"/>
        <v/>
      </c>
      <c r="FB59" s="5" t="str">
        <f t="shared" si="489"/>
        <v/>
      </c>
      <c r="FC59" s="6" t="str">
        <f t="shared" si="490"/>
        <v/>
      </c>
      <c r="FD59" s="4" t="str">
        <f t="shared" si="491"/>
        <v/>
      </c>
      <c r="FE59" s="5" t="str">
        <f t="shared" si="492"/>
        <v/>
      </c>
      <c r="FF59" s="7" t="str">
        <f t="shared" si="209"/>
        <v/>
      </c>
      <c r="FG59" s="173" t="str">
        <f t="shared" si="493"/>
        <v/>
      </c>
      <c r="FH59" s="5" t="str">
        <f t="shared" si="494"/>
        <v/>
      </c>
      <c r="FI59" s="10" t="str">
        <f t="shared" si="495"/>
        <v/>
      </c>
      <c r="FJ59" s="279" t="str">
        <f t="shared" si="211"/>
        <v/>
      </c>
      <c r="FK59" s="4" t="str">
        <f t="shared" si="496"/>
        <v/>
      </c>
      <c r="FL59" s="5" t="str">
        <f t="shared" si="212"/>
        <v/>
      </c>
      <c r="FM59" s="8" t="str">
        <f t="shared" si="213"/>
        <v/>
      </c>
      <c r="FN59" s="9" t="str">
        <f t="shared" si="214"/>
        <v/>
      </c>
      <c r="FO59" s="10" t="str">
        <f t="shared" si="497"/>
        <v/>
      </c>
      <c r="FP59" s="277" t="str">
        <f t="shared" si="498"/>
        <v/>
      </c>
      <c r="FQ59" s="173" t="str">
        <f t="shared" si="241"/>
        <v/>
      </c>
      <c r="FR59" s="10" t="str">
        <f t="shared" si="215"/>
        <v/>
      </c>
      <c r="FS59" s="9" t="str">
        <f t="shared" si="216"/>
        <v/>
      </c>
      <c r="FT59" s="6" t="str">
        <f t="shared" si="217"/>
        <v/>
      </c>
      <c r="FU59" s="4" t="str">
        <f t="shared" si="218"/>
        <v/>
      </c>
      <c r="FV59" s="5" t="str">
        <f t="shared" si="219"/>
        <v/>
      </c>
      <c r="FW59" s="8" t="str">
        <f t="shared" si="242"/>
        <v/>
      </c>
      <c r="FX59" s="9" t="str">
        <f t="shared" si="243"/>
        <v/>
      </c>
      <c r="FY59" s="10" t="str">
        <f t="shared" si="499"/>
        <v/>
      </c>
      <c r="FZ59" s="277" t="str">
        <f t="shared" si="244"/>
        <v/>
      </c>
      <c r="GA59" s="177" t="str">
        <f t="shared" si="220"/>
        <v/>
      </c>
      <c r="GB59" s="4" t="str">
        <f t="shared" si="221"/>
        <v/>
      </c>
      <c r="GC59" s="5" t="str">
        <f t="shared" si="222"/>
        <v/>
      </c>
      <c r="GD59" s="10" t="str">
        <f t="shared" si="223"/>
        <v/>
      </c>
      <c r="GE59" s="311" t="str">
        <f t="shared" si="224"/>
        <v/>
      </c>
      <c r="GF59" s="341" t="str">
        <f t="shared" si="245"/>
        <v/>
      </c>
      <c r="GG59" s="285" t="str">
        <f t="shared" si="500"/>
        <v/>
      </c>
      <c r="GH59" s="286" t="str">
        <f t="shared" si="501"/>
        <v/>
      </c>
      <c r="GI59" s="281" t="str">
        <f t="shared" si="502"/>
        <v/>
      </c>
      <c r="GJ59" s="167" t="str">
        <f t="shared" si="225"/>
        <v/>
      </c>
      <c r="GK59" s="174" t="str">
        <f t="shared" si="503"/>
        <v/>
      </c>
      <c r="GL59" s="174" t="str">
        <f t="shared" si="226"/>
        <v/>
      </c>
      <c r="GM59" s="177" t="str">
        <f t="shared" si="246"/>
        <v/>
      </c>
      <c r="GN59" s="280" t="str">
        <f t="shared" si="227"/>
        <v/>
      </c>
      <c r="GO59" s="4" t="str">
        <f t="shared" si="228"/>
        <v/>
      </c>
      <c r="GP59" s="8" t="str">
        <f t="shared" si="247"/>
        <v/>
      </c>
      <c r="GQ59" s="177" t="str">
        <f t="shared" si="229"/>
        <v/>
      </c>
      <c r="GR59" s="371" t="str">
        <f t="shared" si="248"/>
        <v/>
      </c>
      <c r="GS59" s="342" t="str">
        <f t="shared" si="504"/>
        <v/>
      </c>
      <c r="GT59" s="343" t="str">
        <f t="shared" si="505"/>
        <v/>
      </c>
      <c r="GU59" s="344" t="str">
        <f t="shared" si="506"/>
        <v/>
      </c>
      <c r="GV59" s="343" t="str">
        <f t="shared" si="251"/>
        <v/>
      </c>
      <c r="GW59" s="345" t="str">
        <f t="shared" si="507"/>
        <v/>
      </c>
      <c r="GX59" s="346" t="str">
        <f t="shared" si="508"/>
        <v/>
      </c>
      <c r="GY59" s="344" t="str">
        <f t="shared" si="509"/>
        <v/>
      </c>
      <c r="GZ59" s="345" t="str">
        <f t="shared" si="510"/>
        <v/>
      </c>
      <c r="HA59" s="342" t="str">
        <f t="shared" si="511"/>
        <v/>
      </c>
      <c r="HB59" s="5" t="str">
        <f t="shared" si="230"/>
        <v/>
      </c>
      <c r="HC59" s="343" t="str">
        <f t="shared" si="231"/>
        <v/>
      </c>
      <c r="HD59" s="363" t="str">
        <f t="shared" si="232"/>
        <v/>
      </c>
      <c r="HE59" s="344" t="str">
        <f t="shared" si="512"/>
        <v/>
      </c>
      <c r="HF59" s="5" t="str">
        <f t="shared" si="513"/>
        <v/>
      </c>
      <c r="HG59" s="343" t="str">
        <f t="shared" si="233"/>
        <v/>
      </c>
      <c r="HH59" s="349" t="str">
        <f t="shared" si="234"/>
        <v/>
      </c>
      <c r="HI59" s="317" t="str">
        <f t="shared" si="407"/>
        <v/>
      </c>
      <c r="HK59" s="310" t="str">
        <f t="shared" si="458"/>
        <v/>
      </c>
      <c r="HL59" s="348" t="str">
        <f t="shared" si="408"/>
        <v/>
      </c>
      <c r="HM59" s="923" t="str">
        <f t="shared" si="409"/>
        <v/>
      </c>
      <c r="HN59" s="924" t="str">
        <f t="shared" si="410"/>
        <v/>
      </c>
      <c r="HO59" s="925"/>
      <c r="HP59" s="926"/>
      <c r="HQ59" s="924" t="str">
        <f t="shared" si="411"/>
        <v/>
      </c>
      <c r="HR59" s="927" t="str">
        <f t="shared" si="412"/>
        <v/>
      </c>
      <c r="HS59" s="879" t="str">
        <f t="shared" si="459"/>
        <v/>
      </c>
      <c r="HT59" s="889" t="str">
        <f t="shared" si="413"/>
        <v/>
      </c>
      <c r="HU59" s="890" t="str">
        <f t="shared" si="414"/>
        <v/>
      </c>
      <c r="HV59" s="886" t="str">
        <f t="shared" si="415"/>
        <v/>
      </c>
      <c r="HW59" s="880" t="str">
        <f t="shared" si="416"/>
        <v/>
      </c>
      <c r="HX59" s="881" t="str">
        <f t="shared" si="417"/>
        <v/>
      </c>
      <c r="HY59" s="880" t="str">
        <f t="shared" si="418"/>
        <v/>
      </c>
      <c r="HZ59" s="882" t="str">
        <f t="shared" si="419"/>
        <v/>
      </c>
      <c r="IA59" s="883" t="str">
        <f t="shared" si="420"/>
        <v/>
      </c>
      <c r="IB59" s="884" t="str">
        <f t="shared" si="421"/>
        <v/>
      </c>
      <c r="IC59" s="855" t="str">
        <f t="shared" si="422"/>
        <v/>
      </c>
      <c r="ID59" s="351" t="str">
        <f t="shared" si="423"/>
        <v/>
      </c>
      <c r="IE59" s="857" t="str">
        <f t="shared" si="42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35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25"/>
        <v/>
      </c>
      <c r="IM59" s="482" t="str">
        <f t="shared" si="236"/>
        <v/>
      </c>
      <c r="IN59" s="670" t="str">
        <f t="shared" si="426"/>
        <v/>
      </c>
      <c r="IO59" s="702"/>
      <c r="IP59" s="5" t="str">
        <f t="shared" si="427"/>
        <v/>
      </c>
      <c r="IQ59" s="714"/>
      <c r="IR59" s="9" t="str">
        <f t="shared" si="428"/>
        <v/>
      </c>
      <c r="IS59" s="5" t="str">
        <f t="shared" si="429"/>
        <v/>
      </c>
      <c r="IT59" s="5" t="str">
        <f t="shared" si="430"/>
        <v/>
      </c>
      <c r="IU59" s="5" t="str">
        <f t="shared" si="431"/>
        <v/>
      </c>
      <c r="IV59" s="670" t="str">
        <f t="shared" si="432"/>
        <v/>
      </c>
      <c r="IW59" s="9" t="str">
        <f t="shared" si="433"/>
        <v/>
      </c>
      <c r="IX59" s="5" t="str">
        <f t="shared" si="434"/>
        <v/>
      </c>
      <c r="IY59" s="5" t="str">
        <f t="shared" si="435"/>
        <v/>
      </c>
      <c r="IZ59" s="5" t="str">
        <f t="shared" si="436"/>
        <v/>
      </c>
      <c r="JA59" s="705" t="str">
        <f t="shared" si="437"/>
        <v/>
      </c>
    </row>
    <row r="60" spans="1:261" ht="15" customHeight="1" x14ac:dyDescent="0.25">
      <c r="A60" s="75" t="str">
        <f t="shared" si="254"/>
        <v/>
      </c>
      <c r="B60" s="578" t="str">
        <f t="shared" si="255"/>
        <v/>
      </c>
      <c r="C60" s="572" t="str">
        <f t="shared" si="256"/>
        <v/>
      </c>
      <c r="D60" s="576" t="str">
        <f t="shared" si="257"/>
        <v/>
      </c>
      <c r="E60" s="580" t="str">
        <f t="shared" si="258"/>
        <v/>
      </c>
      <c r="F60" s="572" t="str">
        <f t="shared" si="259"/>
        <v/>
      </c>
      <c r="G60" s="579" t="str">
        <f t="shared" si="260"/>
        <v/>
      </c>
      <c r="H60" s="580" t="str">
        <f t="shared" si="261"/>
        <v/>
      </c>
      <c r="I60" s="572" t="str">
        <f t="shared" si="262"/>
        <v/>
      </c>
      <c r="J60" s="483" t="str">
        <f t="shared" si="263"/>
        <v/>
      </c>
      <c r="K60" s="806" t="str">
        <f t="shared" si="264"/>
        <v/>
      </c>
      <c r="L60" s="309"/>
      <c r="M60" s="164" t="str">
        <f t="shared" si="265"/>
        <v/>
      </c>
      <c r="N60" s="575" t="str">
        <f t="shared" si="266"/>
        <v/>
      </c>
      <c r="O60" s="572" t="str">
        <f t="shared" si="267"/>
        <v/>
      </c>
      <c r="P60" s="576" t="str">
        <f t="shared" si="268"/>
        <v/>
      </c>
      <c r="Q60" s="528" t="str">
        <f t="shared" si="138"/>
        <v/>
      </c>
      <c r="R60" s="572" t="str">
        <f t="shared" si="100"/>
        <v/>
      </c>
      <c r="S60" s="577" t="str">
        <f t="shared" si="101"/>
        <v/>
      </c>
      <c r="T60" s="578" t="str">
        <f t="shared" si="102"/>
        <v/>
      </c>
      <c r="U60" s="572" t="str">
        <f t="shared" si="103"/>
        <v/>
      </c>
      <c r="V60" s="579" t="str">
        <f t="shared" si="139"/>
        <v/>
      </c>
      <c r="W60" s="528" t="str">
        <f t="shared" si="252"/>
        <v/>
      </c>
      <c r="X60" s="572" t="str">
        <f t="shared" si="104"/>
        <v/>
      </c>
      <c r="Y60" s="573" t="str">
        <f t="shared" si="253"/>
        <v/>
      </c>
      <c r="Z60" s="575" t="str">
        <f t="shared" si="269"/>
        <v/>
      </c>
      <c r="AA60" s="572" t="str">
        <f t="shared" si="270"/>
        <v/>
      </c>
      <c r="AB60" s="572" t="str">
        <f t="shared" si="271"/>
        <v/>
      </c>
      <c r="AC60" s="579" t="str">
        <f t="shared" si="105"/>
        <v/>
      </c>
      <c r="AD60" s="580" t="str">
        <f t="shared" si="140"/>
        <v/>
      </c>
      <c r="AE60" s="572" t="str">
        <f t="shared" si="106"/>
        <v/>
      </c>
      <c r="AF60" s="576" t="str">
        <f t="shared" si="107"/>
        <v/>
      </c>
      <c r="AG60" s="545" t="str">
        <f t="shared" si="108"/>
        <v/>
      </c>
      <c r="AH60" s="546" t="str">
        <f t="shared" si="109"/>
        <v/>
      </c>
      <c r="AI60" s="528" t="str">
        <f t="shared" si="110"/>
        <v/>
      </c>
      <c r="AJ60" s="529" t="str">
        <f t="shared" si="111"/>
        <v/>
      </c>
      <c r="AK60" s="578" t="str">
        <f t="shared" si="237"/>
        <v/>
      </c>
      <c r="AL60" s="572" t="str">
        <f t="shared" si="112"/>
        <v/>
      </c>
      <c r="AM60" s="577" t="str">
        <f t="shared" si="113"/>
        <v/>
      </c>
      <c r="AN60" s="524" t="str">
        <f t="shared" si="114"/>
        <v/>
      </c>
      <c r="AO60" s="525" t="str">
        <f t="shared" si="514"/>
        <v/>
      </c>
      <c r="AP60" s="528" t="str">
        <f t="shared" si="116"/>
        <v/>
      </c>
      <c r="AQ60" s="529" t="str">
        <f t="shared" si="272"/>
        <v/>
      </c>
      <c r="AS60" s="946" t="str">
        <f t="shared" si="460"/>
        <v/>
      </c>
      <c r="AT60" s="942" t="str">
        <f t="shared" si="273"/>
        <v/>
      </c>
      <c r="AU60" s="418"/>
      <c r="AV60" s="164" t="str">
        <f t="shared" si="27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2"/>
        <v/>
      </c>
      <c r="BA60" s="296" t="str">
        <f t="shared" si="276"/>
        <v/>
      </c>
      <c r="BB60" s="177" t="str">
        <f t="shared" si="143"/>
        <v/>
      </c>
      <c r="BC60" s="9"/>
      <c r="BD60" s="5" t="str">
        <f t="shared" si="144"/>
        <v/>
      </c>
      <c r="BE60" s="6" t="str">
        <f t="shared" si="278"/>
        <v/>
      </c>
      <c r="BF60" s="4" t="str">
        <f t="shared" si="279"/>
        <v/>
      </c>
      <c r="BG60" s="5" t="str">
        <f t="shared" si="280"/>
        <v/>
      </c>
      <c r="BH60" s="10" t="str">
        <f t="shared" si="281"/>
        <v/>
      </c>
      <c r="BI60" s="9" t="str">
        <f t="shared" si="145"/>
        <v/>
      </c>
      <c r="BJ60" s="5" t="str">
        <f t="shared" si="283"/>
        <v/>
      </c>
      <c r="BK60" s="8" t="str">
        <f t="shared" si="284"/>
        <v/>
      </c>
      <c r="BL60" s="173" t="str">
        <f t="shared" si="285"/>
        <v/>
      </c>
      <c r="BM60" s="5" t="str">
        <f t="shared" si="286"/>
        <v/>
      </c>
      <c r="BN60" s="6" t="str">
        <f t="shared" si="287"/>
        <v/>
      </c>
      <c r="BO60" s="4" t="str">
        <f t="shared" si="146"/>
        <v/>
      </c>
      <c r="BP60" s="5" t="str">
        <f t="shared" si="147"/>
        <v/>
      </c>
      <c r="BQ60" s="5" t="str">
        <f t="shared" si="148"/>
        <v/>
      </c>
      <c r="BR60" s="6" t="str">
        <f t="shared" si="149"/>
        <v/>
      </c>
      <c r="BS60" s="4" t="str">
        <f t="shared" si="482"/>
        <v/>
      </c>
      <c r="BT60" s="5" t="str">
        <f t="shared" si="482"/>
        <v/>
      </c>
      <c r="BU60" s="10" t="str">
        <f t="shared" si="118"/>
        <v/>
      </c>
      <c r="BV60" s="9" t="str">
        <f t="shared" si="119"/>
        <v/>
      </c>
      <c r="BW60" s="5" t="str">
        <f t="shared" si="120"/>
        <v/>
      </c>
      <c r="BX60" s="8" t="str">
        <f t="shared" si="121"/>
        <v/>
      </c>
      <c r="BY60" s="173" t="str">
        <f t="shared" si="122"/>
        <v/>
      </c>
      <c r="BZ60" s="5" t="str">
        <f t="shared" si="123"/>
        <v/>
      </c>
      <c r="CA60" s="6" t="str">
        <f t="shared" si="124"/>
        <v/>
      </c>
      <c r="CB60" s="4" t="str">
        <f t="shared" si="150"/>
        <v/>
      </c>
      <c r="CC60" s="5" t="str">
        <f t="shared" si="151"/>
        <v/>
      </c>
      <c r="CD60" s="5" t="str">
        <f t="shared" si="152"/>
        <v/>
      </c>
      <c r="CE60" s="6" t="str">
        <f t="shared" si="153"/>
        <v/>
      </c>
      <c r="CF60" s="4" t="str">
        <f t="shared" si="154"/>
        <v/>
      </c>
      <c r="CG60" s="5" t="str">
        <f t="shared" si="155"/>
        <v/>
      </c>
      <c r="CH60" s="5" t="str">
        <f t="shared" si="156"/>
        <v/>
      </c>
      <c r="CI60" s="4" t="str">
        <f t="shared" si="125"/>
        <v/>
      </c>
      <c r="CJ60" s="5" t="str">
        <f t="shared" si="126"/>
        <v/>
      </c>
      <c r="CK60" s="8" t="str">
        <f t="shared" si="127"/>
        <v/>
      </c>
      <c r="CL60" s="173" t="str">
        <f t="shared" si="128"/>
        <v/>
      </c>
      <c r="CM60" s="5" t="str">
        <f t="shared" si="129"/>
        <v/>
      </c>
      <c r="CN60" s="6" t="str">
        <f t="shared" si="130"/>
        <v/>
      </c>
      <c r="CO60" s="167" t="str">
        <f t="shared" si="304"/>
        <v/>
      </c>
      <c r="CP60" s="4" t="str">
        <f t="shared" si="238"/>
        <v/>
      </c>
      <c r="CQ60" s="5" t="str">
        <f t="shared" si="239"/>
        <v/>
      </c>
      <c r="CR60" s="5" t="str">
        <f t="shared" si="157"/>
        <v/>
      </c>
      <c r="CS60" s="8" t="str">
        <f t="shared" si="158"/>
        <v/>
      </c>
      <c r="CT60" s="9" t="str">
        <f t="shared" si="159"/>
        <v/>
      </c>
      <c r="CU60" s="6" t="str">
        <f t="shared" si="160"/>
        <v/>
      </c>
      <c r="CV60" s="4" t="str">
        <f t="shared" si="240"/>
        <v/>
      </c>
      <c r="CW60" s="5" t="str">
        <f t="shared" si="161"/>
        <v/>
      </c>
      <c r="CX60" s="8" t="str">
        <f t="shared" si="162"/>
        <v/>
      </c>
      <c r="CY60" s="9" t="str">
        <f t="shared" si="163"/>
        <v/>
      </c>
      <c r="CZ60" s="5" t="str">
        <f t="shared" si="164"/>
        <v/>
      </c>
      <c r="DA60" s="6" t="str">
        <f t="shared" si="165"/>
        <v/>
      </c>
      <c r="DB60" s="4" t="str">
        <f t="shared" si="483"/>
        <v/>
      </c>
      <c r="DC60" s="5" t="str">
        <f t="shared" si="483"/>
        <v/>
      </c>
      <c r="DD60" s="10" t="str">
        <f t="shared" si="167"/>
        <v/>
      </c>
      <c r="DE60" s="9" t="str">
        <f t="shared" si="484"/>
        <v/>
      </c>
      <c r="DF60" s="5" t="str">
        <f t="shared" si="484"/>
        <v/>
      </c>
      <c r="DG60" s="10" t="str">
        <f t="shared" si="169"/>
        <v/>
      </c>
      <c r="DH60" s="70" t="str">
        <f t="shared" si="170"/>
        <v/>
      </c>
      <c r="DI60" s="4" t="str">
        <f t="shared" si="171"/>
        <v/>
      </c>
      <c r="DJ60" s="5" t="str">
        <f t="shared" si="172"/>
        <v/>
      </c>
      <c r="DK60" s="10" t="str">
        <f t="shared" si="173"/>
        <v/>
      </c>
      <c r="DL60" s="9" t="str">
        <f t="shared" si="174"/>
        <v/>
      </c>
      <c r="DM60" s="173" t="str">
        <f t="shared" si="175"/>
        <v/>
      </c>
      <c r="DN60" s="178" t="str">
        <f t="shared" si="176"/>
        <v/>
      </c>
      <c r="DO60" s="9" t="str">
        <f t="shared" si="177"/>
        <v/>
      </c>
      <c r="DP60" s="173" t="str">
        <f t="shared" si="178"/>
        <v/>
      </c>
      <c r="DQ60" s="11" t="str">
        <f t="shared" si="179"/>
        <v/>
      </c>
      <c r="DR60" s="173" t="str">
        <f t="shared" si="180"/>
        <v/>
      </c>
      <c r="DS60" s="5" t="str">
        <f t="shared" si="181"/>
        <v/>
      </c>
      <c r="DT60" s="5" t="str">
        <f t="shared" si="182"/>
        <v/>
      </c>
      <c r="DU60" s="5" t="str">
        <f t="shared" si="183"/>
        <v/>
      </c>
      <c r="DV60" s="5" t="str">
        <f t="shared" si="184"/>
        <v/>
      </c>
      <c r="DW60" s="5" t="str">
        <f t="shared" si="185"/>
        <v/>
      </c>
      <c r="DX60" s="167" t="str">
        <f t="shared" si="186"/>
        <v/>
      </c>
      <c r="DY60" s="9" t="str">
        <f t="shared" si="187"/>
        <v/>
      </c>
      <c r="DZ60" s="5" t="str">
        <f t="shared" si="188"/>
        <v/>
      </c>
      <c r="EA60" s="10" t="str">
        <f t="shared" si="189"/>
        <v/>
      </c>
      <c r="EB60" s="6" t="str">
        <f t="shared" si="190"/>
        <v/>
      </c>
      <c r="EC60" s="173" t="str">
        <f t="shared" si="191"/>
        <v/>
      </c>
      <c r="ED60" s="5" t="str">
        <f t="shared" si="192"/>
        <v/>
      </c>
      <c r="EE60" s="4" t="str">
        <f t="shared" si="193"/>
        <v/>
      </c>
      <c r="EF60" s="5" t="str">
        <f t="shared" si="194"/>
        <v/>
      </c>
      <c r="EG60" s="10" t="str">
        <f t="shared" si="195"/>
        <v/>
      </c>
      <c r="EH60" s="9" t="str">
        <f t="shared" si="196"/>
        <v/>
      </c>
      <c r="EI60" s="5" t="str">
        <f t="shared" si="197"/>
        <v/>
      </c>
      <c r="EJ60" s="6" t="str">
        <f t="shared" si="198"/>
        <v/>
      </c>
      <c r="EK60" s="236" t="str">
        <f t="shared" si="199"/>
        <v/>
      </c>
      <c r="EL60" s="238" t="str">
        <f t="shared" si="200"/>
        <v/>
      </c>
      <c r="EM60" s="4" t="str">
        <f t="shared" si="201"/>
        <v/>
      </c>
      <c r="EN60" s="5" t="str">
        <f t="shared" si="202"/>
        <v/>
      </c>
      <c r="EO60" s="10" t="str">
        <f t="shared" si="203"/>
        <v/>
      </c>
      <c r="EP60" s="9" t="str">
        <f t="shared" si="204"/>
        <v/>
      </c>
      <c r="EQ60" s="5" t="str">
        <f t="shared" si="205"/>
        <v/>
      </c>
      <c r="ER60" s="7" t="str">
        <f t="shared" si="206"/>
        <v/>
      </c>
      <c r="ES60" s="21" t="str">
        <f t="shared" si="351"/>
        <v/>
      </c>
      <c r="ET60" s="5" t="str">
        <f t="shared" si="352"/>
        <v/>
      </c>
      <c r="EU60" s="10" t="str">
        <f t="shared" si="353"/>
        <v/>
      </c>
      <c r="EV60" s="174" t="str">
        <f t="shared" si="485"/>
        <v/>
      </c>
      <c r="EW60" s="9" t="str">
        <f t="shared" si="486"/>
        <v/>
      </c>
      <c r="EX60" s="5" t="str">
        <f t="shared" si="487"/>
        <v/>
      </c>
      <c r="EY60" s="6" t="str">
        <f t="shared" si="207"/>
        <v/>
      </c>
      <c r="EZ60" s="51" t="str">
        <f t="shared" si="208"/>
        <v/>
      </c>
      <c r="FA60" s="173" t="str">
        <f t="shared" si="488"/>
        <v/>
      </c>
      <c r="FB60" s="5" t="str">
        <f t="shared" si="489"/>
        <v/>
      </c>
      <c r="FC60" s="6" t="str">
        <f t="shared" si="490"/>
        <v/>
      </c>
      <c r="FD60" s="4" t="str">
        <f t="shared" si="491"/>
        <v/>
      </c>
      <c r="FE60" s="5" t="str">
        <f t="shared" si="492"/>
        <v/>
      </c>
      <c r="FF60" s="7" t="str">
        <f t="shared" si="209"/>
        <v/>
      </c>
      <c r="FG60" s="173" t="str">
        <f t="shared" si="493"/>
        <v/>
      </c>
      <c r="FH60" s="5" t="str">
        <f t="shared" si="494"/>
        <v/>
      </c>
      <c r="FI60" s="10" t="str">
        <f t="shared" si="495"/>
        <v/>
      </c>
      <c r="FJ60" s="279" t="str">
        <f t="shared" si="211"/>
        <v/>
      </c>
      <c r="FK60" s="4" t="str">
        <f t="shared" si="496"/>
        <v/>
      </c>
      <c r="FL60" s="5" t="str">
        <f t="shared" si="212"/>
        <v/>
      </c>
      <c r="FM60" s="8" t="str">
        <f t="shared" si="213"/>
        <v/>
      </c>
      <c r="FN60" s="9" t="str">
        <f t="shared" si="214"/>
        <v/>
      </c>
      <c r="FO60" s="10" t="str">
        <f t="shared" si="497"/>
        <v/>
      </c>
      <c r="FP60" s="277" t="str">
        <f t="shared" si="498"/>
        <v/>
      </c>
      <c r="FQ60" s="173" t="str">
        <f t="shared" si="241"/>
        <v/>
      </c>
      <c r="FR60" s="10" t="str">
        <f t="shared" si="215"/>
        <v/>
      </c>
      <c r="FS60" s="9" t="str">
        <f t="shared" si="216"/>
        <v/>
      </c>
      <c r="FT60" s="6" t="str">
        <f t="shared" si="217"/>
        <v/>
      </c>
      <c r="FU60" s="4" t="str">
        <f t="shared" si="218"/>
        <v/>
      </c>
      <c r="FV60" s="5" t="str">
        <f t="shared" si="219"/>
        <v/>
      </c>
      <c r="FW60" s="8" t="str">
        <f t="shared" si="242"/>
        <v/>
      </c>
      <c r="FX60" s="9" t="str">
        <f t="shared" si="243"/>
        <v/>
      </c>
      <c r="FY60" s="10" t="str">
        <f t="shared" si="499"/>
        <v/>
      </c>
      <c r="FZ60" s="277" t="str">
        <f t="shared" si="244"/>
        <v/>
      </c>
      <c r="GA60" s="177" t="str">
        <f t="shared" si="220"/>
        <v/>
      </c>
      <c r="GB60" s="4" t="str">
        <f t="shared" si="221"/>
        <v/>
      </c>
      <c r="GC60" s="5" t="str">
        <f t="shared" si="222"/>
        <v/>
      </c>
      <c r="GD60" s="10" t="str">
        <f t="shared" si="223"/>
        <v/>
      </c>
      <c r="GE60" s="311" t="str">
        <f t="shared" si="224"/>
        <v/>
      </c>
      <c r="GF60" s="341" t="str">
        <f t="shared" si="245"/>
        <v/>
      </c>
      <c r="GG60" s="285" t="str">
        <f t="shared" si="500"/>
        <v/>
      </c>
      <c r="GH60" s="286" t="str">
        <f t="shared" si="501"/>
        <v/>
      </c>
      <c r="GI60" s="281" t="str">
        <f t="shared" si="502"/>
        <v/>
      </c>
      <c r="GJ60" s="167" t="str">
        <f t="shared" si="225"/>
        <v/>
      </c>
      <c r="GK60" s="174" t="str">
        <f t="shared" si="503"/>
        <v/>
      </c>
      <c r="GL60" s="174" t="str">
        <f t="shared" si="226"/>
        <v/>
      </c>
      <c r="GM60" s="177" t="str">
        <f t="shared" si="246"/>
        <v/>
      </c>
      <c r="GN60" s="280" t="str">
        <f t="shared" si="227"/>
        <v/>
      </c>
      <c r="GO60" s="4" t="str">
        <f t="shared" si="228"/>
        <v/>
      </c>
      <c r="GP60" s="8" t="str">
        <f t="shared" si="247"/>
        <v/>
      </c>
      <c r="GQ60" s="177" t="str">
        <f t="shared" si="229"/>
        <v/>
      </c>
      <c r="GR60" s="371" t="str">
        <f t="shared" si="248"/>
        <v/>
      </c>
      <c r="GS60" s="342" t="str">
        <f t="shared" si="504"/>
        <v/>
      </c>
      <c r="GT60" s="343" t="str">
        <f t="shared" si="505"/>
        <v/>
      </c>
      <c r="GU60" s="344" t="str">
        <f t="shared" si="506"/>
        <v/>
      </c>
      <c r="GV60" s="343" t="str">
        <f t="shared" si="251"/>
        <v/>
      </c>
      <c r="GW60" s="345" t="str">
        <f t="shared" si="507"/>
        <v/>
      </c>
      <c r="GX60" s="346" t="str">
        <f t="shared" si="508"/>
        <v/>
      </c>
      <c r="GY60" s="344" t="str">
        <f t="shared" si="509"/>
        <v/>
      </c>
      <c r="GZ60" s="345" t="str">
        <f t="shared" si="510"/>
        <v/>
      </c>
      <c r="HA60" s="342" t="str">
        <f t="shared" si="511"/>
        <v/>
      </c>
      <c r="HB60" s="5" t="str">
        <f t="shared" si="230"/>
        <v/>
      </c>
      <c r="HC60" s="343" t="str">
        <f t="shared" si="231"/>
        <v/>
      </c>
      <c r="HD60" s="363" t="str">
        <f t="shared" si="232"/>
        <v/>
      </c>
      <c r="HE60" s="344" t="str">
        <f t="shared" si="512"/>
        <v/>
      </c>
      <c r="HF60" s="5" t="str">
        <f t="shared" si="513"/>
        <v/>
      </c>
      <c r="HG60" s="343" t="str">
        <f t="shared" si="233"/>
        <v/>
      </c>
      <c r="HH60" s="349" t="str">
        <f t="shared" si="234"/>
        <v/>
      </c>
      <c r="HI60" s="317" t="str">
        <f t="shared" si="407"/>
        <v/>
      </c>
      <c r="HK60" s="310" t="str">
        <f t="shared" si="458"/>
        <v/>
      </c>
      <c r="HL60" s="348" t="str">
        <f t="shared" si="408"/>
        <v/>
      </c>
      <c r="HM60" s="923" t="str">
        <f t="shared" si="409"/>
        <v/>
      </c>
      <c r="HN60" s="924" t="str">
        <f t="shared" si="410"/>
        <v/>
      </c>
      <c r="HO60" s="925"/>
      <c r="HP60" s="926"/>
      <c r="HQ60" s="924" t="str">
        <f t="shared" si="411"/>
        <v/>
      </c>
      <c r="HR60" s="927" t="str">
        <f t="shared" si="412"/>
        <v/>
      </c>
      <c r="HS60" s="879" t="str">
        <f t="shared" si="459"/>
        <v/>
      </c>
      <c r="HT60" s="889" t="str">
        <f t="shared" si="413"/>
        <v/>
      </c>
      <c r="HU60" s="890" t="str">
        <f t="shared" si="414"/>
        <v/>
      </c>
      <c r="HV60" s="886" t="str">
        <f t="shared" si="415"/>
        <v/>
      </c>
      <c r="HW60" s="880" t="str">
        <f t="shared" si="416"/>
        <v/>
      </c>
      <c r="HX60" s="881" t="str">
        <f t="shared" si="417"/>
        <v/>
      </c>
      <c r="HY60" s="880" t="str">
        <f t="shared" si="418"/>
        <v/>
      </c>
      <c r="HZ60" s="882" t="str">
        <f t="shared" si="419"/>
        <v/>
      </c>
      <c r="IA60" s="883" t="str">
        <f t="shared" si="420"/>
        <v/>
      </c>
      <c r="IB60" s="884" t="str">
        <f t="shared" si="421"/>
        <v/>
      </c>
      <c r="IC60" s="855" t="str">
        <f t="shared" si="422"/>
        <v/>
      </c>
      <c r="ID60" s="351" t="str">
        <f t="shared" si="423"/>
        <v/>
      </c>
      <c r="IE60" s="857" t="str">
        <f t="shared" si="42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35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25"/>
        <v/>
      </c>
      <c r="IM60" s="482" t="str">
        <f t="shared" si="236"/>
        <v/>
      </c>
      <c r="IN60" s="670" t="str">
        <f t="shared" si="426"/>
        <v/>
      </c>
      <c r="IO60" s="702"/>
      <c r="IP60" s="5" t="str">
        <f t="shared" si="427"/>
        <v/>
      </c>
      <c r="IQ60" s="714"/>
      <c r="IR60" s="9" t="str">
        <f t="shared" si="428"/>
        <v/>
      </c>
      <c r="IS60" s="5" t="str">
        <f t="shared" si="429"/>
        <v/>
      </c>
      <c r="IT60" s="5" t="str">
        <f t="shared" si="430"/>
        <v/>
      </c>
      <c r="IU60" s="5" t="str">
        <f t="shared" si="431"/>
        <v/>
      </c>
      <c r="IV60" s="670" t="str">
        <f t="shared" si="432"/>
        <v/>
      </c>
      <c r="IW60" s="9" t="str">
        <f t="shared" si="433"/>
        <v/>
      </c>
      <c r="IX60" s="5" t="str">
        <f t="shared" si="434"/>
        <v/>
      </c>
      <c r="IY60" s="5" t="str">
        <f t="shared" si="435"/>
        <v/>
      </c>
      <c r="IZ60" s="5" t="str">
        <f t="shared" si="436"/>
        <v/>
      </c>
      <c r="JA60" s="705" t="str">
        <f t="shared" si="437"/>
        <v/>
      </c>
    </row>
    <row r="61" spans="1:261" ht="15" customHeight="1" x14ac:dyDescent="0.25">
      <c r="A61" s="75" t="str">
        <f t="shared" si="254"/>
        <v/>
      </c>
      <c r="B61" s="578" t="str">
        <f t="shared" si="255"/>
        <v/>
      </c>
      <c r="C61" s="572" t="str">
        <f t="shared" si="256"/>
        <v/>
      </c>
      <c r="D61" s="576" t="str">
        <f t="shared" si="257"/>
        <v/>
      </c>
      <c r="E61" s="580" t="str">
        <f t="shared" si="258"/>
        <v/>
      </c>
      <c r="F61" s="572" t="str">
        <f t="shared" si="259"/>
        <v/>
      </c>
      <c r="G61" s="579" t="str">
        <f t="shared" si="260"/>
        <v/>
      </c>
      <c r="H61" s="580" t="str">
        <f t="shared" si="261"/>
        <v/>
      </c>
      <c r="I61" s="572" t="str">
        <f t="shared" si="262"/>
        <v/>
      </c>
      <c r="J61" s="483" t="str">
        <f t="shared" si="263"/>
        <v/>
      </c>
      <c r="K61" s="806" t="str">
        <f t="shared" si="264"/>
        <v/>
      </c>
      <c r="L61" s="309"/>
      <c r="M61" s="164" t="str">
        <f t="shared" si="265"/>
        <v/>
      </c>
      <c r="N61" s="575" t="str">
        <f t="shared" si="266"/>
        <v/>
      </c>
      <c r="O61" s="572" t="str">
        <f t="shared" si="267"/>
        <v/>
      </c>
      <c r="P61" s="576" t="str">
        <f t="shared" si="268"/>
        <v/>
      </c>
      <c r="Q61" s="528" t="str">
        <f t="shared" si="138"/>
        <v/>
      </c>
      <c r="R61" s="572" t="str">
        <f t="shared" si="100"/>
        <v/>
      </c>
      <c r="S61" s="577" t="str">
        <f t="shared" si="101"/>
        <v/>
      </c>
      <c r="T61" s="578" t="str">
        <f t="shared" si="102"/>
        <v/>
      </c>
      <c r="U61" s="572" t="str">
        <f t="shared" si="103"/>
        <v/>
      </c>
      <c r="V61" s="579" t="str">
        <f t="shared" si="139"/>
        <v/>
      </c>
      <c r="W61" s="528" t="str">
        <f t="shared" si="252"/>
        <v/>
      </c>
      <c r="X61" s="572" t="str">
        <f t="shared" si="104"/>
        <v/>
      </c>
      <c r="Y61" s="573" t="str">
        <f t="shared" si="253"/>
        <v/>
      </c>
      <c r="Z61" s="575" t="str">
        <f t="shared" si="269"/>
        <v/>
      </c>
      <c r="AA61" s="572" t="str">
        <f t="shared" si="270"/>
        <v/>
      </c>
      <c r="AB61" s="572" t="str">
        <f t="shared" si="271"/>
        <v/>
      </c>
      <c r="AC61" s="579" t="str">
        <f t="shared" si="105"/>
        <v/>
      </c>
      <c r="AD61" s="580" t="str">
        <f t="shared" si="140"/>
        <v/>
      </c>
      <c r="AE61" s="572" t="str">
        <f t="shared" si="106"/>
        <v/>
      </c>
      <c r="AF61" s="576" t="str">
        <f t="shared" si="107"/>
        <v/>
      </c>
      <c r="AG61" s="545" t="str">
        <f t="shared" si="108"/>
        <v/>
      </c>
      <c r="AH61" s="546" t="str">
        <f t="shared" si="109"/>
        <v/>
      </c>
      <c r="AI61" s="528" t="str">
        <f t="shared" si="110"/>
        <v/>
      </c>
      <c r="AJ61" s="529" t="str">
        <f t="shared" si="111"/>
        <v/>
      </c>
      <c r="AK61" s="578" t="str">
        <f t="shared" si="237"/>
        <v/>
      </c>
      <c r="AL61" s="572" t="str">
        <f t="shared" si="112"/>
        <v/>
      </c>
      <c r="AM61" s="577" t="str">
        <f t="shared" si="113"/>
        <v/>
      </c>
      <c r="AN61" s="524" t="str">
        <f t="shared" si="114"/>
        <v/>
      </c>
      <c r="AO61" s="525" t="str">
        <f t="shared" si="514"/>
        <v/>
      </c>
      <c r="AP61" s="528" t="str">
        <f t="shared" si="116"/>
        <v/>
      </c>
      <c r="AQ61" s="529" t="str">
        <f t="shared" si="272"/>
        <v/>
      </c>
      <c r="AS61" s="946" t="str">
        <f t="shared" si="460"/>
        <v/>
      </c>
      <c r="AT61" s="942" t="str">
        <f t="shared" si="273"/>
        <v/>
      </c>
      <c r="AU61" s="418"/>
      <c r="AV61" s="164" t="str">
        <f t="shared" si="27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2"/>
        <v/>
      </c>
      <c r="BA61" s="296" t="str">
        <f t="shared" si="276"/>
        <v/>
      </c>
      <c r="BB61" s="177" t="str">
        <f t="shared" si="143"/>
        <v/>
      </c>
      <c r="BC61" s="9"/>
      <c r="BD61" s="5" t="str">
        <f t="shared" si="144"/>
        <v/>
      </c>
      <c r="BE61" s="6" t="str">
        <f t="shared" si="278"/>
        <v/>
      </c>
      <c r="BF61" s="4" t="str">
        <f t="shared" si="279"/>
        <v/>
      </c>
      <c r="BG61" s="5" t="str">
        <f t="shared" si="280"/>
        <v/>
      </c>
      <c r="BH61" s="10" t="str">
        <f t="shared" si="281"/>
        <v/>
      </c>
      <c r="BI61" s="9" t="str">
        <f t="shared" si="145"/>
        <v/>
      </c>
      <c r="BJ61" s="5" t="str">
        <f t="shared" si="283"/>
        <v/>
      </c>
      <c r="BK61" s="8" t="str">
        <f t="shared" si="284"/>
        <v/>
      </c>
      <c r="BL61" s="173" t="str">
        <f t="shared" si="285"/>
        <v/>
      </c>
      <c r="BM61" s="5" t="str">
        <f t="shared" si="286"/>
        <v/>
      </c>
      <c r="BN61" s="6" t="str">
        <f t="shared" si="287"/>
        <v/>
      </c>
      <c r="BO61" s="4" t="str">
        <f t="shared" si="146"/>
        <v/>
      </c>
      <c r="BP61" s="5" t="str">
        <f t="shared" si="147"/>
        <v/>
      </c>
      <c r="BQ61" s="5" t="str">
        <f t="shared" si="148"/>
        <v/>
      </c>
      <c r="BR61" s="6" t="str">
        <f t="shared" si="149"/>
        <v/>
      </c>
      <c r="BS61" s="4" t="str">
        <f t="shared" si="482"/>
        <v/>
      </c>
      <c r="BT61" s="5" t="str">
        <f t="shared" si="482"/>
        <v/>
      </c>
      <c r="BU61" s="10" t="str">
        <f t="shared" si="118"/>
        <v/>
      </c>
      <c r="BV61" s="9" t="str">
        <f t="shared" si="119"/>
        <v/>
      </c>
      <c r="BW61" s="5" t="str">
        <f t="shared" si="120"/>
        <v/>
      </c>
      <c r="BX61" s="8" t="str">
        <f t="shared" si="121"/>
        <v/>
      </c>
      <c r="BY61" s="173" t="str">
        <f t="shared" si="122"/>
        <v/>
      </c>
      <c r="BZ61" s="5" t="str">
        <f t="shared" si="123"/>
        <v/>
      </c>
      <c r="CA61" s="6" t="str">
        <f t="shared" si="124"/>
        <v/>
      </c>
      <c r="CB61" s="4" t="str">
        <f t="shared" si="150"/>
        <v/>
      </c>
      <c r="CC61" s="5" t="str">
        <f t="shared" si="151"/>
        <v/>
      </c>
      <c r="CD61" s="5" t="str">
        <f t="shared" si="152"/>
        <v/>
      </c>
      <c r="CE61" s="6" t="str">
        <f t="shared" si="153"/>
        <v/>
      </c>
      <c r="CF61" s="4" t="str">
        <f t="shared" si="154"/>
        <v/>
      </c>
      <c r="CG61" s="5" t="str">
        <f t="shared" si="155"/>
        <v/>
      </c>
      <c r="CH61" s="5" t="str">
        <f t="shared" si="156"/>
        <v/>
      </c>
      <c r="CI61" s="4" t="str">
        <f t="shared" si="125"/>
        <v/>
      </c>
      <c r="CJ61" s="5" t="str">
        <f t="shared" si="126"/>
        <v/>
      </c>
      <c r="CK61" s="8" t="str">
        <f t="shared" si="127"/>
        <v/>
      </c>
      <c r="CL61" s="173" t="str">
        <f t="shared" si="128"/>
        <v/>
      </c>
      <c r="CM61" s="5" t="str">
        <f t="shared" si="129"/>
        <v/>
      </c>
      <c r="CN61" s="6" t="str">
        <f t="shared" si="130"/>
        <v/>
      </c>
      <c r="CO61" s="167" t="str">
        <f t="shared" si="304"/>
        <v/>
      </c>
      <c r="CP61" s="4" t="str">
        <f t="shared" si="238"/>
        <v/>
      </c>
      <c r="CQ61" s="5" t="str">
        <f t="shared" si="239"/>
        <v/>
      </c>
      <c r="CR61" s="5" t="str">
        <f t="shared" si="157"/>
        <v/>
      </c>
      <c r="CS61" s="8" t="str">
        <f t="shared" si="158"/>
        <v/>
      </c>
      <c r="CT61" s="9" t="str">
        <f t="shared" si="159"/>
        <v/>
      </c>
      <c r="CU61" s="6" t="str">
        <f t="shared" si="160"/>
        <v/>
      </c>
      <c r="CV61" s="4" t="str">
        <f t="shared" si="240"/>
        <v/>
      </c>
      <c r="CW61" s="5" t="str">
        <f t="shared" si="161"/>
        <v/>
      </c>
      <c r="CX61" s="8" t="str">
        <f t="shared" si="162"/>
        <v/>
      </c>
      <c r="CY61" s="9" t="str">
        <f t="shared" si="163"/>
        <v/>
      </c>
      <c r="CZ61" s="5" t="str">
        <f t="shared" si="164"/>
        <v/>
      </c>
      <c r="DA61" s="6" t="str">
        <f t="shared" si="165"/>
        <v/>
      </c>
      <c r="DB61" s="4" t="str">
        <f t="shared" si="483"/>
        <v/>
      </c>
      <c r="DC61" s="5" t="str">
        <f t="shared" si="483"/>
        <v/>
      </c>
      <c r="DD61" s="10" t="str">
        <f t="shared" si="167"/>
        <v/>
      </c>
      <c r="DE61" s="9" t="str">
        <f t="shared" si="484"/>
        <v/>
      </c>
      <c r="DF61" s="5" t="str">
        <f t="shared" si="484"/>
        <v/>
      </c>
      <c r="DG61" s="10" t="str">
        <f t="shared" si="169"/>
        <v/>
      </c>
      <c r="DH61" s="70" t="str">
        <f t="shared" si="170"/>
        <v/>
      </c>
      <c r="DI61" s="4" t="str">
        <f t="shared" si="171"/>
        <v/>
      </c>
      <c r="DJ61" s="5" t="str">
        <f t="shared" si="172"/>
        <v/>
      </c>
      <c r="DK61" s="10" t="str">
        <f t="shared" si="173"/>
        <v/>
      </c>
      <c r="DL61" s="9" t="str">
        <f t="shared" si="174"/>
        <v/>
      </c>
      <c r="DM61" s="173" t="str">
        <f t="shared" si="175"/>
        <v/>
      </c>
      <c r="DN61" s="178" t="str">
        <f t="shared" si="176"/>
        <v/>
      </c>
      <c r="DO61" s="9" t="str">
        <f t="shared" si="177"/>
        <v/>
      </c>
      <c r="DP61" s="173" t="str">
        <f t="shared" si="178"/>
        <v/>
      </c>
      <c r="DQ61" s="11" t="str">
        <f t="shared" si="179"/>
        <v/>
      </c>
      <c r="DR61" s="173" t="str">
        <f t="shared" si="180"/>
        <v/>
      </c>
      <c r="DS61" s="5" t="str">
        <f t="shared" si="181"/>
        <v/>
      </c>
      <c r="DT61" s="5" t="str">
        <f t="shared" si="182"/>
        <v/>
      </c>
      <c r="DU61" s="5" t="str">
        <f t="shared" si="183"/>
        <v/>
      </c>
      <c r="DV61" s="5" t="str">
        <f t="shared" si="184"/>
        <v/>
      </c>
      <c r="DW61" s="5" t="str">
        <f t="shared" si="185"/>
        <v/>
      </c>
      <c r="DX61" s="167" t="str">
        <f t="shared" si="186"/>
        <v/>
      </c>
      <c r="DY61" s="9" t="str">
        <f t="shared" si="187"/>
        <v/>
      </c>
      <c r="DZ61" s="5" t="str">
        <f t="shared" si="188"/>
        <v/>
      </c>
      <c r="EA61" s="10" t="str">
        <f t="shared" si="189"/>
        <v/>
      </c>
      <c r="EB61" s="6" t="str">
        <f t="shared" si="190"/>
        <v/>
      </c>
      <c r="EC61" s="173" t="str">
        <f t="shared" si="191"/>
        <v/>
      </c>
      <c r="ED61" s="5" t="str">
        <f t="shared" si="192"/>
        <v/>
      </c>
      <c r="EE61" s="4" t="str">
        <f t="shared" si="193"/>
        <v/>
      </c>
      <c r="EF61" s="5" t="str">
        <f t="shared" si="194"/>
        <v/>
      </c>
      <c r="EG61" s="10" t="str">
        <f t="shared" si="195"/>
        <v/>
      </c>
      <c r="EH61" s="9" t="str">
        <f t="shared" si="196"/>
        <v/>
      </c>
      <c r="EI61" s="5" t="str">
        <f t="shared" si="197"/>
        <v/>
      </c>
      <c r="EJ61" s="6" t="str">
        <f t="shared" si="198"/>
        <v/>
      </c>
      <c r="EK61" s="236" t="str">
        <f t="shared" si="199"/>
        <v/>
      </c>
      <c r="EL61" s="238" t="str">
        <f t="shared" si="200"/>
        <v/>
      </c>
      <c r="EM61" s="4" t="str">
        <f t="shared" si="201"/>
        <v/>
      </c>
      <c r="EN61" s="5" t="str">
        <f t="shared" si="202"/>
        <v/>
      </c>
      <c r="EO61" s="10" t="str">
        <f t="shared" si="203"/>
        <v/>
      </c>
      <c r="EP61" s="9" t="str">
        <f t="shared" si="204"/>
        <v/>
      </c>
      <c r="EQ61" s="5" t="str">
        <f t="shared" si="205"/>
        <v/>
      </c>
      <c r="ER61" s="7" t="str">
        <f t="shared" si="206"/>
        <v/>
      </c>
      <c r="ES61" s="21" t="str">
        <f t="shared" si="351"/>
        <v/>
      </c>
      <c r="ET61" s="5" t="str">
        <f t="shared" si="352"/>
        <v/>
      </c>
      <c r="EU61" s="10" t="str">
        <f t="shared" si="353"/>
        <v/>
      </c>
      <c r="EV61" s="174" t="str">
        <f t="shared" si="485"/>
        <v/>
      </c>
      <c r="EW61" s="9" t="str">
        <f t="shared" si="486"/>
        <v/>
      </c>
      <c r="EX61" s="5" t="str">
        <f t="shared" si="487"/>
        <v/>
      </c>
      <c r="EY61" s="6" t="str">
        <f t="shared" si="207"/>
        <v/>
      </c>
      <c r="EZ61" s="51" t="str">
        <f t="shared" si="208"/>
        <v/>
      </c>
      <c r="FA61" s="173" t="str">
        <f t="shared" si="488"/>
        <v/>
      </c>
      <c r="FB61" s="5" t="str">
        <f t="shared" si="489"/>
        <v/>
      </c>
      <c r="FC61" s="6" t="str">
        <f t="shared" si="490"/>
        <v/>
      </c>
      <c r="FD61" s="4" t="str">
        <f t="shared" si="491"/>
        <v/>
      </c>
      <c r="FE61" s="5" t="str">
        <f t="shared" si="492"/>
        <v/>
      </c>
      <c r="FF61" s="7" t="str">
        <f t="shared" si="209"/>
        <v/>
      </c>
      <c r="FG61" s="173" t="str">
        <f t="shared" si="493"/>
        <v/>
      </c>
      <c r="FH61" s="5" t="str">
        <f t="shared" si="494"/>
        <v/>
      </c>
      <c r="FI61" s="10" t="str">
        <f t="shared" si="495"/>
        <v/>
      </c>
      <c r="FJ61" s="279" t="str">
        <f t="shared" si="211"/>
        <v/>
      </c>
      <c r="FK61" s="4" t="str">
        <f t="shared" si="496"/>
        <v/>
      </c>
      <c r="FL61" s="5" t="str">
        <f t="shared" si="212"/>
        <v/>
      </c>
      <c r="FM61" s="8" t="str">
        <f t="shared" si="213"/>
        <v/>
      </c>
      <c r="FN61" s="9" t="str">
        <f t="shared" si="214"/>
        <v/>
      </c>
      <c r="FO61" s="10" t="str">
        <f t="shared" si="497"/>
        <v/>
      </c>
      <c r="FP61" s="277" t="str">
        <f t="shared" si="498"/>
        <v/>
      </c>
      <c r="FQ61" s="173" t="str">
        <f t="shared" si="241"/>
        <v/>
      </c>
      <c r="FR61" s="10" t="str">
        <f t="shared" si="215"/>
        <v/>
      </c>
      <c r="FS61" s="9" t="str">
        <f t="shared" si="216"/>
        <v/>
      </c>
      <c r="FT61" s="6" t="str">
        <f t="shared" si="217"/>
        <v/>
      </c>
      <c r="FU61" s="4" t="str">
        <f t="shared" si="218"/>
        <v/>
      </c>
      <c r="FV61" s="5" t="str">
        <f t="shared" si="219"/>
        <v/>
      </c>
      <c r="FW61" s="8" t="str">
        <f t="shared" si="242"/>
        <v/>
      </c>
      <c r="FX61" s="9" t="str">
        <f t="shared" si="243"/>
        <v/>
      </c>
      <c r="FY61" s="10" t="str">
        <f t="shared" si="499"/>
        <v/>
      </c>
      <c r="FZ61" s="277" t="str">
        <f t="shared" si="244"/>
        <v/>
      </c>
      <c r="GA61" s="177" t="str">
        <f t="shared" si="220"/>
        <v/>
      </c>
      <c r="GB61" s="4" t="str">
        <f t="shared" si="221"/>
        <v/>
      </c>
      <c r="GC61" s="5" t="str">
        <f t="shared" si="222"/>
        <v/>
      </c>
      <c r="GD61" s="10" t="str">
        <f t="shared" si="223"/>
        <v/>
      </c>
      <c r="GE61" s="311" t="str">
        <f t="shared" si="224"/>
        <v/>
      </c>
      <c r="GF61" s="341" t="str">
        <f t="shared" si="245"/>
        <v/>
      </c>
      <c r="GG61" s="285" t="str">
        <f t="shared" si="500"/>
        <v/>
      </c>
      <c r="GH61" s="286" t="str">
        <f t="shared" si="501"/>
        <v/>
      </c>
      <c r="GI61" s="281" t="str">
        <f t="shared" si="502"/>
        <v/>
      </c>
      <c r="GJ61" s="167" t="str">
        <f t="shared" si="225"/>
        <v/>
      </c>
      <c r="GK61" s="174" t="str">
        <f t="shared" si="503"/>
        <v/>
      </c>
      <c r="GL61" s="174" t="str">
        <f t="shared" si="226"/>
        <v/>
      </c>
      <c r="GM61" s="177" t="str">
        <f t="shared" si="246"/>
        <v/>
      </c>
      <c r="GN61" s="280" t="str">
        <f t="shared" si="227"/>
        <v/>
      </c>
      <c r="GO61" s="4" t="str">
        <f t="shared" si="228"/>
        <v/>
      </c>
      <c r="GP61" s="8" t="str">
        <f t="shared" si="247"/>
        <v/>
      </c>
      <c r="GQ61" s="177" t="str">
        <f t="shared" si="229"/>
        <v/>
      </c>
      <c r="GR61" s="371" t="str">
        <f t="shared" si="248"/>
        <v/>
      </c>
      <c r="GS61" s="342" t="str">
        <f t="shared" si="504"/>
        <v/>
      </c>
      <c r="GT61" s="343" t="str">
        <f t="shared" si="505"/>
        <v/>
      </c>
      <c r="GU61" s="344" t="str">
        <f t="shared" si="506"/>
        <v/>
      </c>
      <c r="GV61" s="343" t="str">
        <f t="shared" si="251"/>
        <v/>
      </c>
      <c r="GW61" s="345" t="str">
        <f t="shared" si="507"/>
        <v/>
      </c>
      <c r="GX61" s="346" t="str">
        <f t="shared" si="508"/>
        <v/>
      </c>
      <c r="GY61" s="344" t="str">
        <f t="shared" si="509"/>
        <v/>
      </c>
      <c r="GZ61" s="345" t="str">
        <f t="shared" si="510"/>
        <v/>
      </c>
      <c r="HA61" s="342" t="str">
        <f t="shared" si="511"/>
        <v/>
      </c>
      <c r="HB61" s="5" t="str">
        <f t="shared" si="230"/>
        <v/>
      </c>
      <c r="HC61" s="343" t="str">
        <f t="shared" si="231"/>
        <v/>
      </c>
      <c r="HD61" s="363" t="str">
        <f t="shared" si="232"/>
        <v/>
      </c>
      <c r="HE61" s="344" t="str">
        <f t="shared" si="512"/>
        <v/>
      </c>
      <c r="HF61" s="5" t="str">
        <f t="shared" si="513"/>
        <v/>
      </c>
      <c r="HG61" s="343" t="str">
        <f t="shared" si="233"/>
        <v/>
      </c>
      <c r="HH61" s="349" t="str">
        <f t="shared" si="234"/>
        <v/>
      </c>
      <c r="HI61" s="317" t="str">
        <f t="shared" si="407"/>
        <v/>
      </c>
      <c r="HK61" s="310" t="str">
        <f t="shared" si="458"/>
        <v/>
      </c>
      <c r="HL61" s="348" t="str">
        <f t="shared" si="408"/>
        <v/>
      </c>
      <c r="HM61" s="923" t="str">
        <f t="shared" si="409"/>
        <v/>
      </c>
      <c r="HN61" s="924" t="str">
        <f t="shared" si="410"/>
        <v/>
      </c>
      <c r="HO61" s="925"/>
      <c r="HP61" s="926"/>
      <c r="HQ61" s="924" t="str">
        <f t="shared" si="411"/>
        <v/>
      </c>
      <c r="HR61" s="927" t="str">
        <f t="shared" si="412"/>
        <v/>
      </c>
      <c r="HS61" s="879" t="str">
        <f t="shared" si="459"/>
        <v/>
      </c>
      <c r="HT61" s="889" t="str">
        <f t="shared" si="413"/>
        <v/>
      </c>
      <c r="HU61" s="890" t="str">
        <f t="shared" si="414"/>
        <v/>
      </c>
      <c r="HV61" s="886" t="str">
        <f t="shared" si="415"/>
        <v/>
      </c>
      <c r="HW61" s="880" t="str">
        <f t="shared" si="416"/>
        <v/>
      </c>
      <c r="HX61" s="881" t="str">
        <f t="shared" si="417"/>
        <v/>
      </c>
      <c r="HY61" s="880" t="str">
        <f t="shared" si="418"/>
        <v/>
      </c>
      <c r="HZ61" s="882" t="str">
        <f t="shared" si="419"/>
        <v/>
      </c>
      <c r="IA61" s="883" t="str">
        <f t="shared" si="420"/>
        <v/>
      </c>
      <c r="IB61" s="884" t="str">
        <f t="shared" si="421"/>
        <v/>
      </c>
      <c r="IC61" s="855" t="str">
        <f t="shared" si="422"/>
        <v/>
      </c>
      <c r="ID61" s="351" t="str">
        <f t="shared" si="423"/>
        <v/>
      </c>
      <c r="IE61" s="857" t="str">
        <f t="shared" si="42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35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25"/>
        <v/>
      </c>
      <c r="IM61" s="482" t="str">
        <f t="shared" si="236"/>
        <v/>
      </c>
      <c r="IN61" s="670" t="str">
        <f t="shared" si="426"/>
        <v/>
      </c>
      <c r="IO61" s="702"/>
      <c r="IP61" s="5" t="str">
        <f t="shared" si="427"/>
        <v/>
      </c>
      <c r="IQ61" s="714"/>
      <c r="IR61" s="9" t="str">
        <f t="shared" si="428"/>
        <v/>
      </c>
      <c r="IS61" s="5" t="str">
        <f t="shared" si="429"/>
        <v/>
      </c>
      <c r="IT61" s="5" t="str">
        <f t="shared" si="430"/>
        <v/>
      </c>
      <c r="IU61" s="5" t="str">
        <f t="shared" si="431"/>
        <v/>
      </c>
      <c r="IV61" s="670" t="str">
        <f t="shared" si="432"/>
        <v/>
      </c>
      <c r="IW61" s="9" t="str">
        <f t="shared" si="433"/>
        <v/>
      </c>
      <c r="IX61" s="5" t="str">
        <f t="shared" si="434"/>
        <v/>
      </c>
      <c r="IY61" s="5" t="str">
        <f t="shared" si="435"/>
        <v/>
      </c>
      <c r="IZ61" s="5" t="str">
        <f t="shared" si="436"/>
        <v/>
      </c>
      <c r="JA61" s="705" t="str">
        <f t="shared" si="437"/>
        <v/>
      </c>
    </row>
    <row r="62" spans="1:261" ht="15" customHeight="1" x14ac:dyDescent="0.25">
      <c r="A62" s="75" t="str">
        <f t="shared" si="254"/>
        <v/>
      </c>
      <c r="B62" s="578" t="str">
        <f t="shared" si="255"/>
        <v/>
      </c>
      <c r="C62" s="572" t="str">
        <f t="shared" si="256"/>
        <v/>
      </c>
      <c r="D62" s="576" t="str">
        <f t="shared" si="257"/>
        <v/>
      </c>
      <c r="E62" s="580" t="str">
        <f t="shared" si="258"/>
        <v/>
      </c>
      <c r="F62" s="572" t="str">
        <f t="shared" si="259"/>
        <v/>
      </c>
      <c r="G62" s="579" t="str">
        <f t="shared" si="260"/>
        <v/>
      </c>
      <c r="H62" s="580" t="str">
        <f t="shared" si="261"/>
        <v/>
      </c>
      <c r="I62" s="572" t="str">
        <f t="shared" si="262"/>
        <v/>
      </c>
      <c r="J62" s="483" t="str">
        <f t="shared" si="263"/>
        <v/>
      </c>
      <c r="K62" s="806" t="str">
        <f t="shared" si="264"/>
        <v/>
      </c>
      <c r="L62" s="309"/>
      <c r="M62" s="164" t="str">
        <f t="shared" si="265"/>
        <v/>
      </c>
      <c r="N62" s="575" t="str">
        <f t="shared" si="266"/>
        <v/>
      </c>
      <c r="O62" s="572" t="str">
        <f t="shared" si="267"/>
        <v/>
      </c>
      <c r="P62" s="576" t="str">
        <f t="shared" si="268"/>
        <v/>
      </c>
      <c r="Q62" s="528" t="str">
        <f t="shared" si="138"/>
        <v/>
      </c>
      <c r="R62" s="572" t="str">
        <f t="shared" si="100"/>
        <v/>
      </c>
      <c r="S62" s="577" t="str">
        <f t="shared" si="101"/>
        <v/>
      </c>
      <c r="T62" s="578" t="str">
        <f t="shared" si="102"/>
        <v/>
      </c>
      <c r="U62" s="572" t="str">
        <f t="shared" si="103"/>
        <v/>
      </c>
      <c r="V62" s="579" t="str">
        <f t="shared" si="139"/>
        <v/>
      </c>
      <c r="W62" s="528" t="str">
        <f t="shared" si="252"/>
        <v/>
      </c>
      <c r="X62" s="572" t="str">
        <f t="shared" si="104"/>
        <v/>
      </c>
      <c r="Y62" s="573" t="str">
        <f t="shared" si="253"/>
        <v/>
      </c>
      <c r="Z62" s="575" t="str">
        <f t="shared" si="269"/>
        <v/>
      </c>
      <c r="AA62" s="572" t="str">
        <f t="shared" si="270"/>
        <v/>
      </c>
      <c r="AB62" s="572" t="str">
        <f t="shared" si="271"/>
        <v/>
      </c>
      <c r="AC62" s="579" t="str">
        <f t="shared" si="105"/>
        <v/>
      </c>
      <c r="AD62" s="580" t="str">
        <f t="shared" si="140"/>
        <v/>
      </c>
      <c r="AE62" s="572" t="str">
        <f t="shared" si="106"/>
        <v/>
      </c>
      <c r="AF62" s="576" t="str">
        <f t="shared" si="107"/>
        <v/>
      </c>
      <c r="AG62" s="545" t="str">
        <f t="shared" si="108"/>
        <v/>
      </c>
      <c r="AH62" s="546" t="str">
        <f t="shared" si="109"/>
        <v/>
      </c>
      <c r="AI62" s="528" t="str">
        <f t="shared" si="110"/>
        <v/>
      </c>
      <c r="AJ62" s="529" t="str">
        <f t="shared" si="111"/>
        <v/>
      </c>
      <c r="AK62" s="578" t="str">
        <f t="shared" si="237"/>
        <v/>
      </c>
      <c r="AL62" s="572" t="str">
        <f t="shared" si="112"/>
        <v/>
      </c>
      <c r="AM62" s="577" t="str">
        <f t="shared" si="113"/>
        <v/>
      </c>
      <c r="AN62" s="524" t="str">
        <f t="shared" si="114"/>
        <v/>
      </c>
      <c r="AO62" s="525" t="str">
        <f t="shared" si="514"/>
        <v/>
      </c>
      <c r="AP62" s="528" t="str">
        <f t="shared" si="116"/>
        <v/>
      </c>
      <c r="AQ62" s="529" t="str">
        <f t="shared" si="272"/>
        <v/>
      </c>
      <c r="AS62" s="946" t="str">
        <f t="shared" si="460"/>
        <v/>
      </c>
      <c r="AT62" s="942" t="str">
        <f t="shared" si="273"/>
        <v/>
      </c>
      <c r="AU62" s="418"/>
      <c r="AV62" s="164" t="str">
        <f t="shared" si="27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2"/>
        <v/>
      </c>
      <c r="BA62" s="296" t="str">
        <f t="shared" si="276"/>
        <v/>
      </c>
      <c r="BB62" s="177" t="str">
        <f t="shared" si="143"/>
        <v/>
      </c>
      <c r="BC62" s="9"/>
      <c r="BD62" s="5" t="str">
        <f t="shared" si="144"/>
        <v/>
      </c>
      <c r="BE62" s="6" t="str">
        <f t="shared" si="278"/>
        <v/>
      </c>
      <c r="BF62" s="4" t="str">
        <f t="shared" si="279"/>
        <v/>
      </c>
      <c r="BG62" s="5" t="str">
        <f t="shared" si="280"/>
        <v/>
      </c>
      <c r="BH62" s="10" t="str">
        <f t="shared" si="281"/>
        <v/>
      </c>
      <c r="BI62" s="9" t="str">
        <f t="shared" si="145"/>
        <v/>
      </c>
      <c r="BJ62" s="5" t="str">
        <f t="shared" si="283"/>
        <v/>
      </c>
      <c r="BK62" s="8" t="str">
        <f t="shared" si="284"/>
        <v/>
      </c>
      <c r="BL62" s="173" t="str">
        <f t="shared" si="285"/>
        <v/>
      </c>
      <c r="BM62" s="5" t="str">
        <f t="shared" si="286"/>
        <v/>
      </c>
      <c r="BN62" s="6" t="str">
        <f t="shared" si="287"/>
        <v/>
      </c>
      <c r="BO62" s="4" t="str">
        <f t="shared" si="146"/>
        <v/>
      </c>
      <c r="BP62" s="5" t="str">
        <f t="shared" si="147"/>
        <v/>
      </c>
      <c r="BQ62" s="5" t="str">
        <f t="shared" si="148"/>
        <v/>
      </c>
      <c r="BR62" s="6" t="str">
        <f t="shared" si="149"/>
        <v/>
      </c>
      <c r="BS62" s="4" t="str">
        <f t="shared" si="482"/>
        <v/>
      </c>
      <c r="BT62" s="5" t="str">
        <f t="shared" si="482"/>
        <v/>
      </c>
      <c r="BU62" s="10" t="str">
        <f t="shared" si="118"/>
        <v/>
      </c>
      <c r="BV62" s="9" t="str">
        <f t="shared" si="119"/>
        <v/>
      </c>
      <c r="BW62" s="5" t="str">
        <f t="shared" si="120"/>
        <v/>
      </c>
      <c r="BX62" s="8" t="str">
        <f t="shared" si="121"/>
        <v/>
      </c>
      <c r="BY62" s="173" t="str">
        <f t="shared" si="122"/>
        <v/>
      </c>
      <c r="BZ62" s="5" t="str">
        <f t="shared" si="123"/>
        <v/>
      </c>
      <c r="CA62" s="6" t="str">
        <f t="shared" si="124"/>
        <v/>
      </c>
      <c r="CB62" s="4" t="str">
        <f t="shared" si="150"/>
        <v/>
      </c>
      <c r="CC62" s="5" t="str">
        <f t="shared" si="151"/>
        <v/>
      </c>
      <c r="CD62" s="5" t="str">
        <f t="shared" si="152"/>
        <v/>
      </c>
      <c r="CE62" s="6" t="str">
        <f t="shared" si="153"/>
        <v/>
      </c>
      <c r="CF62" s="4" t="str">
        <f t="shared" si="154"/>
        <v/>
      </c>
      <c r="CG62" s="5" t="str">
        <f t="shared" si="155"/>
        <v/>
      </c>
      <c r="CH62" s="5" t="str">
        <f t="shared" si="156"/>
        <v/>
      </c>
      <c r="CI62" s="4" t="str">
        <f t="shared" si="125"/>
        <v/>
      </c>
      <c r="CJ62" s="5" t="str">
        <f t="shared" si="126"/>
        <v/>
      </c>
      <c r="CK62" s="8" t="str">
        <f t="shared" si="127"/>
        <v/>
      </c>
      <c r="CL62" s="173" t="str">
        <f t="shared" si="128"/>
        <v/>
      </c>
      <c r="CM62" s="5" t="str">
        <f t="shared" si="129"/>
        <v/>
      </c>
      <c r="CN62" s="6" t="str">
        <f t="shared" si="130"/>
        <v/>
      </c>
      <c r="CO62" s="167" t="str">
        <f t="shared" si="304"/>
        <v/>
      </c>
      <c r="CP62" s="4" t="str">
        <f t="shared" si="238"/>
        <v/>
      </c>
      <c r="CQ62" s="5" t="str">
        <f t="shared" si="239"/>
        <v/>
      </c>
      <c r="CR62" s="5" t="str">
        <f t="shared" si="157"/>
        <v/>
      </c>
      <c r="CS62" s="8" t="str">
        <f t="shared" si="158"/>
        <v/>
      </c>
      <c r="CT62" s="9" t="str">
        <f t="shared" si="159"/>
        <v/>
      </c>
      <c r="CU62" s="6" t="str">
        <f t="shared" si="160"/>
        <v/>
      </c>
      <c r="CV62" s="4" t="str">
        <f t="shared" si="240"/>
        <v/>
      </c>
      <c r="CW62" s="5" t="str">
        <f t="shared" si="161"/>
        <v/>
      </c>
      <c r="CX62" s="8" t="str">
        <f t="shared" si="162"/>
        <v/>
      </c>
      <c r="CY62" s="9" t="str">
        <f t="shared" si="163"/>
        <v/>
      </c>
      <c r="CZ62" s="5" t="str">
        <f t="shared" si="164"/>
        <v/>
      </c>
      <c r="DA62" s="6" t="str">
        <f t="shared" si="165"/>
        <v/>
      </c>
      <c r="DB62" s="4" t="str">
        <f t="shared" si="483"/>
        <v/>
      </c>
      <c r="DC62" s="5" t="str">
        <f t="shared" si="483"/>
        <v/>
      </c>
      <c r="DD62" s="10" t="str">
        <f t="shared" si="167"/>
        <v/>
      </c>
      <c r="DE62" s="9" t="str">
        <f t="shared" si="484"/>
        <v/>
      </c>
      <c r="DF62" s="5" t="str">
        <f t="shared" si="484"/>
        <v/>
      </c>
      <c r="DG62" s="10" t="str">
        <f t="shared" si="169"/>
        <v/>
      </c>
      <c r="DH62" s="70" t="str">
        <f t="shared" si="170"/>
        <v/>
      </c>
      <c r="DI62" s="4" t="str">
        <f t="shared" si="171"/>
        <v/>
      </c>
      <c r="DJ62" s="5" t="str">
        <f t="shared" si="172"/>
        <v/>
      </c>
      <c r="DK62" s="10" t="str">
        <f t="shared" si="173"/>
        <v/>
      </c>
      <c r="DL62" s="9" t="str">
        <f t="shared" si="174"/>
        <v/>
      </c>
      <c r="DM62" s="173" t="str">
        <f t="shared" si="175"/>
        <v/>
      </c>
      <c r="DN62" s="178" t="str">
        <f t="shared" si="176"/>
        <v/>
      </c>
      <c r="DO62" s="9" t="str">
        <f t="shared" si="177"/>
        <v/>
      </c>
      <c r="DP62" s="173" t="str">
        <f t="shared" si="178"/>
        <v/>
      </c>
      <c r="DQ62" s="11" t="str">
        <f t="shared" si="179"/>
        <v/>
      </c>
      <c r="DR62" s="173" t="str">
        <f t="shared" si="180"/>
        <v/>
      </c>
      <c r="DS62" s="5" t="str">
        <f t="shared" si="181"/>
        <v/>
      </c>
      <c r="DT62" s="5" t="str">
        <f t="shared" si="182"/>
        <v/>
      </c>
      <c r="DU62" s="5" t="str">
        <f t="shared" si="183"/>
        <v/>
      </c>
      <c r="DV62" s="5" t="str">
        <f t="shared" si="184"/>
        <v/>
      </c>
      <c r="DW62" s="5" t="str">
        <f t="shared" si="185"/>
        <v/>
      </c>
      <c r="DX62" s="167" t="str">
        <f t="shared" si="186"/>
        <v/>
      </c>
      <c r="DY62" s="9" t="str">
        <f t="shared" si="187"/>
        <v/>
      </c>
      <c r="DZ62" s="5" t="str">
        <f t="shared" si="188"/>
        <v/>
      </c>
      <c r="EA62" s="10" t="str">
        <f t="shared" si="189"/>
        <v/>
      </c>
      <c r="EB62" s="6" t="str">
        <f t="shared" si="190"/>
        <v/>
      </c>
      <c r="EC62" s="173" t="str">
        <f t="shared" si="191"/>
        <v/>
      </c>
      <c r="ED62" s="5" t="str">
        <f t="shared" si="192"/>
        <v/>
      </c>
      <c r="EE62" s="4" t="str">
        <f t="shared" si="193"/>
        <v/>
      </c>
      <c r="EF62" s="5" t="str">
        <f t="shared" si="194"/>
        <v/>
      </c>
      <c r="EG62" s="10" t="str">
        <f t="shared" si="195"/>
        <v/>
      </c>
      <c r="EH62" s="9" t="str">
        <f t="shared" si="196"/>
        <v/>
      </c>
      <c r="EI62" s="5" t="str">
        <f t="shared" si="197"/>
        <v/>
      </c>
      <c r="EJ62" s="6" t="str">
        <f t="shared" si="198"/>
        <v/>
      </c>
      <c r="EK62" s="236" t="str">
        <f t="shared" si="199"/>
        <v/>
      </c>
      <c r="EL62" s="238" t="str">
        <f t="shared" si="200"/>
        <v/>
      </c>
      <c r="EM62" s="4" t="str">
        <f t="shared" si="201"/>
        <v/>
      </c>
      <c r="EN62" s="5" t="str">
        <f t="shared" si="202"/>
        <v/>
      </c>
      <c r="EO62" s="10" t="str">
        <f t="shared" si="203"/>
        <v/>
      </c>
      <c r="EP62" s="9" t="str">
        <f t="shared" si="204"/>
        <v/>
      </c>
      <c r="EQ62" s="5" t="str">
        <f t="shared" si="205"/>
        <v/>
      </c>
      <c r="ER62" s="7" t="str">
        <f t="shared" si="206"/>
        <v/>
      </c>
      <c r="ES62" s="21" t="str">
        <f t="shared" si="351"/>
        <v/>
      </c>
      <c r="ET62" s="5" t="str">
        <f t="shared" si="352"/>
        <v/>
      </c>
      <c r="EU62" s="10" t="str">
        <f t="shared" si="353"/>
        <v/>
      </c>
      <c r="EV62" s="174" t="str">
        <f t="shared" si="485"/>
        <v/>
      </c>
      <c r="EW62" s="9" t="str">
        <f t="shared" si="486"/>
        <v/>
      </c>
      <c r="EX62" s="5" t="str">
        <f t="shared" si="487"/>
        <v/>
      </c>
      <c r="EY62" s="6" t="str">
        <f t="shared" si="207"/>
        <v/>
      </c>
      <c r="EZ62" s="51" t="str">
        <f t="shared" si="208"/>
        <v/>
      </c>
      <c r="FA62" s="173" t="str">
        <f t="shared" si="488"/>
        <v/>
      </c>
      <c r="FB62" s="5" t="str">
        <f t="shared" si="489"/>
        <v/>
      </c>
      <c r="FC62" s="6" t="str">
        <f t="shared" si="490"/>
        <v/>
      </c>
      <c r="FD62" s="4" t="str">
        <f t="shared" si="491"/>
        <v/>
      </c>
      <c r="FE62" s="5" t="str">
        <f t="shared" si="492"/>
        <v/>
      </c>
      <c r="FF62" s="7" t="str">
        <f t="shared" si="209"/>
        <v/>
      </c>
      <c r="FG62" s="173" t="str">
        <f t="shared" si="493"/>
        <v/>
      </c>
      <c r="FH62" s="5" t="str">
        <f t="shared" si="494"/>
        <v/>
      </c>
      <c r="FI62" s="10" t="str">
        <f t="shared" si="495"/>
        <v/>
      </c>
      <c r="FJ62" s="279" t="str">
        <f t="shared" si="211"/>
        <v/>
      </c>
      <c r="FK62" s="4" t="str">
        <f t="shared" si="496"/>
        <v/>
      </c>
      <c r="FL62" s="5" t="str">
        <f t="shared" si="212"/>
        <v/>
      </c>
      <c r="FM62" s="8" t="str">
        <f t="shared" si="213"/>
        <v/>
      </c>
      <c r="FN62" s="9" t="str">
        <f t="shared" si="214"/>
        <v/>
      </c>
      <c r="FO62" s="10" t="str">
        <f t="shared" si="497"/>
        <v/>
      </c>
      <c r="FP62" s="277" t="str">
        <f t="shared" si="498"/>
        <v/>
      </c>
      <c r="FQ62" s="173" t="str">
        <f t="shared" si="241"/>
        <v/>
      </c>
      <c r="FR62" s="10" t="str">
        <f t="shared" si="215"/>
        <v/>
      </c>
      <c r="FS62" s="9" t="str">
        <f t="shared" si="216"/>
        <v/>
      </c>
      <c r="FT62" s="6" t="str">
        <f t="shared" si="217"/>
        <v/>
      </c>
      <c r="FU62" s="4" t="str">
        <f t="shared" si="218"/>
        <v/>
      </c>
      <c r="FV62" s="5" t="str">
        <f t="shared" si="219"/>
        <v/>
      </c>
      <c r="FW62" s="8" t="str">
        <f t="shared" si="242"/>
        <v/>
      </c>
      <c r="FX62" s="9" t="str">
        <f t="shared" si="243"/>
        <v/>
      </c>
      <c r="FY62" s="10" t="str">
        <f t="shared" si="499"/>
        <v/>
      </c>
      <c r="FZ62" s="277" t="str">
        <f t="shared" si="244"/>
        <v/>
      </c>
      <c r="GA62" s="177" t="str">
        <f t="shared" si="220"/>
        <v/>
      </c>
      <c r="GB62" s="4" t="str">
        <f t="shared" si="221"/>
        <v/>
      </c>
      <c r="GC62" s="5" t="str">
        <f t="shared" si="222"/>
        <v/>
      </c>
      <c r="GD62" s="10" t="str">
        <f t="shared" si="223"/>
        <v/>
      </c>
      <c r="GE62" s="311" t="str">
        <f t="shared" si="224"/>
        <v/>
      </c>
      <c r="GF62" s="341" t="str">
        <f t="shared" si="245"/>
        <v/>
      </c>
      <c r="GG62" s="285" t="str">
        <f t="shared" si="500"/>
        <v/>
      </c>
      <c r="GH62" s="286" t="str">
        <f t="shared" si="501"/>
        <v/>
      </c>
      <c r="GI62" s="281" t="str">
        <f t="shared" si="502"/>
        <v/>
      </c>
      <c r="GJ62" s="167" t="str">
        <f t="shared" si="225"/>
        <v/>
      </c>
      <c r="GK62" s="174" t="str">
        <f t="shared" si="503"/>
        <v/>
      </c>
      <c r="GL62" s="174" t="str">
        <f t="shared" si="226"/>
        <v/>
      </c>
      <c r="GM62" s="177" t="str">
        <f t="shared" si="246"/>
        <v/>
      </c>
      <c r="GN62" s="280" t="str">
        <f t="shared" si="227"/>
        <v/>
      </c>
      <c r="GO62" s="4" t="str">
        <f t="shared" si="228"/>
        <v/>
      </c>
      <c r="GP62" s="8" t="str">
        <f t="shared" si="247"/>
        <v/>
      </c>
      <c r="GQ62" s="177" t="str">
        <f t="shared" si="229"/>
        <v/>
      </c>
      <c r="GR62" s="371" t="str">
        <f t="shared" si="248"/>
        <v/>
      </c>
      <c r="GS62" s="342" t="str">
        <f t="shared" si="504"/>
        <v/>
      </c>
      <c r="GT62" s="343" t="str">
        <f t="shared" si="505"/>
        <v/>
      </c>
      <c r="GU62" s="344" t="str">
        <f t="shared" si="506"/>
        <v/>
      </c>
      <c r="GV62" s="343" t="str">
        <f t="shared" si="251"/>
        <v/>
      </c>
      <c r="GW62" s="345" t="str">
        <f t="shared" si="507"/>
        <v/>
      </c>
      <c r="GX62" s="346" t="str">
        <f t="shared" si="508"/>
        <v/>
      </c>
      <c r="GY62" s="344" t="str">
        <f t="shared" si="509"/>
        <v/>
      </c>
      <c r="GZ62" s="345" t="str">
        <f t="shared" si="510"/>
        <v/>
      </c>
      <c r="HA62" s="342" t="str">
        <f t="shared" si="511"/>
        <v/>
      </c>
      <c r="HB62" s="5" t="str">
        <f t="shared" si="230"/>
        <v/>
      </c>
      <c r="HC62" s="343" t="str">
        <f t="shared" si="231"/>
        <v/>
      </c>
      <c r="HD62" s="363" t="str">
        <f t="shared" si="232"/>
        <v/>
      </c>
      <c r="HE62" s="344" t="str">
        <f t="shared" si="512"/>
        <v/>
      </c>
      <c r="HF62" s="5" t="str">
        <f t="shared" si="513"/>
        <v/>
      </c>
      <c r="HG62" s="343" t="str">
        <f t="shared" si="233"/>
        <v/>
      </c>
      <c r="HH62" s="349" t="str">
        <f t="shared" si="234"/>
        <v/>
      </c>
      <c r="HI62" s="317" t="str">
        <f t="shared" si="407"/>
        <v/>
      </c>
      <c r="HK62" s="310" t="str">
        <f t="shared" si="458"/>
        <v/>
      </c>
      <c r="HL62" s="348" t="str">
        <f t="shared" si="408"/>
        <v/>
      </c>
      <c r="HM62" s="923" t="str">
        <f t="shared" si="409"/>
        <v/>
      </c>
      <c r="HN62" s="924" t="str">
        <f t="shared" si="410"/>
        <v/>
      </c>
      <c r="HO62" s="925"/>
      <c r="HP62" s="926"/>
      <c r="HQ62" s="924" t="str">
        <f t="shared" si="411"/>
        <v/>
      </c>
      <c r="HR62" s="927" t="str">
        <f t="shared" si="412"/>
        <v/>
      </c>
      <c r="HS62" s="879" t="str">
        <f t="shared" si="459"/>
        <v/>
      </c>
      <c r="HT62" s="889" t="str">
        <f t="shared" si="413"/>
        <v/>
      </c>
      <c r="HU62" s="890" t="str">
        <f t="shared" si="414"/>
        <v/>
      </c>
      <c r="HV62" s="886" t="str">
        <f t="shared" si="415"/>
        <v/>
      </c>
      <c r="HW62" s="880" t="str">
        <f t="shared" si="416"/>
        <v/>
      </c>
      <c r="HX62" s="881" t="str">
        <f t="shared" si="417"/>
        <v/>
      </c>
      <c r="HY62" s="880" t="str">
        <f t="shared" si="418"/>
        <v/>
      </c>
      <c r="HZ62" s="882" t="str">
        <f t="shared" si="419"/>
        <v/>
      </c>
      <c r="IA62" s="883" t="str">
        <f t="shared" si="420"/>
        <v/>
      </c>
      <c r="IB62" s="884" t="str">
        <f t="shared" si="421"/>
        <v/>
      </c>
      <c r="IC62" s="855" t="str">
        <f t="shared" si="422"/>
        <v/>
      </c>
      <c r="ID62" s="351" t="str">
        <f t="shared" si="423"/>
        <v/>
      </c>
      <c r="IE62" s="857" t="str">
        <f t="shared" si="42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5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25"/>
        <v/>
      </c>
      <c r="IM62" s="482" t="str">
        <f t="shared" si="236"/>
        <v/>
      </c>
      <c r="IN62" s="670" t="str">
        <f t="shared" si="426"/>
        <v/>
      </c>
      <c r="IO62" s="702"/>
      <c r="IP62" s="5" t="str">
        <f t="shared" si="427"/>
        <v/>
      </c>
      <c r="IQ62" s="714"/>
      <c r="IR62" s="9" t="str">
        <f t="shared" si="428"/>
        <v/>
      </c>
      <c r="IS62" s="5" t="str">
        <f t="shared" si="429"/>
        <v/>
      </c>
      <c r="IT62" s="5" t="str">
        <f t="shared" si="430"/>
        <v/>
      </c>
      <c r="IU62" s="5" t="str">
        <f t="shared" si="431"/>
        <v/>
      </c>
      <c r="IV62" s="670" t="str">
        <f t="shared" si="432"/>
        <v/>
      </c>
      <c r="IW62" s="9" t="str">
        <f t="shared" si="433"/>
        <v/>
      </c>
      <c r="IX62" s="5" t="str">
        <f t="shared" si="434"/>
        <v/>
      </c>
      <c r="IY62" s="5" t="str">
        <f t="shared" si="435"/>
        <v/>
      </c>
      <c r="IZ62" s="5" t="str">
        <f t="shared" si="436"/>
        <v/>
      </c>
      <c r="JA62" s="705" t="str">
        <f t="shared" si="437"/>
        <v/>
      </c>
    </row>
    <row r="63" spans="1:261" ht="15" customHeight="1" x14ac:dyDescent="0.25">
      <c r="A63" s="75" t="str">
        <f t="shared" si="254"/>
        <v/>
      </c>
      <c r="B63" s="578" t="str">
        <f t="shared" si="255"/>
        <v/>
      </c>
      <c r="C63" s="572" t="str">
        <f t="shared" si="256"/>
        <v/>
      </c>
      <c r="D63" s="576" t="str">
        <f t="shared" si="257"/>
        <v/>
      </c>
      <c r="E63" s="580" t="str">
        <f t="shared" si="258"/>
        <v/>
      </c>
      <c r="F63" s="572" t="str">
        <f t="shared" si="259"/>
        <v/>
      </c>
      <c r="G63" s="579" t="str">
        <f t="shared" si="260"/>
        <v/>
      </c>
      <c r="H63" s="580" t="str">
        <f t="shared" si="261"/>
        <v/>
      </c>
      <c r="I63" s="572" t="str">
        <f t="shared" si="262"/>
        <v/>
      </c>
      <c r="J63" s="483" t="str">
        <f t="shared" si="263"/>
        <v/>
      </c>
      <c r="K63" s="806" t="str">
        <f t="shared" si="264"/>
        <v/>
      </c>
      <c r="L63" s="309"/>
      <c r="M63" s="164" t="str">
        <f t="shared" si="265"/>
        <v/>
      </c>
      <c r="N63" s="575" t="str">
        <f t="shared" si="266"/>
        <v/>
      </c>
      <c r="O63" s="572" t="str">
        <f t="shared" si="267"/>
        <v/>
      </c>
      <c r="P63" s="576" t="str">
        <f t="shared" si="268"/>
        <v/>
      </c>
      <c r="Q63" s="528" t="str">
        <f t="shared" si="138"/>
        <v/>
      </c>
      <c r="R63" s="572" t="str">
        <f t="shared" si="100"/>
        <v/>
      </c>
      <c r="S63" s="577" t="str">
        <f t="shared" si="101"/>
        <v/>
      </c>
      <c r="T63" s="578" t="str">
        <f t="shared" si="102"/>
        <v/>
      </c>
      <c r="U63" s="572" t="str">
        <f t="shared" si="103"/>
        <v/>
      </c>
      <c r="V63" s="579" t="str">
        <f t="shared" si="139"/>
        <v/>
      </c>
      <c r="W63" s="528" t="str">
        <f t="shared" si="252"/>
        <v/>
      </c>
      <c r="X63" s="572" t="str">
        <f t="shared" si="104"/>
        <v/>
      </c>
      <c r="Y63" s="573" t="str">
        <f t="shared" si="253"/>
        <v/>
      </c>
      <c r="Z63" s="575" t="str">
        <f t="shared" si="269"/>
        <v/>
      </c>
      <c r="AA63" s="572" t="str">
        <f t="shared" si="270"/>
        <v/>
      </c>
      <c r="AB63" s="572" t="str">
        <f t="shared" si="271"/>
        <v/>
      </c>
      <c r="AC63" s="579" t="str">
        <f t="shared" si="105"/>
        <v/>
      </c>
      <c r="AD63" s="580" t="str">
        <f t="shared" si="140"/>
        <v/>
      </c>
      <c r="AE63" s="572" t="str">
        <f t="shared" si="106"/>
        <v/>
      </c>
      <c r="AF63" s="576" t="str">
        <f t="shared" si="107"/>
        <v/>
      </c>
      <c r="AG63" s="545" t="str">
        <f t="shared" si="108"/>
        <v/>
      </c>
      <c r="AH63" s="546" t="str">
        <f t="shared" si="109"/>
        <v/>
      </c>
      <c r="AI63" s="528" t="str">
        <f t="shared" si="110"/>
        <v/>
      </c>
      <c r="AJ63" s="529" t="str">
        <f t="shared" si="111"/>
        <v/>
      </c>
      <c r="AK63" s="578" t="str">
        <f t="shared" si="237"/>
        <v/>
      </c>
      <c r="AL63" s="572" t="str">
        <f t="shared" si="112"/>
        <v/>
      </c>
      <c r="AM63" s="577" t="str">
        <f t="shared" si="113"/>
        <v/>
      </c>
      <c r="AN63" s="524" t="str">
        <f t="shared" si="114"/>
        <v/>
      </c>
      <c r="AO63" s="525" t="str">
        <f t="shared" si="514"/>
        <v/>
      </c>
      <c r="AP63" s="528" t="str">
        <f t="shared" si="116"/>
        <v/>
      </c>
      <c r="AQ63" s="529" t="str">
        <f t="shared" si="272"/>
        <v/>
      </c>
      <c r="AS63" s="946" t="str">
        <f t="shared" si="460"/>
        <v/>
      </c>
      <c r="AT63" s="942" t="str">
        <f t="shared" si="273"/>
        <v/>
      </c>
      <c r="AU63" s="418"/>
      <c r="AV63" s="164" t="str">
        <f t="shared" si="27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2"/>
        <v/>
      </c>
      <c r="BA63" s="296" t="str">
        <f t="shared" si="276"/>
        <v/>
      </c>
      <c r="BB63" s="177" t="str">
        <f t="shared" si="143"/>
        <v/>
      </c>
      <c r="BC63" s="9"/>
      <c r="BD63" s="5" t="str">
        <f t="shared" si="144"/>
        <v/>
      </c>
      <c r="BE63" s="6" t="str">
        <f t="shared" si="278"/>
        <v/>
      </c>
      <c r="BF63" s="4" t="str">
        <f t="shared" si="279"/>
        <v/>
      </c>
      <c r="BG63" s="5" t="str">
        <f t="shared" si="280"/>
        <v/>
      </c>
      <c r="BH63" s="10" t="str">
        <f t="shared" si="281"/>
        <v/>
      </c>
      <c r="BI63" s="9" t="str">
        <f t="shared" si="145"/>
        <v/>
      </c>
      <c r="BJ63" s="5" t="str">
        <f t="shared" si="283"/>
        <v/>
      </c>
      <c r="BK63" s="8" t="str">
        <f t="shared" si="284"/>
        <v/>
      </c>
      <c r="BL63" s="173" t="str">
        <f t="shared" si="285"/>
        <v/>
      </c>
      <c r="BM63" s="5" t="str">
        <f t="shared" si="286"/>
        <v/>
      </c>
      <c r="BN63" s="6" t="str">
        <f t="shared" si="287"/>
        <v/>
      </c>
      <c r="BO63" s="4" t="str">
        <f t="shared" si="146"/>
        <v/>
      </c>
      <c r="BP63" s="5" t="str">
        <f t="shared" si="147"/>
        <v/>
      </c>
      <c r="BQ63" s="5" t="str">
        <f t="shared" si="148"/>
        <v/>
      </c>
      <c r="BR63" s="6" t="str">
        <f t="shared" si="149"/>
        <v/>
      </c>
      <c r="BS63" s="4" t="str">
        <f t="shared" si="482"/>
        <v/>
      </c>
      <c r="BT63" s="5" t="str">
        <f t="shared" si="482"/>
        <v/>
      </c>
      <c r="BU63" s="10" t="str">
        <f t="shared" si="118"/>
        <v/>
      </c>
      <c r="BV63" s="9" t="str">
        <f t="shared" si="119"/>
        <v/>
      </c>
      <c r="BW63" s="5" t="str">
        <f t="shared" si="120"/>
        <v/>
      </c>
      <c r="BX63" s="8" t="str">
        <f t="shared" si="121"/>
        <v/>
      </c>
      <c r="BY63" s="173" t="str">
        <f t="shared" si="122"/>
        <v/>
      </c>
      <c r="BZ63" s="5" t="str">
        <f t="shared" si="123"/>
        <v/>
      </c>
      <c r="CA63" s="6" t="str">
        <f t="shared" si="124"/>
        <v/>
      </c>
      <c r="CB63" s="4" t="str">
        <f t="shared" si="150"/>
        <v/>
      </c>
      <c r="CC63" s="5" t="str">
        <f t="shared" si="151"/>
        <v/>
      </c>
      <c r="CD63" s="5" t="str">
        <f t="shared" si="152"/>
        <v/>
      </c>
      <c r="CE63" s="6" t="str">
        <f t="shared" si="153"/>
        <v/>
      </c>
      <c r="CF63" s="4" t="str">
        <f t="shared" si="154"/>
        <v/>
      </c>
      <c r="CG63" s="5" t="str">
        <f t="shared" si="155"/>
        <v/>
      </c>
      <c r="CH63" s="5" t="str">
        <f t="shared" si="156"/>
        <v/>
      </c>
      <c r="CI63" s="4" t="str">
        <f t="shared" si="125"/>
        <v/>
      </c>
      <c r="CJ63" s="5" t="str">
        <f t="shared" si="126"/>
        <v/>
      </c>
      <c r="CK63" s="8" t="str">
        <f t="shared" si="127"/>
        <v/>
      </c>
      <c r="CL63" s="173" t="str">
        <f t="shared" si="128"/>
        <v/>
      </c>
      <c r="CM63" s="5" t="str">
        <f t="shared" si="129"/>
        <v/>
      </c>
      <c r="CN63" s="6" t="str">
        <f t="shared" si="130"/>
        <v/>
      </c>
      <c r="CO63" s="167" t="str">
        <f t="shared" si="304"/>
        <v/>
      </c>
      <c r="CP63" s="4" t="str">
        <f t="shared" si="238"/>
        <v/>
      </c>
      <c r="CQ63" s="5" t="str">
        <f t="shared" si="239"/>
        <v/>
      </c>
      <c r="CR63" s="5" t="str">
        <f t="shared" si="157"/>
        <v/>
      </c>
      <c r="CS63" s="8" t="str">
        <f t="shared" si="158"/>
        <v/>
      </c>
      <c r="CT63" s="9" t="str">
        <f t="shared" si="159"/>
        <v/>
      </c>
      <c r="CU63" s="6" t="str">
        <f t="shared" si="160"/>
        <v/>
      </c>
      <c r="CV63" s="4" t="str">
        <f t="shared" si="240"/>
        <v/>
      </c>
      <c r="CW63" s="5" t="str">
        <f t="shared" si="161"/>
        <v/>
      </c>
      <c r="CX63" s="8" t="str">
        <f t="shared" si="162"/>
        <v/>
      </c>
      <c r="CY63" s="9" t="str">
        <f t="shared" si="163"/>
        <v/>
      </c>
      <c r="CZ63" s="5" t="str">
        <f t="shared" si="164"/>
        <v/>
      </c>
      <c r="DA63" s="6" t="str">
        <f t="shared" si="165"/>
        <v/>
      </c>
      <c r="DB63" s="4" t="str">
        <f t="shared" si="483"/>
        <v/>
      </c>
      <c r="DC63" s="5" t="str">
        <f t="shared" si="483"/>
        <v/>
      </c>
      <c r="DD63" s="10" t="str">
        <f t="shared" si="167"/>
        <v/>
      </c>
      <c r="DE63" s="9" t="str">
        <f t="shared" si="484"/>
        <v/>
      </c>
      <c r="DF63" s="5" t="str">
        <f t="shared" si="484"/>
        <v/>
      </c>
      <c r="DG63" s="10" t="str">
        <f t="shared" si="169"/>
        <v/>
      </c>
      <c r="DH63" s="70" t="str">
        <f t="shared" si="170"/>
        <v/>
      </c>
      <c r="DI63" s="4" t="str">
        <f t="shared" si="171"/>
        <v/>
      </c>
      <c r="DJ63" s="5" t="str">
        <f t="shared" si="172"/>
        <v/>
      </c>
      <c r="DK63" s="10" t="str">
        <f t="shared" si="173"/>
        <v/>
      </c>
      <c r="DL63" s="9" t="str">
        <f t="shared" si="174"/>
        <v/>
      </c>
      <c r="DM63" s="173" t="str">
        <f t="shared" si="175"/>
        <v/>
      </c>
      <c r="DN63" s="178" t="str">
        <f t="shared" si="176"/>
        <v/>
      </c>
      <c r="DO63" s="9" t="str">
        <f t="shared" si="177"/>
        <v/>
      </c>
      <c r="DP63" s="173" t="str">
        <f t="shared" si="178"/>
        <v/>
      </c>
      <c r="DQ63" s="11" t="str">
        <f t="shared" si="179"/>
        <v/>
      </c>
      <c r="DR63" s="173" t="str">
        <f t="shared" si="180"/>
        <v/>
      </c>
      <c r="DS63" s="5" t="str">
        <f t="shared" si="181"/>
        <v/>
      </c>
      <c r="DT63" s="5" t="str">
        <f t="shared" si="182"/>
        <v/>
      </c>
      <c r="DU63" s="5" t="str">
        <f t="shared" si="183"/>
        <v/>
      </c>
      <c r="DV63" s="5" t="str">
        <f t="shared" si="184"/>
        <v/>
      </c>
      <c r="DW63" s="5" t="str">
        <f t="shared" si="185"/>
        <v/>
      </c>
      <c r="DX63" s="167" t="str">
        <f t="shared" si="186"/>
        <v/>
      </c>
      <c r="DY63" s="9" t="str">
        <f t="shared" si="187"/>
        <v/>
      </c>
      <c r="DZ63" s="5" t="str">
        <f t="shared" si="188"/>
        <v/>
      </c>
      <c r="EA63" s="10" t="str">
        <f t="shared" si="189"/>
        <v/>
      </c>
      <c r="EB63" s="6" t="str">
        <f t="shared" si="190"/>
        <v/>
      </c>
      <c r="EC63" s="173" t="str">
        <f t="shared" si="191"/>
        <v/>
      </c>
      <c r="ED63" s="5" t="str">
        <f t="shared" si="192"/>
        <v/>
      </c>
      <c r="EE63" s="4" t="str">
        <f t="shared" si="193"/>
        <v/>
      </c>
      <c r="EF63" s="5" t="str">
        <f t="shared" si="194"/>
        <v/>
      </c>
      <c r="EG63" s="10" t="str">
        <f t="shared" si="195"/>
        <v/>
      </c>
      <c r="EH63" s="9" t="str">
        <f t="shared" si="196"/>
        <v/>
      </c>
      <c r="EI63" s="5" t="str">
        <f t="shared" si="197"/>
        <v/>
      </c>
      <c r="EJ63" s="6" t="str">
        <f t="shared" si="198"/>
        <v/>
      </c>
      <c r="EK63" s="236" t="str">
        <f t="shared" si="199"/>
        <v/>
      </c>
      <c r="EL63" s="238" t="str">
        <f t="shared" si="200"/>
        <v/>
      </c>
      <c r="EM63" s="4" t="str">
        <f t="shared" si="201"/>
        <v/>
      </c>
      <c r="EN63" s="5" t="str">
        <f t="shared" si="202"/>
        <v/>
      </c>
      <c r="EO63" s="10" t="str">
        <f t="shared" si="203"/>
        <v/>
      </c>
      <c r="EP63" s="9" t="str">
        <f t="shared" si="204"/>
        <v/>
      </c>
      <c r="EQ63" s="5" t="str">
        <f t="shared" si="205"/>
        <v/>
      </c>
      <c r="ER63" s="7" t="str">
        <f t="shared" si="206"/>
        <v/>
      </c>
      <c r="ES63" s="21" t="str">
        <f t="shared" si="351"/>
        <v/>
      </c>
      <c r="ET63" s="5" t="str">
        <f t="shared" si="352"/>
        <v/>
      </c>
      <c r="EU63" s="10" t="str">
        <f t="shared" si="353"/>
        <v/>
      </c>
      <c r="EV63" s="174" t="str">
        <f t="shared" si="485"/>
        <v/>
      </c>
      <c r="EW63" s="9" t="str">
        <f t="shared" si="486"/>
        <v/>
      </c>
      <c r="EX63" s="5" t="str">
        <f t="shared" si="487"/>
        <v/>
      </c>
      <c r="EY63" s="6" t="str">
        <f t="shared" si="207"/>
        <v/>
      </c>
      <c r="EZ63" s="51" t="str">
        <f t="shared" si="208"/>
        <v/>
      </c>
      <c r="FA63" s="173" t="str">
        <f t="shared" si="488"/>
        <v/>
      </c>
      <c r="FB63" s="5" t="str">
        <f t="shared" si="489"/>
        <v/>
      </c>
      <c r="FC63" s="6" t="str">
        <f t="shared" si="490"/>
        <v/>
      </c>
      <c r="FD63" s="4" t="str">
        <f t="shared" si="491"/>
        <v/>
      </c>
      <c r="FE63" s="5" t="str">
        <f t="shared" si="492"/>
        <v/>
      </c>
      <c r="FF63" s="7" t="str">
        <f t="shared" si="209"/>
        <v/>
      </c>
      <c r="FG63" s="173" t="str">
        <f t="shared" si="493"/>
        <v/>
      </c>
      <c r="FH63" s="5" t="str">
        <f t="shared" si="494"/>
        <v/>
      </c>
      <c r="FI63" s="10" t="str">
        <f t="shared" si="495"/>
        <v/>
      </c>
      <c r="FJ63" s="279" t="str">
        <f t="shared" si="211"/>
        <v/>
      </c>
      <c r="FK63" s="4" t="str">
        <f t="shared" si="496"/>
        <v/>
      </c>
      <c r="FL63" s="5" t="str">
        <f t="shared" si="212"/>
        <v/>
      </c>
      <c r="FM63" s="8" t="str">
        <f t="shared" si="213"/>
        <v/>
      </c>
      <c r="FN63" s="9" t="str">
        <f t="shared" si="214"/>
        <v/>
      </c>
      <c r="FO63" s="10" t="str">
        <f t="shared" si="497"/>
        <v/>
      </c>
      <c r="FP63" s="277" t="str">
        <f t="shared" si="498"/>
        <v/>
      </c>
      <c r="FQ63" s="173" t="str">
        <f t="shared" si="241"/>
        <v/>
      </c>
      <c r="FR63" s="10" t="str">
        <f t="shared" si="215"/>
        <v/>
      </c>
      <c r="FS63" s="9" t="str">
        <f t="shared" si="216"/>
        <v/>
      </c>
      <c r="FT63" s="6" t="str">
        <f t="shared" si="217"/>
        <v/>
      </c>
      <c r="FU63" s="4" t="str">
        <f t="shared" si="218"/>
        <v/>
      </c>
      <c r="FV63" s="5" t="str">
        <f t="shared" si="219"/>
        <v/>
      </c>
      <c r="FW63" s="8" t="str">
        <f t="shared" si="242"/>
        <v/>
      </c>
      <c r="FX63" s="9" t="str">
        <f t="shared" si="243"/>
        <v/>
      </c>
      <c r="FY63" s="10" t="str">
        <f t="shared" si="499"/>
        <v/>
      </c>
      <c r="FZ63" s="277" t="str">
        <f t="shared" si="244"/>
        <v/>
      </c>
      <c r="GA63" s="177" t="str">
        <f t="shared" si="220"/>
        <v/>
      </c>
      <c r="GB63" s="4" t="str">
        <f t="shared" si="221"/>
        <v/>
      </c>
      <c r="GC63" s="5" t="str">
        <f t="shared" si="222"/>
        <v/>
      </c>
      <c r="GD63" s="10" t="str">
        <f t="shared" si="223"/>
        <v/>
      </c>
      <c r="GE63" s="311" t="str">
        <f t="shared" si="224"/>
        <v/>
      </c>
      <c r="GF63" s="341" t="str">
        <f t="shared" si="245"/>
        <v/>
      </c>
      <c r="GG63" s="285" t="str">
        <f t="shared" si="500"/>
        <v/>
      </c>
      <c r="GH63" s="286" t="str">
        <f t="shared" si="501"/>
        <v/>
      </c>
      <c r="GI63" s="281" t="str">
        <f t="shared" si="502"/>
        <v/>
      </c>
      <c r="GJ63" s="167" t="str">
        <f t="shared" si="225"/>
        <v/>
      </c>
      <c r="GK63" s="174" t="str">
        <f t="shared" si="503"/>
        <v/>
      </c>
      <c r="GL63" s="174" t="str">
        <f t="shared" si="226"/>
        <v/>
      </c>
      <c r="GM63" s="177" t="str">
        <f t="shared" si="246"/>
        <v/>
      </c>
      <c r="GN63" s="280" t="str">
        <f t="shared" si="227"/>
        <v/>
      </c>
      <c r="GO63" s="4" t="str">
        <f t="shared" si="228"/>
        <v/>
      </c>
      <c r="GP63" s="8" t="str">
        <f t="shared" si="247"/>
        <v/>
      </c>
      <c r="GQ63" s="177" t="str">
        <f t="shared" si="229"/>
        <v/>
      </c>
      <c r="GR63" s="371" t="str">
        <f t="shared" si="248"/>
        <v/>
      </c>
      <c r="GS63" s="342" t="str">
        <f t="shared" si="504"/>
        <v/>
      </c>
      <c r="GT63" s="343" t="str">
        <f t="shared" si="505"/>
        <v/>
      </c>
      <c r="GU63" s="344" t="str">
        <f t="shared" si="506"/>
        <v/>
      </c>
      <c r="GV63" s="343" t="str">
        <f t="shared" si="251"/>
        <v/>
      </c>
      <c r="GW63" s="345" t="str">
        <f t="shared" si="507"/>
        <v/>
      </c>
      <c r="GX63" s="346" t="str">
        <f t="shared" si="508"/>
        <v/>
      </c>
      <c r="GY63" s="344" t="str">
        <f t="shared" si="509"/>
        <v/>
      </c>
      <c r="GZ63" s="345" t="str">
        <f t="shared" si="510"/>
        <v/>
      </c>
      <c r="HA63" s="342" t="str">
        <f t="shared" si="511"/>
        <v/>
      </c>
      <c r="HB63" s="5" t="str">
        <f t="shared" si="230"/>
        <v/>
      </c>
      <c r="HC63" s="343" t="str">
        <f t="shared" si="231"/>
        <v/>
      </c>
      <c r="HD63" s="363" t="str">
        <f t="shared" si="232"/>
        <v/>
      </c>
      <c r="HE63" s="344" t="str">
        <f t="shared" si="512"/>
        <v/>
      </c>
      <c r="HF63" s="5" t="str">
        <f t="shared" si="513"/>
        <v/>
      </c>
      <c r="HG63" s="343" t="str">
        <f t="shared" si="233"/>
        <v/>
      </c>
      <c r="HH63" s="349" t="str">
        <f t="shared" si="234"/>
        <v/>
      </c>
      <c r="HI63" s="317" t="str">
        <f t="shared" si="407"/>
        <v/>
      </c>
      <c r="HK63" s="310" t="str">
        <f t="shared" si="458"/>
        <v/>
      </c>
      <c r="HL63" s="348" t="str">
        <f t="shared" si="408"/>
        <v/>
      </c>
      <c r="HM63" s="923" t="str">
        <f t="shared" si="409"/>
        <v/>
      </c>
      <c r="HN63" s="924" t="str">
        <f t="shared" si="410"/>
        <v/>
      </c>
      <c r="HO63" s="925"/>
      <c r="HP63" s="926"/>
      <c r="HQ63" s="924" t="str">
        <f t="shared" si="411"/>
        <v/>
      </c>
      <c r="HR63" s="927" t="str">
        <f t="shared" si="412"/>
        <v/>
      </c>
      <c r="HS63" s="879" t="str">
        <f t="shared" si="459"/>
        <v/>
      </c>
      <c r="HT63" s="889" t="str">
        <f t="shared" si="413"/>
        <v/>
      </c>
      <c r="HU63" s="890" t="str">
        <f t="shared" si="414"/>
        <v/>
      </c>
      <c r="HV63" s="886" t="str">
        <f t="shared" si="415"/>
        <v/>
      </c>
      <c r="HW63" s="880" t="str">
        <f t="shared" si="416"/>
        <v/>
      </c>
      <c r="HX63" s="881" t="str">
        <f t="shared" si="417"/>
        <v/>
      </c>
      <c r="HY63" s="880" t="str">
        <f t="shared" si="418"/>
        <v/>
      </c>
      <c r="HZ63" s="882" t="str">
        <f t="shared" si="419"/>
        <v/>
      </c>
      <c r="IA63" s="883" t="str">
        <f t="shared" si="420"/>
        <v/>
      </c>
      <c r="IB63" s="884" t="str">
        <f t="shared" si="421"/>
        <v/>
      </c>
      <c r="IC63" s="855" t="str">
        <f t="shared" si="422"/>
        <v/>
      </c>
      <c r="ID63" s="351" t="str">
        <f t="shared" si="423"/>
        <v/>
      </c>
      <c r="IE63" s="857" t="str">
        <f t="shared" si="42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5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25"/>
        <v/>
      </c>
      <c r="IM63" s="482" t="str">
        <f t="shared" si="236"/>
        <v/>
      </c>
      <c r="IN63" s="670" t="str">
        <f t="shared" si="426"/>
        <v/>
      </c>
      <c r="IO63" s="702"/>
      <c r="IP63" s="5" t="str">
        <f t="shared" si="427"/>
        <v/>
      </c>
      <c r="IQ63" s="714"/>
      <c r="IR63" s="9" t="str">
        <f t="shared" si="428"/>
        <v/>
      </c>
      <c r="IS63" s="5" t="str">
        <f t="shared" si="429"/>
        <v/>
      </c>
      <c r="IT63" s="5" t="str">
        <f t="shared" si="430"/>
        <v/>
      </c>
      <c r="IU63" s="5" t="str">
        <f t="shared" si="431"/>
        <v/>
      </c>
      <c r="IV63" s="670" t="str">
        <f t="shared" si="432"/>
        <v/>
      </c>
      <c r="IW63" s="9" t="str">
        <f t="shared" si="433"/>
        <v/>
      </c>
      <c r="IX63" s="5" t="str">
        <f t="shared" si="434"/>
        <v/>
      </c>
      <c r="IY63" s="5" t="str">
        <f t="shared" si="435"/>
        <v/>
      </c>
      <c r="IZ63" s="5" t="str">
        <f t="shared" si="436"/>
        <v/>
      </c>
      <c r="JA63" s="705" t="str">
        <f t="shared" si="437"/>
        <v/>
      </c>
    </row>
    <row r="64" spans="1:261" ht="15" customHeight="1" x14ac:dyDescent="0.25">
      <c r="A64" s="75" t="str">
        <f t="shared" si="254"/>
        <v/>
      </c>
      <c r="B64" s="578" t="str">
        <f t="shared" si="255"/>
        <v/>
      </c>
      <c r="C64" s="572" t="str">
        <f t="shared" si="256"/>
        <v/>
      </c>
      <c r="D64" s="576" t="str">
        <f t="shared" si="257"/>
        <v/>
      </c>
      <c r="E64" s="580" t="str">
        <f t="shared" si="258"/>
        <v/>
      </c>
      <c r="F64" s="572" t="str">
        <f t="shared" si="259"/>
        <v/>
      </c>
      <c r="G64" s="579" t="str">
        <f t="shared" si="260"/>
        <v/>
      </c>
      <c r="H64" s="580" t="str">
        <f t="shared" si="261"/>
        <v/>
      </c>
      <c r="I64" s="572" t="str">
        <f t="shared" si="262"/>
        <v/>
      </c>
      <c r="J64" s="483" t="str">
        <f t="shared" si="263"/>
        <v/>
      </c>
      <c r="K64" s="806" t="str">
        <f t="shared" si="264"/>
        <v/>
      </c>
      <c r="L64" s="309"/>
      <c r="M64" s="164" t="str">
        <f t="shared" si="265"/>
        <v/>
      </c>
      <c r="N64" s="575" t="str">
        <f t="shared" si="266"/>
        <v/>
      </c>
      <c r="O64" s="572" t="str">
        <f t="shared" si="267"/>
        <v/>
      </c>
      <c r="P64" s="576" t="str">
        <f t="shared" si="268"/>
        <v/>
      </c>
      <c r="Q64" s="528" t="str">
        <f t="shared" si="138"/>
        <v/>
      </c>
      <c r="R64" s="572" t="str">
        <f t="shared" si="100"/>
        <v/>
      </c>
      <c r="S64" s="577" t="str">
        <f t="shared" si="101"/>
        <v/>
      </c>
      <c r="T64" s="578" t="str">
        <f t="shared" si="102"/>
        <v/>
      </c>
      <c r="U64" s="572" t="str">
        <f t="shared" si="103"/>
        <v/>
      </c>
      <c r="V64" s="579" t="str">
        <f t="shared" si="139"/>
        <v/>
      </c>
      <c r="W64" s="528" t="str">
        <f t="shared" si="252"/>
        <v/>
      </c>
      <c r="X64" s="572" t="str">
        <f t="shared" si="104"/>
        <v/>
      </c>
      <c r="Y64" s="573" t="str">
        <f t="shared" si="253"/>
        <v/>
      </c>
      <c r="Z64" s="575" t="str">
        <f t="shared" si="269"/>
        <v/>
      </c>
      <c r="AA64" s="572" t="str">
        <f t="shared" si="270"/>
        <v/>
      </c>
      <c r="AB64" s="572" t="str">
        <f t="shared" si="271"/>
        <v/>
      </c>
      <c r="AC64" s="579" t="str">
        <f t="shared" si="105"/>
        <v/>
      </c>
      <c r="AD64" s="580" t="str">
        <f t="shared" si="140"/>
        <v/>
      </c>
      <c r="AE64" s="572" t="str">
        <f t="shared" si="106"/>
        <v/>
      </c>
      <c r="AF64" s="576" t="str">
        <f t="shared" si="107"/>
        <v/>
      </c>
      <c r="AG64" s="545" t="str">
        <f t="shared" si="108"/>
        <v/>
      </c>
      <c r="AH64" s="546" t="str">
        <f t="shared" si="109"/>
        <v/>
      </c>
      <c r="AI64" s="528" t="str">
        <f t="shared" si="110"/>
        <v/>
      </c>
      <c r="AJ64" s="529" t="str">
        <f t="shared" si="111"/>
        <v/>
      </c>
      <c r="AK64" s="578" t="str">
        <f t="shared" si="237"/>
        <v/>
      </c>
      <c r="AL64" s="572" t="str">
        <f t="shared" si="112"/>
        <v/>
      </c>
      <c r="AM64" s="577" t="str">
        <f t="shared" si="113"/>
        <v/>
      </c>
      <c r="AN64" s="524" t="str">
        <f t="shared" si="114"/>
        <v/>
      </c>
      <c r="AO64" s="525" t="str">
        <f t="shared" si="514"/>
        <v/>
      </c>
      <c r="AP64" s="528" t="str">
        <f t="shared" si="116"/>
        <v/>
      </c>
      <c r="AQ64" s="529" t="str">
        <f t="shared" si="272"/>
        <v/>
      </c>
      <c r="AS64" s="946" t="str">
        <f t="shared" si="460"/>
        <v/>
      </c>
      <c r="AT64" s="942" t="str">
        <f t="shared" si="273"/>
        <v/>
      </c>
      <c r="AU64" s="418"/>
      <c r="AV64" s="164" t="str">
        <f t="shared" si="27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2"/>
        <v/>
      </c>
      <c r="BA64" s="296" t="str">
        <f t="shared" si="276"/>
        <v/>
      </c>
      <c r="BB64" s="177" t="str">
        <f t="shared" si="143"/>
        <v/>
      </c>
      <c r="BC64" s="9"/>
      <c r="BD64" s="5" t="str">
        <f t="shared" si="144"/>
        <v/>
      </c>
      <c r="BE64" s="6" t="str">
        <f t="shared" si="278"/>
        <v/>
      </c>
      <c r="BF64" s="4" t="str">
        <f t="shared" si="279"/>
        <v/>
      </c>
      <c r="BG64" s="5" t="str">
        <f t="shared" si="280"/>
        <v/>
      </c>
      <c r="BH64" s="10" t="str">
        <f t="shared" si="281"/>
        <v/>
      </c>
      <c r="BI64" s="9" t="str">
        <f t="shared" si="145"/>
        <v/>
      </c>
      <c r="BJ64" s="5" t="str">
        <f t="shared" si="283"/>
        <v/>
      </c>
      <c r="BK64" s="8" t="str">
        <f t="shared" si="284"/>
        <v/>
      </c>
      <c r="BL64" s="173" t="str">
        <f t="shared" si="285"/>
        <v/>
      </c>
      <c r="BM64" s="5" t="str">
        <f t="shared" si="286"/>
        <v/>
      </c>
      <c r="BN64" s="6" t="str">
        <f t="shared" si="287"/>
        <v/>
      </c>
      <c r="BO64" s="4" t="str">
        <f t="shared" si="146"/>
        <v/>
      </c>
      <c r="BP64" s="5" t="str">
        <f t="shared" si="147"/>
        <v/>
      </c>
      <c r="BQ64" s="5" t="str">
        <f t="shared" si="148"/>
        <v/>
      </c>
      <c r="BR64" s="6" t="str">
        <f t="shared" si="149"/>
        <v/>
      </c>
      <c r="BS64" s="4" t="str">
        <f t="shared" si="482"/>
        <v/>
      </c>
      <c r="BT64" s="5" t="str">
        <f t="shared" si="482"/>
        <v/>
      </c>
      <c r="BU64" s="10" t="str">
        <f t="shared" si="118"/>
        <v/>
      </c>
      <c r="BV64" s="9" t="str">
        <f t="shared" si="119"/>
        <v/>
      </c>
      <c r="BW64" s="5" t="str">
        <f t="shared" si="120"/>
        <v/>
      </c>
      <c r="BX64" s="8" t="str">
        <f t="shared" si="121"/>
        <v/>
      </c>
      <c r="BY64" s="173" t="str">
        <f t="shared" si="122"/>
        <v/>
      </c>
      <c r="BZ64" s="5" t="str">
        <f t="shared" si="123"/>
        <v/>
      </c>
      <c r="CA64" s="6" t="str">
        <f t="shared" si="124"/>
        <v/>
      </c>
      <c r="CB64" s="4" t="str">
        <f t="shared" si="150"/>
        <v/>
      </c>
      <c r="CC64" s="5" t="str">
        <f t="shared" si="151"/>
        <v/>
      </c>
      <c r="CD64" s="5" t="str">
        <f t="shared" si="152"/>
        <v/>
      </c>
      <c r="CE64" s="6" t="str">
        <f t="shared" si="153"/>
        <v/>
      </c>
      <c r="CF64" s="4" t="str">
        <f t="shared" si="154"/>
        <v/>
      </c>
      <c r="CG64" s="5" t="str">
        <f t="shared" si="155"/>
        <v/>
      </c>
      <c r="CH64" s="5" t="str">
        <f t="shared" si="156"/>
        <v/>
      </c>
      <c r="CI64" s="4" t="str">
        <f t="shared" si="125"/>
        <v/>
      </c>
      <c r="CJ64" s="5" t="str">
        <f t="shared" si="126"/>
        <v/>
      </c>
      <c r="CK64" s="8" t="str">
        <f t="shared" si="127"/>
        <v/>
      </c>
      <c r="CL64" s="173" t="str">
        <f t="shared" si="128"/>
        <v/>
      </c>
      <c r="CM64" s="5" t="str">
        <f t="shared" si="129"/>
        <v/>
      </c>
      <c r="CN64" s="6" t="str">
        <f t="shared" si="130"/>
        <v/>
      </c>
      <c r="CO64" s="167" t="str">
        <f t="shared" si="304"/>
        <v/>
      </c>
      <c r="CP64" s="4" t="str">
        <f t="shared" si="238"/>
        <v/>
      </c>
      <c r="CQ64" s="5" t="str">
        <f t="shared" si="239"/>
        <v/>
      </c>
      <c r="CR64" s="5" t="str">
        <f t="shared" si="157"/>
        <v/>
      </c>
      <c r="CS64" s="8" t="str">
        <f t="shared" si="158"/>
        <v/>
      </c>
      <c r="CT64" s="9" t="str">
        <f t="shared" si="159"/>
        <v/>
      </c>
      <c r="CU64" s="6" t="str">
        <f t="shared" si="160"/>
        <v/>
      </c>
      <c r="CV64" s="4" t="str">
        <f t="shared" si="240"/>
        <v/>
      </c>
      <c r="CW64" s="5" t="str">
        <f t="shared" si="161"/>
        <v/>
      </c>
      <c r="CX64" s="8" t="str">
        <f t="shared" si="162"/>
        <v/>
      </c>
      <c r="CY64" s="9" t="str">
        <f t="shared" si="163"/>
        <v/>
      </c>
      <c r="CZ64" s="5" t="str">
        <f t="shared" si="164"/>
        <v/>
      </c>
      <c r="DA64" s="6" t="str">
        <f t="shared" si="165"/>
        <v/>
      </c>
      <c r="DB64" s="4" t="str">
        <f t="shared" si="483"/>
        <v/>
      </c>
      <c r="DC64" s="5" t="str">
        <f t="shared" si="483"/>
        <v/>
      </c>
      <c r="DD64" s="10" t="str">
        <f t="shared" si="167"/>
        <v/>
      </c>
      <c r="DE64" s="9" t="str">
        <f t="shared" si="484"/>
        <v/>
      </c>
      <c r="DF64" s="5" t="str">
        <f t="shared" si="484"/>
        <v/>
      </c>
      <c r="DG64" s="10" t="str">
        <f t="shared" si="169"/>
        <v/>
      </c>
      <c r="DH64" s="70" t="str">
        <f t="shared" si="170"/>
        <v/>
      </c>
      <c r="DI64" s="4" t="str">
        <f t="shared" si="171"/>
        <v/>
      </c>
      <c r="DJ64" s="5" t="str">
        <f t="shared" si="172"/>
        <v/>
      </c>
      <c r="DK64" s="10" t="str">
        <f t="shared" si="173"/>
        <v/>
      </c>
      <c r="DL64" s="9" t="str">
        <f t="shared" si="174"/>
        <v/>
      </c>
      <c r="DM64" s="173" t="str">
        <f t="shared" si="175"/>
        <v/>
      </c>
      <c r="DN64" s="178" t="str">
        <f t="shared" si="176"/>
        <v/>
      </c>
      <c r="DO64" s="9" t="str">
        <f t="shared" si="177"/>
        <v/>
      </c>
      <c r="DP64" s="173" t="str">
        <f t="shared" si="178"/>
        <v/>
      </c>
      <c r="DQ64" s="11" t="str">
        <f t="shared" si="179"/>
        <v/>
      </c>
      <c r="DR64" s="173" t="str">
        <f t="shared" si="180"/>
        <v/>
      </c>
      <c r="DS64" s="5" t="str">
        <f t="shared" si="181"/>
        <v/>
      </c>
      <c r="DT64" s="5" t="str">
        <f t="shared" si="182"/>
        <v/>
      </c>
      <c r="DU64" s="5" t="str">
        <f t="shared" si="183"/>
        <v/>
      </c>
      <c r="DV64" s="5" t="str">
        <f t="shared" si="184"/>
        <v/>
      </c>
      <c r="DW64" s="5" t="str">
        <f t="shared" si="185"/>
        <v/>
      </c>
      <c r="DX64" s="167" t="str">
        <f t="shared" si="186"/>
        <v/>
      </c>
      <c r="DY64" s="9" t="str">
        <f t="shared" si="187"/>
        <v/>
      </c>
      <c r="DZ64" s="5" t="str">
        <f t="shared" si="188"/>
        <v/>
      </c>
      <c r="EA64" s="10" t="str">
        <f t="shared" si="189"/>
        <v/>
      </c>
      <c r="EB64" s="6" t="str">
        <f t="shared" si="190"/>
        <v/>
      </c>
      <c r="EC64" s="173" t="str">
        <f t="shared" si="191"/>
        <v/>
      </c>
      <c r="ED64" s="5" t="str">
        <f t="shared" si="192"/>
        <v/>
      </c>
      <c r="EE64" s="4" t="str">
        <f t="shared" si="193"/>
        <v/>
      </c>
      <c r="EF64" s="5" t="str">
        <f t="shared" si="194"/>
        <v/>
      </c>
      <c r="EG64" s="10" t="str">
        <f t="shared" si="195"/>
        <v/>
      </c>
      <c r="EH64" s="9" t="str">
        <f t="shared" si="196"/>
        <v/>
      </c>
      <c r="EI64" s="5" t="str">
        <f t="shared" si="197"/>
        <v/>
      </c>
      <c r="EJ64" s="6" t="str">
        <f t="shared" si="198"/>
        <v/>
      </c>
      <c r="EK64" s="236" t="str">
        <f t="shared" si="199"/>
        <v/>
      </c>
      <c r="EL64" s="238" t="str">
        <f t="shared" si="200"/>
        <v/>
      </c>
      <c r="EM64" s="4" t="str">
        <f t="shared" si="201"/>
        <v/>
      </c>
      <c r="EN64" s="5" t="str">
        <f t="shared" si="202"/>
        <v/>
      </c>
      <c r="EO64" s="10" t="str">
        <f t="shared" si="203"/>
        <v/>
      </c>
      <c r="EP64" s="9" t="str">
        <f t="shared" si="204"/>
        <v/>
      </c>
      <c r="EQ64" s="5" t="str">
        <f t="shared" si="205"/>
        <v/>
      </c>
      <c r="ER64" s="7" t="str">
        <f t="shared" si="206"/>
        <v/>
      </c>
      <c r="ES64" s="21" t="str">
        <f t="shared" si="351"/>
        <v/>
      </c>
      <c r="ET64" s="5" t="str">
        <f t="shared" si="352"/>
        <v/>
      </c>
      <c r="EU64" s="10" t="str">
        <f t="shared" si="353"/>
        <v/>
      </c>
      <c r="EV64" s="174" t="str">
        <f t="shared" si="485"/>
        <v/>
      </c>
      <c r="EW64" s="9" t="str">
        <f t="shared" si="486"/>
        <v/>
      </c>
      <c r="EX64" s="5" t="str">
        <f t="shared" si="487"/>
        <v/>
      </c>
      <c r="EY64" s="6" t="str">
        <f t="shared" si="207"/>
        <v/>
      </c>
      <c r="EZ64" s="51" t="str">
        <f t="shared" si="208"/>
        <v/>
      </c>
      <c r="FA64" s="173" t="str">
        <f t="shared" si="488"/>
        <v/>
      </c>
      <c r="FB64" s="5" t="str">
        <f t="shared" si="489"/>
        <v/>
      </c>
      <c r="FC64" s="6" t="str">
        <f t="shared" si="490"/>
        <v/>
      </c>
      <c r="FD64" s="4" t="str">
        <f t="shared" si="491"/>
        <v/>
      </c>
      <c r="FE64" s="5" t="str">
        <f t="shared" si="492"/>
        <v/>
      </c>
      <c r="FF64" s="7" t="str">
        <f t="shared" si="209"/>
        <v/>
      </c>
      <c r="FG64" s="173" t="str">
        <f t="shared" si="493"/>
        <v/>
      </c>
      <c r="FH64" s="5" t="str">
        <f t="shared" si="494"/>
        <v/>
      </c>
      <c r="FI64" s="10" t="str">
        <f t="shared" si="495"/>
        <v/>
      </c>
      <c r="FJ64" s="279" t="str">
        <f t="shared" si="211"/>
        <v/>
      </c>
      <c r="FK64" s="4" t="str">
        <f t="shared" si="496"/>
        <v/>
      </c>
      <c r="FL64" s="5" t="str">
        <f t="shared" si="212"/>
        <v/>
      </c>
      <c r="FM64" s="8" t="str">
        <f t="shared" si="213"/>
        <v/>
      </c>
      <c r="FN64" s="9" t="str">
        <f t="shared" si="214"/>
        <v/>
      </c>
      <c r="FO64" s="10" t="str">
        <f t="shared" si="497"/>
        <v/>
      </c>
      <c r="FP64" s="277" t="str">
        <f t="shared" si="498"/>
        <v/>
      </c>
      <c r="FQ64" s="173" t="str">
        <f t="shared" si="241"/>
        <v/>
      </c>
      <c r="FR64" s="10" t="str">
        <f t="shared" si="215"/>
        <v/>
      </c>
      <c r="FS64" s="9" t="str">
        <f t="shared" si="216"/>
        <v/>
      </c>
      <c r="FT64" s="6" t="str">
        <f t="shared" si="217"/>
        <v/>
      </c>
      <c r="FU64" s="4" t="str">
        <f t="shared" si="218"/>
        <v/>
      </c>
      <c r="FV64" s="5" t="str">
        <f t="shared" si="219"/>
        <v/>
      </c>
      <c r="FW64" s="8" t="str">
        <f t="shared" si="242"/>
        <v/>
      </c>
      <c r="FX64" s="9" t="str">
        <f t="shared" si="243"/>
        <v/>
      </c>
      <c r="FY64" s="10" t="str">
        <f t="shared" si="499"/>
        <v/>
      </c>
      <c r="FZ64" s="277" t="str">
        <f t="shared" si="244"/>
        <v/>
      </c>
      <c r="GA64" s="177" t="str">
        <f t="shared" si="220"/>
        <v/>
      </c>
      <c r="GB64" s="4" t="str">
        <f t="shared" si="221"/>
        <v/>
      </c>
      <c r="GC64" s="5" t="str">
        <f t="shared" si="222"/>
        <v/>
      </c>
      <c r="GD64" s="10" t="str">
        <f t="shared" si="223"/>
        <v/>
      </c>
      <c r="GE64" s="311" t="str">
        <f t="shared" si="224"/>
        <v/>
      </c>
      <c r="GF64" s="341" t="str">
        <f t="shared" si="245"/>
        <v/>
      </c>
      <c r="GG64" s="285" t="str">
        <f t="shared" si="500"/>
        <v/>
      </c>
      <c r="GH64" s="286" t="str">
        <f t="shared" si="501"/>
        <v/>
      </c>
      <c r="GI64" s="281" t="str">
        <f t="shared" si="502"/>
        <v/>
      </c>
      <c r="GJ64" s="167" t="str">
        <f t="shared" si="225"/>
        <v/>
      </c>
      <c r="GK64" s="174" t="str">
        <f t="shared" si="503"/>
        <v/>
      </c>
      <c r="GL64" s="174" t="str">
        <f t="shared" si="226"/>
        <v/>
      </c>
      <c r="GM64" s="177" t="str">
        <f t="shared" si="246"/>
        <v/>
      </c>
      <c r="GN64" s="280" t="str">
        <f t="shared" si="227"/>
        <v/>
      </c>
      <c r="GO64" s="4" t="str">
        <f t="shared" si="228"/>
        <v/>
      </c>
      <c r="GP64" s="8" t="str">
        <f t="shared" si="247"/>
        <v/>
      </c>
      <c r="GQ64" s="177" t="str">
        <f t="shared" si="229"/>
        <v/>
      </c>
      <c r="GR64" s="371" t="str">
        <f t="shared" si="248"/>
        <v/>
      </c>
      <c r="GS64" s="342" t="str">
        <f t="shared" si="504"/>
        <v/>
      </c>
      <c r="GT64" s="343" t="str">
        <f t="shared" si="505"/>
        <v/>
      </c>
      <c r="GU64" s="344" t="str">
        <f t="shared" si="506"/>
        <v/>
      </c>
      <c r="GV64" s="343" t="str">
        <f t="shared" si="251"/>
        <v/>
      </c>
      <c r="GW64" s="345" t="str">
        <f t="shared" si="507"/>
        <v/>
      </c>
      <c r="GX64" s="346" t="str">
        <f t="shared" si="508"/>
        <v/>
      </c>
      <c r="GY64" s="344" t="str">
        <f t="shared" si="509"/>
        <v/>
      </c>
      <c r="GZ64" s="345" t="str">
        <f t="shared" si="510"/>
        <v/>
      </c>
      <c r="HA64" s="342" t="str">
        <f t="shared" si="511"/>
        <v/>
      </c>
      <c r="HB64" s="5" t="str">
        <f t="shared" si="230"/>
        <v/>
      </c>
      <c r="HC64" s="343" t="str">
        <f t="shared" si="231"/>
        <v/>
      </c>
      <c r="HD64" s="363" t="str">
        <f t="shared" si="232"/>
        <v/>
      </c>
      <c r="HE64" s="344" t="str">
        <f t="shared" si="512"/>
        <v/>
      </c>
      <c r="HF64" s="5" t="str">
        <f t="shared" si="513"/>
        <v/>
      </c>
      <c r="HG64" s="343" t="str">
        <f t="shared" si="233"/>
        <v/>
      </c>
      <c r="HH64" s="349" t="str">
        <f t="shared" si="234"/>
        <v/>
      </c>
      <c r="HI64" s="317" t="str">
        <f t="shared" si="407"/>
        <v/>
      </c>
      <c r="HK64" s="310" t="str">
        <f t="shared" si="458"/>
        <v/>
      </c>
      <c r="HL64" s="348" t="str">
        <f t="shared" si="408"/>
        <v/>
      </c>
      <c r="HM64" s="923" t="str">
        <f t="shared" si="409"/>
        <v/>
      </c>
      <c r="HN64" s="924" t="str">
        <f t="shared" si="410"/>
        <v/>
      </c>
      <c r="HO64" s="925"/>
      <c r="HP64" s="926"/>
      <c r="HQ64" s="924" t="str">
        <f t="shared" si="411"/>
        <v/>
      </c>
      <c r="HR64" s="927" t="str">
        <f t="shared" si="412"/>
        <v/>
      </c>
      <c r="HS64" s="879" t="str">
        <f t="shared" si="459"/>
        <v/>
      </c>
      <c r="HT64" s="889" t="str">
        <f t="shared" si="413"/>
        <v/>
      </c>
      <c r="HU64" s="890" t="str">
        <f t="shared" si="414"/>
        <v/>
      </c>
      <c r="HV64" s="886" t="str">
        <f t="shared" si="415"/>
        <v/>
      </c>
      <c r="HW64" s="880" t="str">
        <f t="shared" si="416"/>
        <v/>
      </c>
      <c r="HX64" s="881" t="str">
        <f t="shared" si="417"/>
        <v/>
      </c>
      <c r="HY64" s="880" t="str">
        <f t="shared" si="418"/>
        <v/>
      </c>
      <c r="HZ64" s="882" t="str">
        <f t="shared" si="419"/>
        <v/>
      </c>
      <c r="IA64" s="883" t="str">
        <f t="shared" si="420"/>
        <v/>
      </c>
      <c r="IB64" s="884" t="str">
        <f t="shared" si="421"/>
        <v/>
      </c>
      <c r="IC64" s="855" t="str">
        <f t="shared" si="422"/>
        <v/>
      </c>
      <c r="ID64" s="351" t="str">
        <f t="shared" si="423"/>
        <v/>
      </c>
      <c r="IE64" s="857" t="str">
        <f t="shared" si="42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5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25"/>
        <v/>
      </c>
      <c r="IM64" s="482" t="str">
        <f t="shared" si="236"/>
        <v/>
      </c>
      <c r="IN64" s="670" t="str">
        <f t="shared" si="426"/>
        <v/>
      </c>
      <c r="IO64" s="702"/>
      <c r="IP64" s="5" t="str">
        <f t="shared" si="427"/>
        <v/>
      </c>
      <c r="IQ64" s="714"/>
      <c r="IR64" s="9" t="str">
        <f t="shared" si="428"/>
        <v/>
      </c>
      <c r="IS64" s="5" t="str">
        <f t="shared" si="429"/>
        <v/>
      </c>
      <c r="IT64" s="5" t="str">
        <f t="shared" si="430"/>
        <v/>
      </c>
      <c r="IU64" s="5" t="str">
        <f t="shared" si="431"/>
        <v/>
      </c>
      <c r="IV64" s="670" t="str">
        <f t="shared" si="432"/>
        <v/>
      </c>
      <c r="IW64" s="9" t="str">
        <f t="shared" si="433"/>
        <v/>
      </c>
      <c r="IX64" s="5" t="str">
        <f t="shared" si="434"/>
        <v/>
      </c>
      <c r="IY64" s="5" t="str">
        <f t="shared" si="435"/>
        <v/>
      </c>
      <c r="IZ64" s="5" t="str">
        <f t="shared" si="436"/>
        <v/>
      </c>
      <c r="JA64" s="705" t="str">
        <f t="shared" si="437"/>
        <v/>
      </c>
    </row>
    <row r="65" spans="1:261" ht="15" customHeight="1" x14ac:dyDescent="0.25">
      <c r="A65" s="75" t="str">
        <f t="shared" si="254"/>
        <v/>
      </c>
      <c r="B65" s="578" t="str">
        <f t="shared" si="255"/>
        <v/>
      </c>
      <c r="C65" s="572" t="str">
        <f t="shared" si="256"/>
        <v/>
      </c>
      <c r="D65" s="576" t="str">
        <f t="shared" si="257"/>
        <v/>
      </c>
      <c r="E65" s="580" t="str">
        <f t="shared" si="258"/>
        <v/>
      </c>
      <c r="F65" s="572" t="str">
        <f t="shared" si="259"/>
        <v/>
      </c>
      <c r="G65" s="579" t="str">
        <f t="shared" si="260"/>
        <v/>
      </c>
      <c r="H65" s="580" t="str">
        <f t="shared" si="261"/>
        <v/>
      </c>
      <c r="I65" s="572" t="str">
        <f t="shared" si="262"/>
        <v/>
      </c>
      <c r="J65" s="483" t="str">
        <f t="shared" si="263"/>
        <v/>
      </c>
      <c r="K65" s="806" t="str">
        <f t="shared" si="264"/>
        <v/>
      </c>
      <c r="L65" s="309"/>
      <c r="M65" s="164" t="str">
        <f t="shared" si="265"/>
        <v/>
      </c>
      <c r="N65" s="575" t="str">
        <f t="shared" si="266"/>
        <v/>
      </c>
      <c r="O65" s="572" t="str">
        <f t="shared" si="267"/>
        <v/>
      </c>
      <c r="P65" s="576" t="str">
        <f t="shared" si="268"/>
        <v/>
      </c>
      <c r="Q65" s="528" t="str">
        <f t="shared" si="138"/>
        <v/>
      </c>
      <c r="R65" s="572" t="str">
        <f t="shared" si="100"/>
        <v/>
      </c>
      <c r="S65" s="577" t="str">
        <f t="shared" si="101"/>
        <v/>
      </c>
      <c r="T65" s="578" t="str">
        <f t="shared" si="102"/>
        <v/>
      </c>
      <c r="U65" s="572" t="str">
        <f t="shared" si="103"/>
        <v/>
      </c>
      <c r="V65" s="579" t="str">
        <f t="shared" si="139"/>
        <v/>
      </c>
      <c r="W65" s="528" t="str">
        <f t="shared" si="252"/>
        <v/>
      </c>
      <c r="X65" s="572" t="str">
        <f t="shared" si="104"/>
        <v/>
      </c>
      <c r="Y65" s="573" t="str">
        <f t="shared" si="253"/>
        <v/>
      </c>
      <c r="Z65" s="575" t="str">
        <f t="shared" si="269"/>
        <v/>
      </c>
      <c r="AA65" s="572" t="str">
        <f t="shared" si="270"/>
        <v/>
      </c>
      <c r="AB65" s="572" t="str">
        <f t="shared" si="271"/>
        <v/>
      </c>
      <c r="AC65" s="579" t="str">
        <f t="shared" si="105"/>
        <v/>
      </c>
      <c r="AD65" s="580" t="str">
        <f t="shared" si="140"/>
        <v/>
      </c>
      <c r="AE65" s="572" t="str">
        <f t="shared" si="106"/>
        <v/>
      </c>
      <c r="AF65" s="576" t="str">
        <f t="shared" si="107"/>
        <v/>
      </c>
      <c r="AG65" s="545" t="str">
        <f t="shared" si="108"/>
        <v/>
      </c>
      <c r="AH65" s="546" t="str">
        <f t="shared" si="109"/>
        <v/>
      </c>
      <c r="AI65" s="528" t="str">
        <f t="shared" si="110"/>
        <v/>
      </c>
      <c r="AJ65" s="529" t="str">
        <f t="shared" si="111"/>
        <v/>
      </c>
      <c r="AK65" s="578" t="str">
        <f t="shared" si="237"/>
        <v/>
      </c>
      <c r="AL65" s="572" t="str">
        <f t="shared" si="112"/>
        <v/>
      </c>
      <c r="AM65" s="577" t="str">
        <f t="shared" si="113"/>
        <v/>
      </c>
      <c r="AN65" s="524" t="str">
        <f t="shared" si="114"/>
        <v/>
      </c>
      <c r="AO65" s="525" t="str">
        <f t="shared" si="514"/>
        <v/>
      </c>
      <c r="AP65" s="528" t="str">
        <f t="shared" si="116"/>
        <v/>
      </c>
      <c r="AQ65" s="529" t="str">
        <f t="shared" si="272"/>
        <v/>
      </c>
      <c r="AS65" s="946" t="str">
        <f t="shared" si="460"/>
        <v/>
      </c>
      <c r="AT65" s="942" t="str">
        <f t="shared" si="273"/>
        <v/>
      </c>
      <c r="AU65" s="418"/>
      <c r="AV65" s="164" t="str">
        <f t="shared" si="27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2"/>
        <v/>
      </c>
      <c r="BA65" s="296" t="str">
        <f t="shared" si="276"/>
        <v/>
      </c>
      <c r="BB65" s="177" t="str">
        <f t="shared" si="143"/>
        <v/>
      </c>
      <c r="BC65" s="9"/>
      <c r="BD65" s="5" t="str">
        <f t="shared" si="144"/>
        <v/>
      </c>
      <c r="BE65" s="6" t="str">
        <f t="shared" si="278"/>
        <v/>
      </c>
      <c r="BF65" s="4" t="str">
        <f t="shared" si="279"/>
        <v/>
      </c>
      <c r="BG65" s="5" t="str">
        <f t="shared" si="280"/>
        <v/>
      </c>
      <c r="BH65" s="10" t="str">
        <f t="shared" si="281"/>
        <v/>
      </c>
      <c r="BI65" s="9" t="str">
        <f t="shared" si="145"/>
        <v/>
      </c>
      <c r="BJ65" s="5" t="str">
        <f t="shared" si="283"/>
        <v/>
      </c>
      <c r="BK65" s="8" t="str">
        <f t="shared" si="284"/>
        <v/>
      </c>
      <c r="BL65" s="173" t="str">
        <f t="shared" si="285"/>
        <v/>
      </c>
      <c r="BM65" s="5" t="str">
        <f t="shared" si="286"/>
        <v/>
      </c>
      <c r="BN65" s="6" t="str">
        <f t="shared" si="287"/>
        <v/>
      </c>
      <c r="BO65" s="4" t="str">
        <f t="shared" si="146"/>
        <v/>
      </c>
      <c r="BP65" s="5" t="str">
        <f t="shared" si="147"/>
        <v/>
      </c>
      <c r="BQ65" s="5" t="str">
        <f t="shared" si="148"/>
        <v/>
      </c>
      <c r="BR65" s="6" t="str">
        <f t="shared" si="149"/>
        <v/>
      </c>
      <c r="BS65" s="4" t="str">
        <f t="shared" si="482"/>
        <v/>
      </c>
      <c r="BT65" s="5" t="str">
        <f t="shared" si="482"/>
        <v/>
      </c>
      <c r="BU65" s="10" t="str">
        <f t="shared" si="118"/>
        <v/>
      </c>
      <c r="BV65" s="9" t="str">
        <f t="shared" si="119"/>
        <v/>
      </c>
      <c r="BW65" s="5" t="str">
        <f t="shared" si="120"/>
        <v/>
      </c>
      <c r="BX65" s="8" t="str">
        <f t="shared" si="121"/>
        <v/>
      </c>
      <c r="BY65" s="173" t="str">
        <f t="shared" si="122"/>
        <v/>
      </c>
      <c r="BZ65" s="5" t="str">
        <f t="shared" si="123"/>
        <v/>
      </c>
      <c r="CA65" s="6" t="str">
        <f t="shared" si="124"/>
        <v/>
      </c>
      <c r="CB65" s="4" t="str">
        <f t="shared" si="150"/>
        <v/>
      </c>
      <c r="CC65" s="5" t="str">
        <f t="shared" si="151"/>
        <v/>
      </c>
      <c r="CD65" s="5" t="str">
        <f t="shared" si="152"/>
        <v/>
      </c>
      <c r="CE65" s="6" t="str">
        <f t="shared" si="153"/>
        <v/>
      </c>
      <c r="CF65" s="4" t="str">
        <f t="shared" si="154"/>
        <v/>
      </c>
      <c r="CG65" s="5" t="str">
        <f t="shared" si="155"/>
        <v/>
      </c>
      <c r="CH65" s="5" t="str">
        <f t="shared" si="156"/>
        <v/>
      </c>
      <c r="CI65" s="4" t="str">
        <f t="shared" si="125"/>
        <v/>
      </c>
      <c r="CJ65" s="5" t="str">
        <f t="shared" si="126"/>
        <v/>
      </c>
      <c r="CK65" s="8" t="str">
        <f t="shared" si="127"/>
        <v/>
      </c>
      <c r="CL65" s="173" t="str">
        <f t="shared" si="128"/>
        <v/>
      </c>
      <c r="CM65" s="5" t="str">
        <f t="shared" si="129"/>
        <v/>
      </c>
      <c r="CN65" s="6" t="str">
        <f t="shared" si="130"/>
        <v/>
      </c>
      <c r="CO65" s="167" t="str">
        <f t="shared" si="304"/>
        <v/>
      </c>
      <c r="CP65" s="4" t="str">
        <f t="shared" si="238"/>
        <v/>
      </c>
      <c r="CQ65" s="5" t="str">
        <f t="shared" si="239"/>
        <v/>
      </c>
      <c r="CR65" s="5" t="str">
        <f t="shared" si="157"/>
        <v/>
      </c>
      <c r="CS65" s="8" t="str">
        <f t="shared" si="158"/>
        <v/>
      </c>
      <c r="CT65" s="9" t="str">
        <f t="shared" si="159"/>
        <v/>
      </c>
      <c r="CU65" s="6" t="str">
        <f t="shared" si="160"/>
        <v/>
      </c>
      <c r="CV65" s="4" t="str">
        <f t="shared" si="240"/>
        <v/>
      </c>
      <c r="CW65" s="5" t="str">
        <f t="shared" si="161"/>
        <v/>
      </c>
      <c r="CX65" s="8" t="str">
        <f t="shared" si="162"/>
        <v/>
      </c>
      <c r="CY65" s="9" t="str">
        <f t="shared" si="163"/>
        <v/>
      </c>
      <c r="CZ65" s="5" t="str">
        <f t="shared" si="164"/>
        <v/>
      </c>
      <c r="DA65" s="6" t="str">
        <f t="shared" si="165"/>
        <v/>
      </c>
      <c r="DB65" s="4" t="str">
        <f t="shared" si="483"/>
        <v/>
      </c>
      <c r="DC65" s="5" t="str">
        <f t="shared" si="483"/>
        <v/>
      </c>
      <c r="DD65" s="10" t="str">
        <f t="shared" si="167"/>
        <v/>
      </c>
      <c r="DE65" s="9" t="str">
        <f t="shared" si="484"/>
        <v/>
      </c>
      <c r="DF65" s="5" t="str">
        <f t="shared" si="484"/>
        <v/>
      </c>
      <c r="DG65" s="10" t="str">
        <f t="shared" si="169"/>
        <v/>
      </c>
      <c r="DH65" s="70" t="str">
        <f t="shared" si="170"/>
        <v/>
      </c>
      <c r="DI65" s="4" t="str">
        <f t="shared" si="171"/>
        <v/>
      </c>
      <c r="DJ65" s="5" t="str">
        <f t="shared" si="172"/>
        <v/>
      </c>
      <c r="DK65" s="10" t="str">
        <f t="shared" si="173"/>
        <v/>
      </c>
      <c r="DL65" s="9" t="str">
        <f t="shared" si="174"/>
        <v/>
      </c>
      <c r="DM65" s="173" t="str">
        <f t="shared" si="175"/>
        <v/>
      </c>
      <c r="DN65" s="178" t="str">
        <f t="shared" si="176"/>
        <v/>
      </c>
      <c r="DO65" s="9" t="str">
        <f t="shared" si="177"/>
        <v/>
      </c>
      <c r="DP65" s="173" t="str">
        <f t="shared" si="178"/>
        <v/>
      </c>
      <c r="DQ65" s="11" t="str">
        <f t="shared" si="179"/>
        <v/>
      </c>
      <c r="DR65" s="173" t="str">
        <f t="shared" si="180"/>
        <v/>
      </c>
      <c r="DS65" s="5" t="str">
        <f t="shared" si="181"/>
        <v/>
      </c>
      <c r="DT65" s="5" t="str">
        <f t="shared" si="182"/>
        <v/>
      </c>
      <c r="DU65" s="5" t="str">
        <f t="shared" si="183"/>
        <v/>
      </c>
      <c r="DV65" s="5" t="str">
        <f t="shared" si="184"/>
        <v/>
      </c>
      <c r="DW65" s="5" t="str">
        <f t="shared" si="185"/>
        <v/>
      </c>
      <c r="DX65" s="167" t="str">
        <f t="shared" si="186"/>
        <v/>
      </c>
      <c r="DY65" s="9" t="str">
        <f t="shared" si="187"/>
        <v/>
      </c>
      <c r="DZ65" s="5" t="str">
        <f t="shared" si="188"/>
        <v/>
      </c>
      <c r="EA65" s="10" t="str">
        <f t="shared" si="189"/>
        <v/>
      </c>
      <c r="EB65" s="6" t="str">
        <f t="shared" si="190"/>
        <v/>
      </c>
      <c r="EC65" s="173" t="str">
        <f t="shared" si="191"/>
        <v/>
      </c>
      <c r="ED65" s="5" t="str">
        <f t="shared" si="192"/>
        <v/>
      </c>
      <c r="EE65" s="4" t="str">
        <f t="shared" si="193"/>
        <v/>
      </c>
      <c r="EF65" s="5" t="str">
        <f t="shared" si="194"/>
        <v/>
      </c>
      <c r="EG65" s="10" t="str">
        <f t="shared" si="195"/>
        <v/>
      </c>
      <c r="EH65" s="9" t="str">
        <f t="shared" si="196"/>
        <v/>
      </c>
      <c r="EI65" s="5" t="str">
        <f t="shared" si="197"/>
        <v/>
      </c>
      <c r="EJ65" s="6" t="str">
        <f t="shared" si="198"/>
        <v/>
      </c>
      <c r="EK65" s="236" t="str">
        <f t="shared" si="199"/>
        <v/>
      </c>
      <c r="EL65" s="238" t="str">
        <f t="shared" si="200"/>
        <v/>
      </c>
      <c r="EM65" s="4" t="str">
        <f t="shared" si="201"/>
        <v/>
      </c>
      <c r="EN65" s="5" t="str">
        <f t="shared" si="202"/>
        <v/>
      </c>
      <c r="EO65" s="10" t="str">
        <f t="shared" si="203"/>
        <v/>
      </c>
      <c r="EP65" s="9" t="str">
        <f t="shared" si="204"/>
        <v/>
      </c>
      <c r="EQ65" s="5" t="str">
        <f t="shared" si="205"/>
        <v/>
      </c>
      <c r="ER65" s="7" t="str">
        <f t="shared" si="206"/>
        <v/>
      </c>
      <c r="ES65" s="21" t="str">
        <f t="shared" si="351"/>
        <v/>
      </c>
      <c r="ET65" s="5" t="str">
        <f t="shared" si="352"/>
        <v/>
      </c>
      <c r="EU65" s="10" t="str">
        <f t="shared" si="353"/>
        <v/>
      </c>
      <c r="EV65" s="174" t="str">
        <f t="shared" si="485"/>
        <v/>
      </c>
      <c r="EW65" s="9" t="str">
        <f t="shared" si="486"/>
        <v/>
      </c>
      <c r="EX65" s="5" t="str">
        <f t="shared" si="487"/>
        <v/>
      </c>
      <c r="EY65" s="6" t="str">
        <f t="shared" si="207"/>
        <v/>
      </c>
      <c r="EZ65" s="51" t="str">
        <f t="shared" si="208"/>
        <v/>
      </c>
      <c r="FA65" s="173" t="str">
        <f t="shared" si="488"/>
        <v/>
      </c>
      <c r="FB65" s="5" t="str">
        <f t="shared" si="489"/>
        <v/>
      </c>
      <c r="FC65" s="6" t="str">
        <f t="shared" si="490"/>
        <v/>
      </c>
      <c r="FD65" s="4" t="str">
        <f t="shared" si="491"/>
        <v/>
      </c>
      <c r="FE65" s="5" t="str">
        <f t="shared" si="492"/>
        <v/>
      </c>
      <c r="FF65" s="7" t="str">
        <f t="shared" si="209"/>
        <v/>
      </c>
      <c r="FG65" s="173" t="str">
        <f t="shared" si="493"/>
        <v/>
      </c>
      <c r="FH65" s="5" t="str">
        <f t="shared" si="494"/>
        <v/>
      </c>
      <c r="FI65" s="10" t="str">
        <f t="shared" si="495"/>
        <v/>
      </c>
      <c r="FJ65" s="279" t="str">
        <f t="shared" si="211"/>
        <v/>
      </c>
      <c r="FK65" s="4" t="str">
        <f t="shared" si="496"/>
        <v/>
      </c>
      <c r="FL65" s="5" t="str">
        <f t="shared" si="212"/>
        <v/>
      </c>
      <c r="FM65" s="8" t="str">
        <f t="shared" si="213"/>
        <v/>
      </c>
      <c r="FN65" s="9" t="str">
        <f t="shared" si="214"/>
        <v/>
      </c>
      <c r="FO65" s="10" t="str">
        <f t="shared" si="497"/>
        <v/>
      </c>
      <c r="FP65" s="277" t="str">
        <f t="shared" si="498"/>
        <v/>
      </c>
      <c r="FQ65" s="173" t="str">
        <f t="shared" si="241"/>
        <v/>
      </c>
      <c r="FR65" s="10" t="str">
        <f t="shared" si="215"/>
        <v/>
      </c>
      <c r="FS65" s="9" t="str">
        <f t="shared" si="216"/>
        <v/>
      </c>
      <c r="FT65" s="6" t="str">
        <f t="shared" si="217"/>
        <v/>
      </c>
      <c r="FU65" s="4" t="str">
        <f t="shared" si="218"/>
        <v/>
      </c>
      <c r="FV65" s="5" t="str">
        <f t="shared" si="219"/>
        <v/>
      </c>
      <c r="FW65" s="8" t="str">
        <f t="shared" si="242"/>
        <v/>
      </c>
      <c r="FX65" s="9" t="str">
        <f t="shared" si="243"/>
        <v/>
      </c>
      <c r="FY65" s="10" t="str">
        <f t="shared" si="499"/>
        <v/>
      </c>
      <c r="FZ65" s="277" t="str">
        <f t="shared" si="244"/>
        <v/>
      </c>
      <c r="GA65" s="177" t="str">
        <f t="shared" si="220"/>
        <v/>
      </c>
      <c r="GB65" s="4" t="str">
        <f t="shared" si="221"/>
        <v/>
      </c>
      <c r="GC65" s="5" t="str">
        <f t="shared" si="222"/>
        <v/>
      </c>
      <c r="GD65" s="10" t="str">
        <f t="shared" si="223"/>
        <v/>
      </c>
      <c r="GE65" s="311" t="str">
        <f t="shared" si="224"/>
        <v/>
      </c>
      <c r="GF65" s="341" t="str">
        <f t="shared" si="245"/>
        <v/>
      </c>
      <c r="GG65" s="285" t="str">
        <f t="shared" si="500"/>
        <v/>
      </c>
      <c r="GH65" s="286" t="str">
        <f t="shared" si="501"/>
        <v/>
      </c>
      <c r="GI65" s="281" t="str">
        <f t="shared" si="502"/>
        <v/>
      </c>
      <c r="GJ65" s="167" t="str">
        <f t="shared" si="225"/>
        <v/>
      </c>
      <c r="GK65" s="174" t="str">
        <f t="shared" si="503"/>
        <v/>
      </c>
      <c r="GL65" s="174" t="str">
        <f t="shared" si="226"/>
        <v/>
      </c>
      <c r="GM65" s="177" t="str">
        <f t="shared" si="246"/>
        <v/>
      </c>
      <c r="GN65" s="280" t="str">
        <f t="shared" si="227"/>
        <v/>
      </c>
      <c r="GO65" s="4" t="str">
        <f t="shared" si="228"/>
        <v/>
      </c>
      <c r="GP65" s="8" t="str">
        <f t="shared" si="247"/>
        <v/>
      </c>
      <c r="GQ65" s="177" t="str">
        <f t="shared" si="229"/>
        <v/>
      </c>
      <c r="GR65" s="371" t="str">
        <f t="shared" si="248"/>
        <v/>
      </c>
      <c r="GS65" s="342" t="str">
        <f t="shared" si="504"/>
        <v/>
      </c>
      <c r="GT65" s="343" t="str">
        <f t="shared" si="505"/>
        <v/>
      </c>
      <c r="GU65" s="344" t="str">
        <f t="shared" si="506"/>
        <v/>
      </c>
      <c r="GV65" s="343" t="str">
        <f t="shared" si="251"/>
        <v/>
      </c>
      <c r="GW65" s="345" t="str">
        <f t="shared" si="507"/>
        <v/>
      </c>
      <c r="GX65" s="346" t="str">
        <f t="shared" si="508"/>
        <v/>
      </c>
      <c r="GY65" s="344" t="str">
        <f t="shared" si="509"/>
        <v/>
      </c>
      <c r="GZ65" s="345" t="str">
        <f t="shared" si="510"/>
        <v/>
      </c>
      <c r="HA65" s="342" t="str">
        <f t="shared" si="511"/>
        <v/>
      </c>
      <c r="HB65" s="5" t="str">
        <f t="shared" si="230"/>
        <v/>
      </c>
      <c r="HC65" s="343" t="str">
        <f t="shared" si="231"/>
        <v/>
      </c>
      <c r="HD65" s="363" t="str">
        <f t="shared" si="232"/>
        <v/>
      </c>
      <c r="HE65" s="344" t="str">
        <f t="shared" si="512"/>
        <v/>
      </c>
      <c r="HF65" s="5" t="str">
        <f t="shared" si="513"/>
        <v/>
      </c>
      <c r="HG65" s="343" t="str">
        <f t="shared" si="233"/>
        <v/>
      </c>
      <c r="HH65" s="349" t="str">
        <f t="shared" si="234"/>
        <v/>
      </c>
      <c r="HI65" s="317" t="str">
        <f t="shared" si="407"/>
        <v/>
      </c>
      <c r="HK65" s="310" t="str">
        <f t="shared" si="458"/>
        <v/>
      </c>
      <c r="HL65" s="348" t="str">
        <f t="shared" si="408"/>
        <v/>
      </c>
      <c r="HM65" s="923" t="str">
        <f t="shared" si="409"/>
        <v/>
      </c>
      <c r="HN65" s="924" t="str">
        <f t="shared" si="410"/>
        <v/>
      </c>
      <c r="HO65" s="925"/>
      <c r="HP65" s="926"/>
      <c r="HQ65" s="924" t="str">
        <f t="shared" si="411"/>
        <v/>
      </c>
      <c r="HR65" s="927" t="str">
        <f t="shared" si="412"/>
        <v/>
      </c>
      <c r="HS65" s="879" t="str">
        <f t="shared" si="459"/>
        <v/>
      </c>
      <c r="HT65" s="889" t="str">
        <f t="shared" si="413"/>
        <v/>
      </c>
      <c r="HU65" s="890" t="str">
        <f t="shared" si="414"/>
        <v/>
      </c>
      <c r="HV65" s="886" t="str">
        <f t="shared" si="415"/>
        <v/>
      </c>
      <c r="HW65" s="880" t="str">
        <f t="shared" si="416"/>
        <v/>
      </c>
      <c r="HX65" s="881" t="str">
        <f t="shared" si="417"/>
        <v/>
      </c>
      <c r="HY65" s="880" t="str">
        <f t="shared" si="418"/>
        <v/>
      </c>
      <c r="HZ65" s="882" t="str">
        <f t="shared" si="419"/>
        <v/>
      </c>
      <c r="IA65" s="883" t="str">
        <f t="shared" si="420"/>
        <v/>
      </c>
      <c r="IB65" s="884" t="str">
        <f t="shared" si="421"/>
        <v/>
      </c>
      <c r="IC65" s="855" t="str">
        <f t="shared" si="422"/>
        <v/>
      </c>
      <c r="ID65" s="351" t="str">
        <f t="shared" si="423"/>
        <v/>
      </c>
      <c r="IE65" s="857" t="str">
        <f t="shared" si="42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5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25"/>
        <v/>
      </c>
      <c r="IM65" s="482" t="str">
        <f t="shared" si="236"/>
        <v/>
      </c>
      <c r="IN65" s="670" t="str">
        <f t="shared" si="426"/>
        <v/>
      </c>
      <c r="IO65" s="702">
        <v>2.3098685131984199E-2</v>
      </c>
      <c r="IP65" s="5" t="str">
        <f t="shared" si="427"/>
        <v/>
      </c>
      <c r="IQ65" s="714">
        <v>160</v>
      </c>
      <c r="IR65" s="9" t="str">
        <f t="shared" si="428"/>
        <v/>
      </c>
      <c r="IS65" s="5" t="str">
        <f t="shared" si="429"/>
        <v/>
      </c>
      <c r="IT65" s="5" t="str">
        <f t="shared" si="430"/>
        <v/>
      </c>
      <c r="IU65" s="5" t="str">
        <f t="shared" si="431"/>
        <v/>
      </c>
      <c r="IV65" s="670" t="str">
        <f t="shared" si="432"/>
        <v/>
      </c>
      <c r="IW65" s="9" t="str">
        <f t="shared" si="433"/>
        <v/>
      </c>
      <c r="IX65" s="5" t="str">
        <f t="shared" si="434"/>
        <v/>
      </c>
      <c r="IY65" s="5" t="str">
        <f t="shared" si="435"/>
        <v/>
      </c>
      <c r="IZ65" s="5" t="str">
        <f t="shared" si="436"/>
        <v/>
      </c>
      <c r="JA65" s="705" t="str">
        <f t="shared" si="437"/>
        <v/>
      </c>
    </row>
    <row r="66" spans="1:261" ht="15" customHeight="1" x14ac:dyDescent="0.25">
      <c r="A66" s="75" t="str">
        <f t="shared" si="254"/>
        <v/>
      </c>
      <c r="B66" s="578" t="str">
        <f t="shared" si="255"/>
        <v/>
      </c>
      <c r="C66" s="572" t="str">
        <f t="shared" si="256"/>
        <v/>
      </c>
      <c r="D66" s="576" t="str">
        <f t="shared" si="257"/>
        <v/>
      </c>
      <c r="E66" s="580" t="str">
        <f t="shared" si="258"/>
        <v/>
      </c>
      <c r="F66" s="572" t="str">
        <f t="shared" si="259"/>
        <v/>
      </c>
      <c r="G66" s="579" t="str">
        <f t="shared" si="260"/>
        <v/>
      </c>
      <c r="H66" s="580" t="str">
        <f t="shared" si="261"/>
        <v/>
      </c>
      <c r="I66" s="572" t="str">
        <f t="shared" si="262"/>
        <v/>
      </c>
      <c r="J66" s="483" t="str">
        <f t="shared" si="263"/>
        <v/>
      </c>
      <c r="K66" s="806" t="str">
        <f t="shared" si="264"/>
        <v/>
      </c>
      <c r="L66" s="309"/>
      <c r="M66" s="164" t="str">
        <f t="shared" si="265"/>
        <v/>
      </c>
      <c r="N66" s="575" t="str">
        <f t="shared" si="266"/>
        <v/>
      </c>
      <c r="O66" s="572" t="str">
        <f t="shared" si="267"/>
        <v/>
      </c>
      <c r="P66" s="576" t="str">
        <f t="shared" si="268"/>
        <v/>
      </c>
      <c r="Q66" s="528" t="str">
        <f t="shared" si="138"/>
        <v/>
      </c>
      <c r="R66" s="572" t="str">
        <f t="shared" si="100"/>
        <v/>
      </c>
      <c r="S66" s="577" t="str">
        <f t="shared" si="101"/>
        <v/>
      </c>
      <c r="T66" s="578" t="str">
        <f t="shared" si="102"/>
        <v/>
      </c>
      <c r="U66" s="572" t="str">
        <f t="shared" si="103"/>
        <v/>
      </c>
      <c r="V66" s="579" t="str">
        <f t="shared" si="139"/>
        <v/>
      </c>
      <c r="W66" s="528" t="str">
        <f t="shared" si="252"/>
        <v/>
      </c>
      <c r="X66" s="572" t="str">
        <f t="shared" si="104"/>
        <v/>
      </c>
      <c r="Y66" s="573" t="str">
        <f t="shared" si="253"/>
        <v/>
      </c>
      <c r="Z66" s="575" t="str">
        <f t="shared" si="269"/>
        <v/>
      </c>
      <c r="AA66" s="572" t="str">
        <f t="shared" si="270"/>
        <v/>
      </c>
      <c r="AB66" s="572" t="str">
        <f t="shared" si="271"/>
        <v/>
      </c>
      <c r="AC66" s="579" t="str">
        <f t="shared" si="105"/>
        <v/>
      </c>
      <c r="AD66" s="580" t="str">
        <f t="shared" si="140"/>
        <v/>
      </c>
      <c r="AE66" s="572" t="str">
        <f t="shared" si="106"/>
        <v/>
      </c>
      <c r="AF66" s="576" t="str">
        <f t="shared" si="107"/>
        <v/>
      </c>
      <c r="AG66" s="545" t="str">
        <f t="shared" si="108"/>
        <v/>
      </c>
      <c r="AH66" s="546" t="str">
        <f t="shared" si="109"/>
        <v/>
      </c>
      <c r="AI66" s="528" t="str">
        <f t="shared" si="110"/>
        <v/>
      </c>
      <c r="AJ66" s="529" t="str">
        <f t="shared" si="111"/>
        <v/>
      </c>
      <c r="AK66" s="578" t="str">
        <f t="shared" si="237"/>
        <v/>
      </c>
      <c r="AL66" s="572" t="str">
        <f t="shared" si="112"/>
        <v/>
      </c>
      <c r="AM66" s="577" t="str">
        <f t="shared" si="113"/>
        <v/>
      </c>
      <c r="AN66" s="524" t="str">
        <f t="shared" si="114"/>
        <v/>
      </c>
      <c r="AO66" s="525" t="str">
        <f t="shared" si="514"/>
        <v/>
      </c>
      <c r="AP66" s="528" t="str">
        <f t="shared" si="116"/>
        <v/>
      </c>
      <c r="AQ66" s="529" t="str">
        <f t="shared" si="272"/>
        <v/>
      </c>
      <c r="AS66" s="946" t="str">
        <f t="shared" si="460"/>
        <v/>
      </c>
      <c r="AT66" s="942" t="str">
        <f t="shared" si="273"/>
        <v/>
      </c>
      <c r="AU66" s="418"/>
      <c r="AV66" s="164" t="str">
        <f t="shared" si="27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2"/>
        <v/>
      </c>
      <c r="BA66" s="296" t="str">
        <f t="shared" si="276"/>
        <v/>
      </c>
      <c r="BB66" s="177" t="str">
        <f t="shared" si="143"/>
        <v/>
      </c>
      <c r="BC66" s="9"/>
      <c r="BD66" s="5" t="str">
        <f t="shared" si="144"/>
        <v/>
      </c>
      <c r="BE66" s="6" t="str">
        <f t="shared" si="278"/>
        <v/>
      </c>
      <c r="BF66" s="4" t="str">
        <f t="shared" si="279"/>
        <v/>
      </c>
      <c r="BG66" s="5" t="str">
        <f t="shared" si="280"/>
        <v/>
      </c>
      <c r="BH66" s="10" t="str">
        <f t="shared" si="281"/>
        <v/>
      </c>
      <c r="BI66" s="9" t="str">
        <f t="shared" si="145"/>
        <v/>
      </c>
      <c r="BJ66" s="5" t="str">
        <f t="shared" si="283"/>
        <v/>
      </c>
      <c r="BK66" s="8" t="str">
        <f t="shared" si="284"/>
        <v/>
      </c>
      <c r="BL66" s="173" t="str">
        <f t="shared" si="285"/>
        <v/>
      </c>
      <c r="BM66" s="5" t="str">
        <f t="shared" si="286"/>
        <v/>
      </c>
      <c r="BN66" s="6" t="str">
        <f t="shared" si="287"/>
        <v/>
      </c>
      <c r="BO66" s="4" t="str">
        <f t="shared" si="146"/>
        <v/>
      </c>
      <c r="BP66" s="5" t="str">
        <f t="shared" si="147"/>
        <v/>
      </c>
      <c r="BQ66" s="5" t="str">
        <f t="shared" si="148"/>
        <v/>
      </c>
      <c r="BR66" s="6" t="str">
        <f t="shared" si="149"/>
        <v/>
      </c>
      <c r="BS66" s="4" t="str">
        <f t="shared" si="482"/>
        <v/>
      </c>
      <c r="BT66" s="5" t="str">
        <f t="shared" si="482"/>
        <v/>
      </c>
      <c r="BU66" s="10" t="str">
        <f t="shared" si="118"/>
        <v/>
      </c>
      <c r="BV66" s="9" t="str">
        <f t="shared" si="119"/>
        <v/>
      </c>
      <c r="BW66" s="5" t="str">
        <f t="shared" si="120"/>
        <v/>
      </c>
      <c r="BX66" s="8" t="str">
        <f t="shared" si="121"/>
        <v/>
      </c>
      <c r="BY66" s="173" t="str">
        <f t="shared" si="122"/>
        <v/>
      </c>
      <c r="BZ66" s="5" t="str">
        <f t="shared" si="123"/>
        <v/>
      </c>
      <c r="CA66" s="6" t="str">
        <f t="shared" si="124"/>
        <v/>
      </c>
      <c r="CB66" s="4" t="str">
        <f t="shared" si="150"/>
        <v/>
      </c>
      <c r="CC66" s="5" t="str">
        <f t="shared" si="151"/>
        <v/>
      </c>
      <c r="CD66" s="5" t="str">
        <f t="shared" si="152"/>
        <v/>
      </c>
      <c r="CE66" s="6" t="str">
        <f t="shared" si="153"/>
        <v/>
      </c>
      <c r="CF66" s="4" t="str">
        <f t="shared" si="154"/>
        <v/>
      </c>
      <c r="CG66" s="5" t="str">
        <f t="shared" si="155"/>
        <v/>
      </c>
      <c r="CH66" s="5" t="str">
        <f t="shared" si="156"/>
        <v/>
      </c>
      <c r="CI66" s="4" t="str">
        <f t="shared" si="125"/>
        <v/>
      </c>
      <c r="CJ66" s="5" t="str">
        <f t="shared" si="126"/>
        <v/>
      </c>
      <c r="CK66" s="8" t="str">
        <f t="shared" si="127"/>
        <v/>
      </c>
      <c r="CL66" s="173" t="str">
        <f t="shared" si="128"/>
        <v/>
      </c>
      <c r="CM66" s="5" t="str">
        <f t="shared" si="129"/>
        <v/>
      </c>
      <c r="CN66" s="6" t="str">
        <f t="shared" si="130"/>
        <v/>
      </c>
      <c r="CO66" s="167" t="str">
        <f t="shared" si="304"/>
        <v/>
      </c>
      <c r="CP66" s="4" t="str">
        <f t="shared" si="238"/>
        <v/>
      </c>
      <c r="CQ66" s="5" t="str">
        <f t="shared" si="239"/>
        <v/>
      </c>
      <c r="CR66" s="5" t="str">
        <f t="shared" si="157"/>
        <v/>
      </c>
      <c r="CS66" s="8" t="str">
        <f t="shared" si="158"/>
        <v/>
      </c>
      <c r="CT66" s="9" t="str">
        <f t="shared" si="159"/>
        <v/>
      </c>
      <c r="CU66" s="6" t="str">
        <f t="shared" si="160"/>
        <v/>
      </c>
      <c r="CV66" s="4" t="str">
        <f t="shared" si="240"/>
        <v/>
      </c>
      <c r="CW66" s="5" t="str">
        <f t="shared" si="161"/>
        <v/>
      </c>
      <c r="CX66" s="8" t="str">
        <f t="shared" si="162"/>
        <v/>
      </c>
      <c r="CY66" s="9" t="str">
        <f t="shared" si="163"/>
        <v/>
      </c>
      <c r="CZ66" s="5" t="str">
        <f t="shared" si="164"/>
        <v/>
      </c>
      <c r="DA66" s="6" t="str">
        <f t="shared" si="165"/>
        <v/>
      </c>
      <c r="DB66" s="4" t="str">
        <f t="shared" si="483"/>
        <v/>
      </c>
      <c r="DC66" s="5" t="str">
        <f t="shared" si="483"/>
        <v/>
      </c>
      <c r="DD66" s="10" t="str">
        <f t="shared" si="167"/>
        <v/>
      </c>
      <c r="DE66" s="9" t="str">
        <f t="shared" si="484"/>
        <v/>
      </c>
      <c r="DF66" s="5" t="str">
        <f t="shared" si="484"/>
        <v/>
      </c>
      <c r="DG66" s="10" t="str">
        <f t="shared" si="169"/>
        <v/>
      </c>
      <c r="DH66" s="70" t="str">
        <f t="shared" si="170"/>
        <v/>
      </c>
      <c r="DI66" s="4" t="str">
        <f t="shared" si="171"/>
        <v/>
      </c>
      <c r="DJ66" s="5" t="str">
        <f t="shared" si="172"/>
        <v/>
      </c>
      <c r="DK66" s="10" t="str">
        <f t="shared" si="173"/>
        <v/>
      </c>
      <c r="DL66" s="9" t="str">
        <f t="shared" si="174"/>
        <v/>
      </c>
      <c r="DM66" s="173" t="str">
        <f t="shared" si="175"/>
        <v/>
      </c>
      <c r="DN66" s="178" t="str">
        <f t="shared" si="176"/>
        <v/>
      </c>
      <c r="DO66" s="9" t="str">
        <f t="shared" si="177"/>
        <v/>
      </c>
      <c r="DP66" s="173" t="str">
        <f t="shared" si="178"/>
        <v/>
      </c>
      <c r="DQ66" s="11" t="str">
        <f t="shared" si="179"/>
        <v/>
      </c>
      <c r="DR66" s="173" t="str">
        <f t="shared" si="180"/>
        <v/>
      </c>
      <c r="DS66" s="5" t="str">
        <f t="shared" si="181"/>
        <v/>
      </c>
      <c r="DT66" s="5" t="str">
        <f t="shared" si="182"/>
        <v/>
      </c>
      <c r="DU66" s="5" t="str">
        <f t="shared" si="183"/>
        <v/>
      </c>
      <c r="DV66" s="5" t="str">
        <f t="shared" si="184"/>
        <v/>
      </c>
      <c r="DW66" s="5" t="str">
        <f t="shared" si="185"/>
        <v/>
      </c>
      <c r="DX66" s="167" t="str">
        <f t="shared" si="186"/>
        <v/>
      </c>
      <c r="DY66" s="9" t="str">
        <f t="shared" si="187"/>
        <v/>
      </c>
      <c r="DZ66" s="5" t="str">
        <f t="shared" si="188"/>
        <v/>
      </c>
      <c r="EA66" s="10" t="str">
        <f t="shared" si="189"/>
        <v/>
      </c>
      <c r="EB66" s="6" t="str">
        <f t="shared" si="190"/>
        <v/>
      </c>
      <c r="EC66" s="173" t="str">
        <f t="shared" si="191"/>
        <v/>
      </c>
      <c r="ED66" s="5" t="str">
        <f t="shared" si="192"/>
        <v/>
      </c>
      <c r="EE66" s="4" t="str">
        <f t="shared" si="193"/>
        <v/>
      </c>
      <c r="EF66" s="5" t="str">
        <f t="shared" si="194"/>
        <v/>
      </c>
      <c r="EG66" s="10" t="str">
        <f t="shared" si="195"/>
        <v/>
      </c>
      <c r="EH66" s="9" t="str">
        <f t="shared" si="196"/>
        <v/>
      </c>
      <c r="EI66" s="5" t="str">
        <f t="shared" si="197"/>
        <v/>
      </c>
      <c r="EJ66" s="6" t="str">
        <f t="shared" si="198"/>
        <v/>
      </c>
      <c r="EK66" s="236" t="str">
        <f t="shared" si="199"/>
        <v/>
      </c>
      <c r="EL66" s="238" t="str">
        <f t="shared" si="200"/>
        <v/>
      </c>
      <c r="EM66" s="4" t="str">
        <f t="shared" si="201"/>
        <v/>
      </c>
      <c r="EN66" s="5" t="str">
        <f t="shared" si="202"/>
        <v/>
      </c>
      <c r="EO66" s="10" t="str">
        <f t="shared" si="203"/>
        <v/>
      </c>
      <c r="EP66" s="9" t="str">
        <f t="shared" si="204"/>
        <v/>
      </c>
      <c r="EQ66" s="5" t="str">
        <f t="shared" si="205"/>
        <v/>
      </c>
      <c r="ER66" s="7" t="str">
        <f t="shared" si="206"/>
        <v/>
      </c>
      <c r="ES66" s="21" t="str">
        <f t="shared" si="351"/>
        <v/>
      </c>
      <c r="ET66" s="5" t="str">
        <f t="shared" si="352"/>
        <v/>
      </c>
      <c r="EU66" s="10" t="str">
        <f t="shared" si="353"/>
        <v/>
      </c>
      <c r="EV66" s="174" t="str">
        <f t="shared" si="485"/>
        <v/>
      </c>
      <c r="EW66" s="9" t="str">
        <f t="shared" si="486"/>
        <v/>
      </c>
      <c r="EX66" s="5" t="str">
        <f t="shared" si="487"/>
        <v/>
      </c>
      <c r="EY66" s="6" t="str">
        <f t="shared" si="207"/>
        <v/>
      </c>
      <c r="EZ66" s="51" t="str">
        <f t="shared" si="208"/>
        <v/>
      </c>
      <c r="FA66" s="173" t="str">
        <f t="shared" si="488"/>
        <v/>
      </c>
      <c r="FB66" s="5" t="str">
        <f t="shared" si="489"/>
        <v/>
      </c>
      <c r="FC66" s="6" t="str">
        <f t="shared" si="490"/>
        <v/>
      </c>
      <c r="FD66" s="4" t="str">
        <f t="shared" si="491"/>
        <v/>
      </c>
      <c r="FE66" s="5" t="str">
        <f t="shared" si="492"/>
        <v/>
      </c>
      <c r="FF66" s="7" t="str">
        <f t="shared" si="209"/>
        <v/>
      </c>
      <c r="FG66" s="173" t="str">
        <f t="shared" si="493"/>
        <v/>
      </c>
      <c r="FH66" s="5" t="str">
        <f t="shared" si="494"/>
        <v/>
      </c>
      <c r="FI66" s="10" t="str">
        <f t="shared" si="495"/>
        <v/>
      </c>
      <c r="FJ66" s="279" t="str">
        <f t="shared" si="211"/>
        <v/>
      </c>
      <c r="FK66" s="4" t="str">
        <f t="shared" si="496"/>
        <v/>
      </c>
      <c r="FL66" s="5" t="str">
        <f t="shared" si="212"/>
        <v/>
      </c>
      <c r="FM66" s="8" t="str">
        <f t="shared" si="213"/>
        <v/>
      </c>
      <c r="FN66" s="9" t="str">
        <f t="shared" si="214"/>
        <v/>
      </c>
      <c r="FO66" s="10" t="str">
        <f t="shared" si="497"/>
        <v/>
      </c>
      <c r="FP66" s="277" t="str">
        <f t="shared" si="498"/>
        <v/>
      </c>
      <c r="FQ66" s="173" t="str">
        <f t="shared" si="241"/>
        <v/>
      </c>
      <c r="FR66" s="10" t="str">
        <f t="shared" si="215"/>
        <v/>
      </c>
      <c r="FS66" s="9" t="str">
        <f t="shared" si="216"/>
        <v/>
      </c>
      <c r="FT66" s="6" t="str">
        <f t="shared" si="217"/>
        <v/>
      </c>
      <c r="FU66" s="4" t="str">
        <f t="shared" si="218"/>
        <v/>
      </c>
      <c r="FV66" s="5" t="str">
        <f t="shared" si="219"/>
        <v/>
      </c>
      <c r="FW66" s="8" t="str">
        <f t="shared" si="242"/>
        <v/>
      </c>
      <c r="FX66" s="9" t="str">
        <f t="shared" si="243"/>
        <v/>
      </c>
      <c r="FY66" s="10" t="str">
        <f t="shared" si="499"/>
        <v/>
      </c>
      <c r="FZ66" s="277" t="str">
        <f t="shared" si="244"/>
        <v/>
      </c>
      <c r="GA66" s="177" t="str">
        <f t="shared" si="220"/>
        <v/>
      </c>
      <c r="GB66" s="4" t="str">
        <f t="shared" si="221"/>
        <v/>
      </c>
      <c r="GC66" s="5" t="str">
        <f t="shared" si="222"/>
        <v/>
      </c>
      <c r="GD66" s="10" t="str">
        <f t="shared" si="223"/>
        <v/>
      </c>
      <c r="GE66" s="311" t="str">
        <f t="shared" si="224"/>
        <v/>
      </c>
      <c r="GF66" s="341" t="str">
        <f t="shared" si="245"/>
        <v/>
      </c>
      <c r="GG66" s="285" t="str">
        <f t="shared" si="500"/>
        <v/>
      </c>
      <c r="GH66" s="286" t="str">
        <f t="shared" si="501"/>
        <v/>
      </c>
      <c r="GI66" s="281" t="str">
        <f t="shared" si="502"/>
        <v/>
      </c>
      <c r="GJ66" s="167" t="str">
        <f t="shared" si="225"/>
        <v/>
      </c>
      <c r="GK66" s="174" t="str">
        <f t="shared" si="503"/>
        <v/>
      </c>
      <c r="GL66" s="174" t="str">
        <f t="shared" si="226"/>
        <v/>
      </c>
      <c r="GM66" s="177" t="str">
        <f t="shared" si="246"/>
        <v/>
      </c>
      <c r="GN66" s="280" t="str">
        <f t="shared" si="227"/>
        <v/>
      </c>
      <c r="GO66" s="4" t="str">
        <f t="shared" si="228"/>
        <v/>
      </c>
      <c r="GP66" s="8" t="str">
        <f t="shared" si="247"/>
        <v/>
      </c>
      <c r="GQ66" s="177" t="str">
        <f t="shared" si="229"/>
        <v/>
      </c>
      <c r="GR66" s="371" t="str">
        <f t="shared" si="248"/>
        <v/>
      </c>
      <c r="GS66" s="342" t="str">
        <f t="shared" si="504"/>
        <v/>
      </c>
      <c r="GT66" s="343" t="str">
        <f t="shared" si="505"/>
        <v/>
      </c>
      <c r="GU66" s="344" t="str">
        <f t="shared" si="506"/>
        <v/>
      </c>
      <c r="GV66" s="343" t="str">
        <f t="shared" si="251"/>
        <v/>
      </c>
      <c r="GW66" s="345" t="str">
        <f t="shared" si="507"/>
        <v/>
      </c>
      <c r="GX66" s="346" t="str">
        <f t="shared" si="508"/>
        <v/>
      </c>
      <c r="GY66" s="344" t="str">
        <f t="shared" si="509"/>
        <v/>
      </c>
      <c r="GZ66" s="345" t="str">
        <f t="shared" si="510"/>
        <v/>
      </c>
      <c r="HA66" s="342" t="str">
        <f t="shared" si="511"/>
        <v/>
      </c>
      <c r="HB66" s="5" t="str">
        <f t="shared" si="230"/>
        <v/>
      </c>
      <c r="HC66" s="343" t="str">
        <f t="shared" si="231"/>
        <v/>
      </c>
      <c r="HD66" s="363" t="str">
        <f t="shared" si="232"/>
        <v/>
      </c>
      <c r="HE66" s="344" t="str">
        <f t="shared" si="512"/>
        <v/>
      </c>
      <c r="HF66" s="5" t="str">
        <f t="shared" si="513"/>
        <v/>
      </c>
      <c r="HG66" s="343" t="str">
        <f t="shared" si="233"/>
        <v/>
      </c>
      <c r="HH66" s="349" t="str">
        <f t="shared" si="234"/>
        <v/>
      </c>
      <c r="HI66" s="317" t="str">
        <f t="shared" si="407"/>
        <v/>
      </c>
      <c r="HK66" s="310" t="str">
        <f t="shared" si="458"/>
        <v/>
      </c>
      <c r="HL66" s="348" t="str">
        <f t="shared" si="408"/>
        <v/>
      </c>
      <c r="HM66" s="923" t="str">
        <f t="shared" si="409"/>
        <v/>
      </c>
      <c r="HN66" s="924" t="str">
        <f t="shared" si="410"/>
        <v/>
      </c>
      <c r="HO66" s="925"/>
      <c r="HP66" s="926"/>
      <c r="HQ66" s="924" t="str">
        <f t="shared" si="411"/>
        <v/>
      </c>
      <c r="HR66" s="927" t="str">
        <f t="shared" si="412"/>
        <v/>
      </c>
      <c r="HS66" s="879" t="str">
        <f t="shared" si="459"/>
        <v/>
      </c>
      <c r="HT66" s="889" t="str">
        <f t="shared" si="413"/>
        <v/>
      </c>
      <c r="HU66" s="890" t="str">
        <f t="shared" si="414"/>
        <v/>
      </c>
      <c r="HV66" s="886" t="str">
        <f t="shared" si="415"/>
        <v/>
      </c>
      <c r="HW66" s="880" t="str">
        <f t="shared" si="416"/>
        <v/>
      </c>
      <c r="HX66" s="881" t="str">
        <f t="shared" si="417"/>
        <v/>
      </c>
      <c r="HY66" s="880" t="str">
        <f t="shared" si="418"/>
        <v/>
      </c>
      <c r="HZ66" s="882" t="str">
        <f t="shared" si="419"/>
        <v/>
      </c>
      <c r="IA66" s="883" t="str">
        <f t="shared" si="420"/>
        <v/>
      </c>
      <c r="IB66" s="884" t="str">
        <f t="shared" si="421"/>
        <v/>
      </c>
      <c r="IC66" s="855" t="str">
        <f t="shared" si="422"/>
        <v/>
      </c>
      <c r="ID66" s="351" t="str">
        <f t="shared" si="423"/>
        <v/>
      </c>
      <c r="IE66" s="857" t="str">
        <f t="shared" si="42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5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25"/>
        <v/>
      </c>
      <c r="IM66" s="482" t="str">
        <f t="shared" si="236"/>
        <v/>
      </c>
      <c r="IN66" s="670" t="str">
        <f t="shared" si="426"/>
        <v/>
      </c>
      <c r="IO66" s="702">
        <v>1.8939039697349599E-2</v>
      </c>
      <c r="IP66" s="5" t="str">
        <f t="shared" si="427"/>
        <v/>
      </c>
      <c r="IQ66" s="714">
        <v>170</v>
      </c>
      <c r="IR66" s="9" t="str">
        <f t="shared" si="428"/>
        <v/>
      </c>
      <c r="IS66" s="5" t="str">
        <f t="shared" si="429"/>
        <v/>
      </c>
      <c r="IT66" s="5" t="str">
        <f t="shared" si="430"/>
        <v/>
      </c>
      <c r="IU66" s="5" t="str">
        <f t="shared" si="431"/>
        <v/>
      </c>
      <c r="IV66" s="670" t="str">
        <f t="shared" si="432"/>
        <v/>
      </c>
      <c r="IW66" s="9" t="str">
        <f t="shared" si="433"/>
        <v/>
      </c>
      <c r="IX66" s="5" t="str">
        <f t="shared" si="434"/>
        <v/>
      </c>
      <c r="IY66" s="5" t="str">
        <f t="shared" si="435"/>
        <v/>
      </c>
      <c r="IZ66" s="5" t="str">
        <f t="shared" si="436"/>
        <v/>
      </c>
      <c r="JA66" s="705" t="str">
        <f t="shared" si="437"/>
        <v/>
      </c>
    </row>
    <row r="67" spans="1:261" ht="15" customHeight="1" x14ac:dyDescent="0.25">
      <c r="A67" s="75" t="str">
        <f t="shared" si="254"/>
        <v/>
      </c>
      <c r="B67" s="578" t="str">
        <f t="shared" si="255"/>
        <v/>
      </c>
      <c r="C67" s="572" t="str">
        <f t="shared" si="256"/>
        <v/>
      </c>
      <c r="D67" s="576" t="str">
        <f t="shared" si="257"/>
        <v/>
      </c>
      <c r="E67" s="580" t="str">
        <f t="shared" si="258"/>
        <v/>
      </c>
      <c r="F67" s="572" t="str">
        <f t="shared" si="259"/>
        <v/>
      </c>
      <c r="G67" s="579" t="str">
        <f t="shared" si="260"/>
        <v/>
      </c>
      <c r="H67" s="580" t="str">
        <f t="shared" si="261"/>
        <v/>
      </c>
      <c r="I67" s="572" t="str">
        <f t="shared" si="262"/>
        <v/>
      </c>
      <c r="J67" s="483" t="str">
        <f t="shared" si="263"/>
        <v/>
      </c>
      <c r="K67" s="806" t="str">
        <f t="shared" si="264"/>
        <v/>
      </c>
      <c r="L67" s="309"/>
      <c r="M67" s="164" t="str">
        <f t="shared" si="265"/>
        <v/>
      </c>
      <c r="N67" s="575" t="str">
        <f t="shared" si="266"/>
        <v/>
      </c>
      <c r="O67" s="572" t="str">
        <f t="shared" si="267"/>
        <v/>
      </c>
      <c r="P67" s="576" t="str">
        <f t="shared" si="268"/>
        <v/>
      </c>
      <c r="Q67" s="528" t="str">
        <f t="shared" si="138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2"/>
        <v/>
      </c>
      <c r="X67" s="572" t="str">
        <f>IF(M67="","",R67)</f>
        <v/>
      </c>
      <c r="Y67" s="573" t="str">
        <f t="shared" si="253"/>
        <v/>
      </c>
      <c r="Z67" s="575" t="str">
        <f t="shared" si="269"/>
        <v/>
      </c>
      <c r="AA67" s="572" t="str">
        <f t="shared" si="270"/>
        <v/>
      </c>
      <c r="AB67" s="572" t="str">
        <f t="shared" si="27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14"/>
        <v/>
      </c>
      <c r="AP67" s="528" t="str">
        <f>IF(M67="","",DEGREES(ATAN2(AK67,AL67)))</f>
        <v/>
      </c>
      <c r="AQ67" s="529" t="str">
        <f t="shared" si="272"/>
        <v/>
      </c>
      <c r="AS67" s="946" t="str">
        <f t="shared" si="460"/>
        <v/>
      </c>
      <c r="AT67" s="942" t="str">
        <f t="shared" si="273"/>
        <v/>
      </c>
      <c r="AU67" s="418"/>
      <c r="AV67" s="164" t="str">
        <f t="shared" si="27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2"/>
        <v/>
      </c>
      <c r="BA67" s="296" t="str">
        <f t="shared" si="276"/>
        <v/>
      </c>
      <c r="BB67" s="177" t="str">
        <f t="shared" si="143"/>
        <v/>
      </c>
      <c r="BC67" s="9"/>
      <c r="BD67" s="5" t="str">
        <f t="shared" si="144"/>
        <v/>
      </c>
      <c r="BE67" s="6" t="str">
        <f t="shared" si="278"/>
        <v/>
      </c>
      <c r="BF67" s="4" t="str">
        <f t="shared" si="279"/>
        <v/>
      </c>
      <c r="BG67" s="5" t="str">
        <f t="shared" si="280"/>
        <v/>
      </c>
      <c r="BH67" s="10" t="str">
        <f t="shared" si="281"/>
        <v/>
      </c>
      <c r="BI67" s="9" t="str">
        <f t="shared" si="145"/>
        <v/>
      </c>
      <c r="BJ67" s="5" t="str">
        <f t="shared" si="283"/>
        <v/>
      </c>
      <c r="BK67" s="8" t="str">
        <f t="shared" si="284"/>
        <v/>
      </c>
      <c r="BL67" s="173" t="str">
        <f t="shared" si="285"/>
        <v/>
      </c>
      <c r="BM67" s="5" t="str">
        <f t="shared" si="286"/>
        <v/>
      </c>
      <c r="BN67" s="6" t="str">
        <f t="shared" si="287"/>
        <v/>
      </c>
      <c r="BO67" s="4" t="str">
        <f t="shared" si="146"/>
        <v/>
      </c>
      <c r="BP67" s="5" t="str">
        <f t="shared" si="147"/>
        <v/>
      </c>
      <c r="BQ67" s="5" t="str">
        <f t="shared" si="148"/>
        <v/>
      </c>
      <c r="BR67" s="6" t="str">
        <f t="shared" si="149"/>
        <v/>
      </c>
      <c r="BS67" s="4" t="str">
        <f t="shared" si="482"/>
        <v/>
      </c>
      <c r="BT67" s="5" t="str">
        <f t="shared" si="482"/>
        <v/>
      </c>
      <c r="BU67" s="10" t="str">
        <f t="shared" si="118"/>
        <v/>
      </c>
      <c r="BV67" s="9" t="str">
        <f t="shared" si="119"/>
        <v/>
      </c>
      <c r="BW67" s="5" t="str">
        <f t="shared" si="120"/>
        <v/>
      </c>
      <c r="BX67" s="8" t="str">
        <f t="shared" si="121"/>
        <v/>
      </c>
      <c r="BY67" s="173" t="str">
        <f t="shared" si="122"/>
        <v/>
      </c>
      <c r="BZ67" s="5" t="str">
        <f t="shared" si="123"/>
        <v/>
      </c>
      <c r="CA67" s="6" t="str">
        <f t="shared" si="124"/>
        <v/>
      </c>
      <c r="CB67" s="4" t="str">
        <f t="shared" si="150"/>
        <v/>
      </c>
      <c r="CC67" s="5" t="str">
        <f t="shared" si="151"/>
        <v/>
      </c>
      <c r="CD67" s="5" t="str">
        <f t="shared" si="152"/>
        <v/>
      </c>
      <c r="CE67" s="6" t="str">
        <f t="shared" si="153"/>
        <v/>
      </c>
      <c r="CF67" s="4" t="str">
        <f t="shared" si="154"/>
        <v/>
      </c>
      <c r="CG67" s="5" t="str">
        <f t="shared" si="155"/>
        <v/>
      </c>
      <c r="CH67" s="5" t="str">
        <f t="shared" si="156"/>
        <v/>
      </c>
      <c r="CI67" s="4" t="str">
        <f t="shared" si="125"/>
        <v/>
      </c>
      <c r="CJ67" s="5" t="str">
        <f t="shared" si="126"/>
        <v/>
      </c>
      <c r="CK67" s="8" t="str">
        <f t="shared" si="127"/>
        <v/>
      </c>
      <c r="CL67" s="173" t="str">
        <f t="shared" si="128"/>
        <v/>
      </c>
      <c r="CM67" s="5" t="str">
        <f t="shared" si="129"/>
        <v/>
      </c>
      <c r="CN67" s="6" t="str">
        <f t="shared" si="130"/>
        <v/>
      </c>
      <c r="CO67" s="167" t="str">
        <f t="shared" si="304"/>
        <v/>
      </c>
      <c r="CP67" s="4" t="str">
        <f t="shared" si="238"/>
        <v/>
      </c>
      <c r="CQ67" s="5" t="str">
        <f t="shared" si="239"/>
        <v/>
      </c>
      <c r="CR67" s="5" t="str">
        <f t="shared" si="157"/>
        <v/>
      </c>
      <c r="CS67" s="8" t="str">
        <f t="shared" si="158"/>
        <v/>
      </c>
      <c r="CT67" s="9" t="str">
        <f t="shared" si="159"/>
        <v/>
      </c>
      <c r="CU67" s="6" t="str">
        <f t="shared" si="160"/>
        <v/>
      </c>
      <c r="CV67" s="4" t="str">
        <f t="shared" si="240"/>
        <v/>
      </c>
      <c r="CW67" s="5" t="str">
        <f t="shared" si="161"/>
        <v/>
      </c>
      <c r="CX67" s="8" t="str">
        <f t="shared" si="162"/>
        <v/>
      </c>
      <c r="CY67" s="9" t="str">
        <f t="shared" si="163"/>
        <v/>
      </c>
      <c r="CZ67" s="5" t="str">
        <f t="shared" si="164"/>
        <v/>
      </c>
      <c r="DA67" s="6" t="str">
        <f t="shared" si="165"/>
        <v/>
      </c>
      <c r="DB67" s="4" t="str">
        <f t="shared" si="483"/>
        <v/>
      </c>
      <c r="DC67" s="5" t="str">
        <f t="shared" si="483"/>
        <v/>
      </c>
      <c r="DD67" s="10" t="str">
        <f t="shared" si="167"/>
        <v/>
      </c>
      <c r="DE67" s="9" t="str">
        <f t="shared" si="484"/>
        <v/>
      </c>
      <c r="DF67" s="5" t="str">
        <f t="shared" si="484"/>
        <v/>
      </c>
      <c r="DG67" s="10" t="str">
        <f t="shared" si="169"/>
        <v/>
      </c>
      <c r="DH67" s="70" t="str">
        <f t="shared" si="170"/>
        <v/>
      </c>
      <c r="DI67" s="4" t="str">
        <f t="shared" si="171"/>
        <v/>
      </c>
      <c r="DJ67" s="5" t="str">
        <f t="shared" si="172"/>
        <v/>
      </c>
      <c r="DK67" s="10" t="str">
        <f t="shared" si="173"/>
        <v/>
      </c>
      <c r="DL67" s="9" t="str">
        <f t="shared" si="174"/>
        <v/>
      </c>
      <c r="DM67" s="173" t="str">
        <f t="shared" si="175"/>
        <v/>
      </c>
      <c r="DN67" s="178" t="str">
        <f t="shared" si="176"/>
        <v/>
      </c>
      <c r="DO67" s="9" t="str">
        <f t="shared" si="177"/>
        <v/>
      </c>
      <c r="DP67" s="173" t="str">
        <f t="shared" si="178"/>
        <v/>
      </c>
      <c r="DQ67" s="11" t="str">
        <f t="shared" si="179"/>
        <v/>
      </c>
      <c r="DR67" s="173" t="str">
        <f t="shared" si="180"/>
        <v/>
      </c>
      <c r="DS67" s="5" t="str">
        <f t="shared" si="181"/>
        <v/>
      </c>
      <c r="DT67" s="5" t="str">
        <f t="shared" si="182"/>
        <v/>
      </c>
      <c r="DU67" s="5" t="str">
        <f t="shared" si="183"/>
        <v/>
      </c>
      <c r="DV67" s="5" t="str">
        <f t="shared" si="184"/>
        <v/>
      </c>
      <c r="DW67" s="5" t="str">
        <f t="shared" si="185"/>
        <v/>
      </c>
      <c r="DX67" s="167" t="str">
        <f t="shared" si="186"/>
        <v/>
      </c>
      <c r="DY67" s="9" t="str">
        <f t="shared" si="187"/>
        <v/>
      </c>
      <c r="DZ67" s="5" t="str">
        <f t="shared" si="188"/>
        <v/>
      </c>
      <c r="EA67" s="10" t="str">
        <f t="shared" si="189"/>
        <v/>
      </c>
      <c r="EB67" s="6" t="str">
        <f t="shared" si="190"/>
        <v/>
      </c>
      <c r="EC67" s="173" t="str">
        <f t="shared" si="191"/>
        <v/>
      </c>
      <c r="ED67" s="5" t="str">
        <f t="shared" si="192"/>
        <v/>
      </c>
      <c r="EE67" s="4" t="str">
        <f t="shared" si="193"/>
        <v/>
      </c>
      <c r="EF67" s="5" t="str">
        <f t="shared" si="194"/>
        <v/>
      </c>
      <c r="EG67" s="10" t="str">
        <f t="shared" si="195"/>
        <v/>
      </c>
      <c r="EH67" s="9" t="str">
        <f t="shared" si="196"/>
        <v/>
      </c>
      <c r="EI67" s="5" t="str">
        <f t="shared" si="197"/>
        <v/>
      </c>
      <c r="EJ67" s="6" t="str">
        <f t="shared" si="198"/>
        <v/>
      </c>
      <c r="EK67" s="236" t="str">
        <f t="shared" si="199"/>
        <v/>
      </c>
      <c r="EL67" s="238" t="str">
        <f t="shared" si="200"/>
        <v/>
      </c>
      <c r="EM67" s="4" t="str">
        <f t="shared" si="201"/>
        <v/>
      </c>
      <c r="EN67" s="5" t="str">
        <f t="shared" si="202"/>
        <v/>
      </c>
      <c r="EO67" s="10" t="str">
        <f t="shared" si="203"/>
        <v/>
      </c>
      <c r="EP67" s="9" t="str">
        <f t="shared" si="204"/>
        <v/>
      </c>
      <c r="EQ67" s="5" t="str">
        <f t="shared" si="205"/>
        <v/>
      </c>
      <c r="ER67" s="7" t="str">
        <f t="shared" si="206"/>
        <v/>
      </c>
      <c r="ES67" s="21" t="str">
        <f t="shared" si="351"/>
        <v/>
      </c>
      <c r="ET67" s="5" t="str">
        <f t="shared" si="352"/>
        <v/>
      </c>
      <c r="EU67" s="10" t="str">
        <f t="shared" si="353"/>
        <v/>
      </c>
      <c r="EV67" s="174" t="str">
        <f t="shared" si="485"/>
        <v/>
      </c>
      <c r="EW67" s="9" t="str">
        <f t="shared" si="486"/>
        <v/>
      </c>
      <c r="EX67" s="5" t="str">
        <f t="shared" si="487"/>
        <v/>
      </c>
      <c r="EY67" s="6" t="str">
        <f t="shared" si="207"/>
        <v/>
      </c>
      <c r="EZ67" s="51" t="str">
        <f t="shared" si="208"/>
        <v/>
      </c>
      <c r="FA67" s="173" t="str">
        <f t="shared" si="488"/>
        <v/>
      </c>
      <c r="FB67" s="5" t="str">
        <f t="shared" si="489"/>
        <v/>
      </c>
      <c r="FC67" s="6" t="str">
        <f t="shared" si="490"/>
        <v/>
      </c>
      <c r="FD67" s="4" t="str">
        <f t="shared" si="491"/>
        <v/>
      </c>
      <c r="FE67" s="5" t="str">
        <f t="shared" si="492"/>
        <v/>
      </c>
      <c r="FF67" s="7" t="str">
        <f t="shared" si="209"/>
        <v/>
      </c>
      <c r="FG67" s="173" t="str">
        <f t="shared" si="493"/>
        <v/>
      </c>
      <c r="FH67" s="5" t="str">
        <f t="shared" si="494"/>
        <v/>
      </c>
      <c r="FI67" s="10" t="str">
        <f t="shared" si="495"/>
        <v/>
      </c>
      <c r="FJ67" s="279" t="str">
        <f t="shared" si="211"/>
        <v/>
      </c>
      <c r="FK67" s="4" t="str">
        <f t="shared" si="496"/>
        <v/>
      </c>
      <c r="FL67" s="5" t="str">
        <f t="shared" si="212"/>
        <v/>
      </c>
      <c r="FM67" s="8" t="str">
        <f t="shared" si="213"/>
        <v/>
      </c>
      <c r="FN67" s="9" t="str">
        <f t="shared" si="214"/>
        <v/>
      </c>
      <c r="FO67" s="10" t="str">
        <f t="shared" si="497"/>
        <v/>
      </c>
      <c r="FP67" s="277" t="str">
        <f t="shared" si="498"/>
        <v/>
      </c>
      <c r="FQ67" s="173" t="str">
        <f t="shared" si="241"/>
        <v/>
      </c>
      <c r="FR67" s="10" t="str">
        <f t="shared" si="215"/>
        <v/>
      </c>
      <c r="FS67" s="9" t="str">
        <f t="shared" si="216"/>
        <v/>
      </c>
      <c r="FT67" s="6" t="str">
        <f t="shared" si="217"/>
        <v/>
      </c>
      <c r="FU67" s="4" t="str">
        <f t="shared" si="218"/>
        <v/>
      </c>
      <c r="FV67" s="5" t="str">
        <f t="shared" si="219"/>
        <v/>
      </c>
      <c r="FW67" s="8" t="str">
        <f t="shared" si="242"/>
        <v/>
      </c>
      <c r="FX67" s="9" t="str">
        <f t="shared" si="243"/>
        <v/>
      </c>
      <c r="FY67" s="10" t="str">
        <f t="shared" si="499"/>
        <v/>
      </c>
      <c r="FZ67" s="277" t="str">
        <f t="shared" si="244"/>
        <v/>
      </c>
      <c r="GA67" s="177" t="str">
        <f t="shared" si="220"/>
        <v/>
      </c>
      <c r="GB67" s="4" t="str">
        <f t="shared" si="221"/>
        <v/>
      </c>
      <c r="GC67" s="5" t="str">
        <f t="shared" si="222"/>
        <v/>
      </c>
      <c r="GD67" s="10" t="str">
        <f t="shared" si="223"/>
        <v/>
      </c>
      <c r="GE67" s="311" t="str">
        <f t="shared" si="224"/>
        <v/>
      </c>
      <c r="GF67" s="341" t="str">
        <f t="shared" si="245"/>
        <v/>
      </c>
      <c r="GG67" s="285" t="str">
        <f t="shared" si="500"/>
        <v/>
      </c>
      <c r="GH67" s="286" t="str">
        <f t="shared" si="501"/>
        <v/>
      </c>
      <c r="GI67" s="281" t="str">
        <f t="shared" si="502"/>
        <v/>
      </c>
      <c r="GJ67" s="167" t="str">
        <f t="shared" si="225"/>
        <v/>
      </c>
      <c r="GK67" s="174" t="str">
        <f t="shared" si="503"/>
        <v/>
      </c>
      <c r="GL67" s="174" t="str">
        <f t="shared" si="226"/>
        <v/>
      </c>
      <c r="GM67" s="177" t="str">
        <f t="shared" si="246"/>
        <v/>
      </c>
      <c r="GN67" s="280" t="str">
        <f t="shared" si="227"/>
        <v/>
      </c>
      <c r="GO67" s="4" t="str">
        <f t="shared" si="228"/>
        <v/>
      </c>
      <c r="GP67" s="8" t="str">
        <f t="shared" si="247"/>
        <v/>
      </c>
      <c r="GQ67" s="177" t="str">
        <f t="shared" si="229"/>
        <v/>
      </c>
      <c r="GR67" s="371" t="str">
        <f t="shared" si="248"/>
        <v/>
      </c>
      <c r="GS67" s="342" t="str">
        <f t="shared" si="504"/>
        <v/>
      </c>
      <c r="GT67" s="343" t="str">
        <f t="shared" si="505"/>
        <v/>
      </c>
      <c r="GU67" s="344" t="str">
        <f t="shared" si="506"/>
        <v/>
      </c>
      <c r="GV67" s="343" t="str">
        <f t="shared" si="251"/>
        <v/>
      </c>
      <c r="GW67" s="345" t="str">
        <f t="shared" si="507"/>
        <v/>
      </c>
      <c r="GX67" s="346" t="str">
        <f t="shared" si="508"/>
        <v/>
      </c>
      <c r="GY67" s="344" t="str">
        <f t="shared" si="509"/>
        <v/>
      </c>
      <c r="GZ67" s="345" t="str">
        <f t="shared" si="510"/>
        <v/>
      </c>
      <c r="HA67" s="342" t="str">
        <f t="shared" si="511"/>
        <v/>
      </c>
      <c r="HB67" s="5" t="str">
        <f t="shared" si="230"/>
        <v/>
      </c>
      <c r="HC67" s="343" t="str">
        <f t="shared" si="231"/>
        <v/>
      </c>
      <c r="HD67" s="363" t="str">
        <f t="shared" si="232"/>
        <v/>
      </c>
      <c r="HE67" s="344" t="str">
        <f t="shared" si="512"/>
        <v/>
      </c>
      <c r="HF67" s="5" t="str">
        <f t="shared" si="513"/>
        <v/>
      </c>
      <c r="HG67" s="343" t="str">
        <f t="shared" si="233"/>
        <v/>
      </c>
      <c r="HH67" s="349" t="str">
        <f t="shared" si="234"/>
        <v/>
      </c>
      <c r="HI67" s="317" t="str">
        <f t="shared" si="407"/>
        <v/>
      </c>
      <c r="HK67" s="310" t="str">
        <f t="shared" si="458"/>
        <v/>
      </c>
      <c r="HL67" s="348" t="str">
        <f t="shared" si="408"/>
        <v/>
      </c>
      <c r="HM67" s="923" t="str">
        <f t="shared" si="409"/>
        <v/>
      </c>
      <c r="HN67" s="924" t="str">
        <f t="shared" si="410"/>
        <v/>
      </c>
      <c r="HO67" s="925"/>
      <c r="HP67" s="926"/>
      <c r="HQ67" s="924" t="str">
        <f t="shared" si="411"/>
        <v/>
      </c>
      <c r="HR67" s="927" t="str">
        <f t="shared" si="412"/>
        <v/>
      </c>
      <c r="HS67" s="879" t="str">
        <f t="shared" si="459"/>
        <v/>
      </c>
      <c r="HT67" s="889" t="str">
        <f t="shared" si="413"/>
        <v/>
      </c>
      <c r="HU67" s="890" t="str">
        <f t="shared" si="414"/>
        <v/>
      </c>
      <c r="HV67" s="886" t="str">
        <f t="shared" si="415"/>
        <v/>
      </c>
      <c r="HW67" s="880" t="str">
        <f t="shared" si="416"/>
        <v/>
      </c>
      <c r="HX67" s="881" t="str">
        <f t="shared" si="417"/>
        <v/>
      </c>
      <c r="HY67" s="880" t="str">
        <f t="shared" si="418"/>
        <v/>
      </c>
      <c r="HZ67" s="882" t="str">
        <f t="shared" si="419"/>
        <v/>
      </c>
      <c r="IA67" s="883" t="str">
        <f t="shared" si="420"/>
        <v/>
      </c>
      <c r="IB67" s="884" t="str">
        <f t="shared" si="421"/>
        <v/>
      </c>
      <c r="IC67" s="855" t="str">
        <f t="shared" si="422"/>
        <v/>
      </c>
      <c r="ID67" s="351" t="str">
        <f t="shared" si="423"/>
        <v/>
      </c>
      <c r="IE67" s="857" t="str">
        <f t="shared" si="42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5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5"/>
        <v/>
      </c>
      <c r="IM67" s="482" t="str">
        <f t="shared" si="236"/>
        <v/>
      </c>
      <c r="IN67" s="670" t="str">
        <f t="shared" si="426"/>
        <v/>
      </c>
      <c r="IO67" s="702">
        <v>8.92851266704669E-3</v>
      </c>
      <c r="IP67" s="5" t="str">
        <f t="shared" si="427"/>
        <v/>
      </c>
      <c r="IQ67" s="714">
        <v>230</v>
      </c>
      <c r="IR67" s="9" t="str">
        <f t="shared" si="428"/>
        <v/>
      </c>
      <c r="IS67" s="5" t="str">
        <f t="shared" si="429"/>
        <v/>
      </c>
      <c r="IT67" s="5" t="str">
        <f t="shared" si="430"/>
        <v/>
      </c>
      <c r="IU67" s="5" t="str">
        <f t="shared" si="431"/>
        <v/>
      </c>
      <c r="IV67" s="670" t="str">
        <f t="shared" si="432"/>
        <v/>
      </c>
      <c r="IW67" s="9" t="str">
        <f t="shared" si="433"/>
        <v/>
      </c>
      <c r="IX67" s="5" t="str">
        <f t="shared" si="434"/>
        <v/>
      </c>
      <c r="IY67" s="5" t="str">
        <f t="shared" si="435"/>
        <v/>
      </c>
      <c r="IZ67" s="5" t="str">
        <f t="shared" si="436"/>
        <v/>
      </c>
      <c r="JA67" s="705" t="str">
        <f t="shared" si="437"/>
        <v/>
      </c>
    </row>
    <row r="68" spans="1:261" ht="15" customHeight="1" x14ac:dyDescent="0.25">
      <c r="A68" s="75" t="str">
        <f t="shared" si="254"/>
        <v/>
      </c>
      <c r="B68" s="578" t="str">
        <f t="shared" si="255"/>
        <v/>
      </c>
      <c r="C68" s="572" t="str">
        <f t="shared" si="256"/>
        <v/>
      </c>
      <c r="D68" s="576" t="str">
        <f t="shared" si="257"/>
        <v/>
      </c>
      <c r="E68" s="580" t="str">
        <f t="shared" si="258"/>
        <v/>
      </c>
      <c r="F68" s="572" t="str">
        <f t="shared" si="259"/>
        <v/>
      </c>
      <c r="G68" s="579" t="str">
        <f t="shared" si="260"/>
        <v/>
      </c>
      <c r="H68" s="580" t="str">
        <f t="shared" si="261"/>
        <v/>
      </c>
      <c r="I68" s="572" t="str">
        <f t="shared" si="262"/>
        <v/>
      </c>
      <c r="J68" s="483" t="str">
        <f t="shared" si="263"/>
        <v/>
      </c>
      <c r="K68" s="806" t="str">
        <f t="shared" si="264"/>
        <v/>
      </c>
      <c r="L68" s="309"/>
      <c r="M68" s="164" t="str">
        <f t="shared" si="265"/>
        <v/>
      </c>
      <c r="N68" s="575" t="str">
        <f t="shared" si="266"/>
        <v/>
      </c>
      <c r="O68" s="572" t="str">
        <f t="shared" si="267"/>
        <v/>
      </c>
      <c r="P68" s="576" t="str">
        <f t="shared" si="268"/>
        <v/>
      </c>
      <c r="Q68" s="528" t="str">
        <f t="shared" si="138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2"/>
        <v/>
      </c>
      <c r="X68" s="572" t="str">
        <f>IF(M68="","",R68)</f>
        <v/>
      </c>
      <c r="Y68" s="573" t="str">
        <f t="shared" si="253"/>
        <v/>
      </c>
      <c r="Z68" s="575" t="str">
        <f t="shared" si="269"/>
        <v/>
      </c>
      <c r="AA68" s="572" t="str">
        <f t="shared" si="270"/>
        <v/>
      </c>
      <c r="AB68" s="572" t="str">
        <f t="shared" si="27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14"/>
        <v/>
      </c>
      <c r="AP68" s="528" t="str">
        <f>IF(M68="","",DEGREES(ATAN2(AK68,AL68)))</f>
        <v/>
      </c>
      <c r="AQ68" s="529" t="str">
        <f t="shared" si="272"/>
        <v/>
      </c>
      <c r="AS68" s="946" t="str">
        <f t="shared" si="460"/>
        <v/>
      </c>
      <c r="AT68" s="942" t="str">
        <f t="shared" si="273"/>
        <v/>
      </c>
      <c r="AU68" s="418"/>
      <c r="AV68" s="164" t="str">
        <f t="shared" si="27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2"/>
        <v/>
      </c>
      <c r="BA68" s="296" t="str">
        <f t="shared" si="276"/>
        <v/>
      </c>
      <c r="BB68" s="177" t="str">
        <f t="shared" si="143"/>
        <v/>
      </c>
      <c r="BC68" s="9"/>
      <c r="BD68" s="5" t="str">
        <f t="shared" si="144"/>
        <v/>
      </c>
      <c r="BE68" s="6" t="str">
        <f t="shared" si="278"/>
        <v/>
      </c>
      <c r="BF68" s="4" t="str">
        <f t="shared" si="279"/>
        <v/>
      </c>
      <c r="BG68" s="5" t="str">
        <f t="shared" si="280"/>
        <v/>
      </c>
      <c r="BH68" s="10" t="str">
        <f t="shared" si="281"/>
        <v/>
      </c>
      <c r="BI68" s="9" t="str">
        <f t="shared" si="145"/>
        <v/>
      </c>
      <c r="BJ68" s="5" t="str">
        <f t="shared" si="283"/>
        <v/>
      </c>
      <c r="BK68" s="8" t="str">
        <f t="shared" si="284"/>
        <v/>
      </c>
      <c r="BL68" s="173" t="str">
        <f t="shared" si="285"/>
        <v/>
      </c>
      <c r="BM68" s="5" t="str">
        <f t="shared" si="286"/>
        <v/>
      </c>
      <c r="BN68" s="6" t="str">
        <f t="shared" si="287"/>
        <v/>
      </c>
      <c r="BO68" s="4" t="str">
        <f t="shared" si="146"/>
        <v/>
      </c>
      <c r="BP68" s="5" t="str">
        <f t="shared" si="147"/>
        <v/>
      </c>
      <c r="BQ68" s="5" t="str">
        <f t="shared" si="148"/>
        <v/>
      </c>
      <c r="BR68" s="6" t="str">
        <f t="shared" si="149"/>
        <v/>
      </c>
      <c r="BS68" s="4" t="str">
        <f t="shared" si="482"/>
        <v/>
      </c>
      <c r="BT68" s="5" t="str">
        <f t="shared" si="482"/>
        <v/>
      </c>
      <c r="BU68" s="10" t="str">
        <f t="shared" si="118"/>
        <v/>
      </c>
      <c r="BV68" s="9" t="str">
        <f t="shared" si="119"/>
        <v/>
      </c>
      <c r="BW68" s="5" t="str">
        <f t="shared" si="120"/>
        <v/>
      </c>
      <c r="BX68" s="8" t="str">
        <f t="shared" si="121"/>
        <v/>
      </c>
      <c r="BY68" s="173" t="str">
        <f t="shared" si="122"/>
        <v/>
      </c>
      <c r="BZ68" s="5" t="str">
        <f t="shared" si="123"/>
        <v/>
      </c>
      <c r="CA68" s="6" t="str">
        <f t="shared" si="124"/>
        <v/>
      </c>
      <c r="CB68" s="4" t="str">
        <f t="shared" si="150"/>
        <v/>
      </c>
      <c r="CC68" s="5" t="str">
        <f t="shared" si="151"/>
        <v/>
      </c>
      <c r="CD68" s="5" t="str">
        <f t="shared" si="152"/>
        <v/>
      </c>
      <c r="CE68" s="6" t="str">
        <f t="shared" si="153"/>
        <v/>
      </c>
      <c r="CF68" s="4" t="str">
        <f t="shared" si="154"/>
        <v/>
      </c>
      <c r="CG68" s="5" t="str">
        <f t="shared" si="155"/>
        <v/>
      </c>
      <c r="CH68" s="5" t="str">
        <f t="shared" si="156"/>
        <v/>
      </c>
      <c r="CI68" s="4" t="str">
        <f t="shared" si="125"/>
        <v/>
      </c>
      <c r="CJ68" s="5" t="str">
        <f t="shared" si="126"/>
        <v/>
      </c>
      <c r="CK68" s="8" t="str">
        <f t="shared" si="127"/>
        <v/>
      </c>
      <c r="CL68" s="173" t="str">
        <f t="shared" si="128"/>
        <v/>
      </c>
      <c r="CM68" s="5" t="str">
        <f t="shared" si="129"/>
        <v/>
      </c>
      <c r="CN68" s="6" t="str">
        <f t="shared" si="130"/>
        <v/>
      </c>
      <c r="CO68" s="167" t="str">
        <f t="shared" si="304"/>
        <v/>
      </c>
      <c r="CP68" s="4" t="str">
        <f t="shared" si="238"/>
        <v/>
      </c>
      <c r="CQ68" s="5" t="str">
        <f t="shared" si="239"/>
        <v/>
      </c>
      <c r="CR68" s="5" t="str">
        <f t="shared" si="157"/>
        <v/>
      </c>
      <c r="CS68" s="8" t="str">
        <f t="shared" si="158"/>
        <v/>
      </c>
      <c r="CT68" s="9" t="str">
        <f t="shared" si="159"/>
        <v/>
      </c>
      <c r="CU68" s="6" t="str">
        <f t="shared" si="160"/>
        <v/>
      </c>
      <c r="CV68" s="4" t="str">
        <f t="shared" si="240"/>
        <v/>
      </c>
      <c r="CW68" s="5" t="str">
        <f t="shared" si="161"/>
        <v/>
      </c>
      <c r="CX68" s="8" t="str">
        <f t="shared" si="162"/>
        <v/>
      </c>
      <c r="CY68" s="9" t="str">
        <f t="shared" si="163"/>
        <v/>
      </c>
      <c r="CZ68" s="5" t="str">
        <f t="shared" si="164"/>
        <v/>
      </c>
      <c r="DA68" s="6" t="str">
        <f t="shared" si="165"/>
        <v/>
      </c>
      <c r="DB68" s="4" t="str">
        <f t="shared" si="483"/>
        <v/>
      </c>
      <c r="DC68" s="5" t="str">
        <f t="shared" si="483"/>
        <v/>
      </c>
      <c r="DD68" s="10" t="str">
        <f t="shared" si="167"/>
        <v/>
      </c>
      <c r="DE68" s="9" t="str">
        <f t="shared" si="484"/>
        <v/>
      </c>
      <c r="DF68" s="5" t="str">
        <f t="shared" si="484"/>
        <v/>
      </c>
      <c r="DG68" s="10" t="str">
        <f t="shared" si="169"/>
        <v/>
      </c>
      <c r="DH68" s="70" t="str">
        <f t="shared" si="170"/>
        <v/>
      </c>
      <c r="DI68" s="4" t="str">
        <f t="shared" si="171"/>
        <v/>
      </c>
      <c r="DJ68" s="5" t="str">
        <f t="shared" si="172"/>
        <v/>
      </c>
      <c r="DK68" s="10" t="str">
        <f t="shared" si="173"/>
        <v/>
      </c>
      <c r="DL68" s="9" t="str">
        <f t="shared" si="174"/>
        <v/>
      </c>
      <c r="DM68" s="173" t="str">
        <f t="shared" si="175"/>
        <v/>
      </c>
      <c r="DN68" s="178" t="str">
        <f t="shared" si="176"/>
        <v/>
      </c>
      <c r="DO68" s="9" t="str">
        <f t="shared" si="177"/>
        <v/>
      </c>
      <c r="DP68" s="173" t="str">
        <f t="shared" si="178"/>
        <v/>
      </c>
      <c r="DQ68" s="11" t="str">
        <f t="shared" si="179"/>
        <v/>
      </c>
      <c r="DR68" s="173" t="str">
        <f t="shared" si="180"/>
        <v/>
      </c>
      <c r="DS68" s="5" t="str">
        <f t="shared" si="181"/>
        <v/>
      </c>
      <c r="DT68" s="5" t="str">
        <f t="shared" si="182"/>
        <v/>
      </c>
      <c r="DU68" s="5" t="str">
        <f t="shared" si="183"/>
        <v/>
      </c>
      <c r="DV68" s="5" t="str">
        <f t="shared" si="184"/>
        <v/>
      </c>
      <c r="DW68" s="5" t="str">
        <f t="shared" si="185"/>
        <v/>
      </c>
      <c r="DX68" s="167" t="str">
        <f t="shared" si="186"/>
        <v/>
      </c>
      <c r="DY68" s="9" t="str">
        <f t="shared" si="187"/>
        <v/>
      </c>
      <c r="DZ68" s="5" t="str">
        <f t="shared" si="188"/>
        <v/>
      </c>
      <c r="EA68" s="10" t="str">
        <f t="shared" si="189"/>
        <v/>
      </c>
      <c r="EB68" s="6" t="str">
        <f t="shared" si="190"/>
        <v/>
      </c>
      <c r="EC68" s="173" t="str">
        <f t="shared" si="191"/>
        <v/>
      </c>
      <c r="ED68" s="5" t="str">
        <f t="shared" si="192"/>
        <v/>
      </c>
      <c r="EE68" s="4" t="str">
        <f t="shared" si="193"/>
        <v/>
      </c>
      <c r="EF68" s="5" t="str">
        <f t="shared" si="194"/>
        <v/>
      </c>
      <c r="EG68" s="10" t="str">
        <f t="shared" si="195"/>
        <v/>
      </c>
      <c r="EH68" s="9" t="str">
        <f t="shared" si="196"/>
        <v/>
      </c>
      <c r="EI68" s="5" t="str">
        <f t="shared" si="197"/>
        <v/>
      </c>
      <c r="EJ68" s="6" t="str">
        <f t="shared" si="198"/>
        <v/>
      </c>
      <c r="EK68" s="236" t="str">
        <f t="shared" si="199"/>
        <v/>
      </c>
      <c r="EL68" s="238" t="str">
        <f t="shared" si="200"/>
        <v/>
      </c>
      <c r="EM68" s="4" t="str">
        <f t="shared" si="201"/>
        <v/>
      </c>
      <c r="EN68" s="5" t="str">
        <f t="shared" si="202"/>
        <v/>
      </c>
      <c r="EO68" s="10" t="str">
        <f t="shared" si="203"/>
        <v/>
      </c>
      <c r="EP68" s="9" t="str">
        <f t="shared" si="204"/>
        <v/>
      </c>
      <c r="EQ68" s="5" t="str">
        <f t="shared" si="205"/>
        <v/>
      </c>
      <c r="ER68" s="7" t="str">
        <f t="shared" si="206"/>
        <v/>
      </c>
      <c r="ES68" s="21" t="str">
        <f t="shared" si="351"/>
        <v/>
      </c>
      <c r="ET68" s="5" t="str">
        <f t="shared" si="352"/>
        <v/>
      </c>
      <c r="EU68" s="10" t="str">
        <f t="shared" si="353"/>
        <v/>
      </c>
      <c r="EV68" s="174" t="str">
        <f t="shared" si="485"/>
        <v/>
      </c>
      <c r="EW68" s="9" t="str">
        <f t="shared" si="486"/>
        <v/>
      </c>
      <c r="EX68" s="5" t="str">
        <f t="shared" si="487"/>
        <v/>
      </c>
      <c r="EY68" s="6" t="str">
        <f t="shared" si="207"/>
        <v/>
      </c>
      <c r="EZ68" s="51" t="str">
        <f t="shared" si="208"/>
        <v/>
      </c>
      <c r="FA68" s="173" t="str">
        <f t="shared" si="488"/>
        <v/>
      </c>
      <c r="FB68" s="5" t="str">
        <f t="shared" si="489"/>
        <v/>
      </c>
      <c r="FC68" s="6" t="str">
        <f t="shared" si="490"/>
        <v/>
      </c>
      <c r="FD68" s="4" t="str">
        <f t="shared" si="491"/>
        <v/>
      </c>
      <c r="FE68" s="5" t="str">
        <f t="shared" si="492"/>
        <v/>
      </c>
      <c r="FF68" s="7" t="str">
        <f t="shared" si="209"/>
        <v/>
      </c>
      <c r="FG68" s="173" t="str">
        <f t="shared" si="493"/>
        <v/>
      </c>
      <c r="FH68" s="5" t="str">
        <f t="shared" si="494"/>
        <v/>
      </c>
      <c r="FI68" s="10" t="str">
        <f t="shared" si="495"/>
        <v/>
      </c>
      <c r="FJ68" s="279" t="str">
        <f t="shared" si="211"/>
        <v/>
      </c>
      <c r="FK68" s="4" t="str">
        <f t="shared" si="496"/>
        <v/>
      </c>
      <c r="FL68" s="5" t="str">
        <f t="shared" si="212"/>
        <v/>
      </c>
      <c r="FM68" s="8" t="str">
        <f t="shared" si="213"/>
        <v/>
      </c>
      <c r="FN68" s="9" t="str">
        <f t="shared" si="214"/>
        <v/>
      </c>
      <c r="FO68" s="10" t="str">
        <f t="shared" si="497"/>
        <v/>
      </c>
      <c r="FP68" s="277" t="str">
        <f t="shared" si="498"/>
        <v/>
      </c>
      <c r="FQ68" s="173" t="str">
        <f t="shared" si="241"/>
        <v/>
      </c>
      <c r="FR68" s="10" t="str">
        <f t="shared" si="215"/>
        <v/>
      </c>
      <c r="FS68" s="9" t="str">
        <f t="shared" si="216"/>
        <v/>
      </c>
      <c r="FT68" s="6" t="str">
        <f t="shared" si="217"/>
        <v/>
      </c>
      <c r="FU68" s="4" t="str">
        <f t="shared" si="218"/>
        <v/>
      </c>
      <c r="FV68" s="5" t="str">
        <f t="shared" si="219"/>
        <v/>
      </c>
      <c r="FW68" s="8" t="str">
        <f t="shared" si="242"/>
        <v/>
      </c>
      <c r="FX68" s="9" t="str">
        <f t="shared" si="243"/>
        <v/>
      </c>
      <c r="FY68" s="10" t="str">
        <f t="shared" si="499"/>
        <v/>
      </c>
      <c r="FZ68" s="277" t="str">
        <f t="shared" si="244"/>
        <v/>
      </c>
      <c r="GA68" s="177" t="str">
        <f t="shared" si="220"/>
        <v/>
      </c>
      <c r="GB68" s="4" t="str">
        <f t="shared" si="221"/>
        <v/>
      </c>
      <c r="GC68" s="5" t="str">
        <f t="shared" si="222"/>
        <v/>
      </c>
      <c r="GD68" s="10" t="str">
        <f t="shared" si="223"/>
        <v/>
      </c>
      <c r="GE68" s="311" t="str">
        <f t="shared" si="224"/>
        <v/>
      </c>
      <c r="GF68" s="341" t="str">
        <f t="shared" si="245"/>
        <v/>
      </c>
      <c r="GG68" s="285" t="str">
        <f t="shared" si="500"/>
        <v/>
      </c>
      <c r="GH68" s="286" t="str">
        <f t="shared" si="501"/>
        <v/>
      </c>
      <c r="GI68" s="281" t="str">
        <f t="shared" si="502"/>
        <v/>
      </c>
      <c r="GJ68" s="167" t="str">
        <f t="shared" si="225"/>
        <v/>
      </c>
      <c r="GK68" s="174" t="str">
        <f t="shared" si="503"/>
        <v/>
      </c>
      <c r="GL68" s="174" t="str">
        <f t="shared" si="226"/>
        <v/>
      </c>
      <c r="GM68" s="177" t="str">
        <f t="shared" si="246"/>
        <v/>
      </c>
      <c r="GN68" s="280" t="str">
        <f t="shared" si="227"/>
        <v/>
      </c>
      <c r="GO68" s="4" t="str">
        <f t="shared" si="228"/>
        <v/>
      </c>
      <c r="GP68" s="8" t="str">
        <f t="shared" si="247"/>
        <v/>
      </c>
      <c r="GQ68" s="177" t="str">
        <f t="shared" si="229"/>
        <v/>
      </c>
      <c r="GR68" s="371" t="str">
        <f t="shared" si="248"/>
        <v/>
      </c>
      <c r="GS68" s="342" t="str">
        <f t="shared" si="504"/>
        <v/>
      </c>
      <c r="GT68" s="343" t="str">
        <f t="shared" si="505"/>
        <v/>
      </c>
      <c r="GU68" s="344" t="str">
        <f t="shared" si="506"/>
        <v/>
      </c>
      <c r="GV68" s="343" t="str">
        <f t="shared" si="251"/>
        <v/>
      </c>
      <c r="GW68" s="345" t="str">
        <f t="shared" si="507"/>
        <v/>
      </c>
      <c r="GX68" s="346" t="str">
        <f t="shared" si="508"/>
        <v/>
      </c>
      <c r="GY68" s="344" t="str">
        <f t="shared" si="509"/>
        <v/>
      </c>
      <c r="GZ68" s="345" t="str">
        <f t="shared" si="510"/>
        <v/>
      </c>
      <c r="HA68" s="342" t="str">
        <f t="shared" si="511"/>
        <v/>
      </c>
      <c r="HB68" s="5" t="str">
        <f t="shared" si="230"/>
        <v/>
      </c>
      <c r="HC68" s="343" t="str">
        <f t="shared" si="231"/>
        <v/>
      </c>
      <c r="HD68" s="363" t="str">
        <f t="shared" si="232"/>
        <v/>
      </c>
      <c r="HE68" s="344" t="str">
        <f t="shared" si="512"/>
        <v/>
      </c>
      <c r="HF68" s="5" t="str">
        <f t="shared" si="513"/>
        <v/>
      </c>
      <c r="HG68" s="343" t="str">
        <f t="shared" si="233"/>
        <v/>
      </c>
      <c r="HH68" s="349" t="str">
        <f t="shared" si="234"/>
        <v/>
      </c>
      <c r="HI68" s="317" t="str">
        <f t="shared" si="407"/>
        <v/>
      </c>
      <c r="HK68" s="310" t="str">
        <f t="shared" si="458"/>
        <v/>
      </c>
      <c r="HL68" s="348" t="str">
        <f t="shared" si="408"/>
        <v/>
      </c>
      <c r="HM68" s="923" t="str">
        <f t="shared" si="409"/>
        <v/>
      </c>
      <c r="HN68" s="924" t="str">
        <f t="shared" si="410"/>
        <v/>
      </c>
      <c r="HO68" s="925"/>
      <c r="HP68" s="926"/>
      <c r="HQ68" s="924" t="str">
        <f t="shared" si="411"/>
        <v/>
      </c>
      <c r="HR68" s="927" t="str">
        <f t="shared" si="412"/>
        <v/>
      </c>
      <c r="HS68" s="879" t="str">
        <f t="shared" si="459"/>
        <v/>
      </c>
      <c r="HT68" s="889" t="str">
        <f t="shared" si="413"/>
        <v/>
      </c>
      <c r="HU68" s="890" t="str">
        <f t="shared" si="414"/>
        <v/>
      </c>
      <c r="HV68" s="886" t="str">
        <f t="shared" si="415"/>
        <v/>
      </c>
      <c r="HW68" s="880" t="str">
        <f t="shared" si="416"/>
        <v/>
      </c>
      <c r="HX68" s="881" t="str">
        <f t="shared" si="417"/>
        <v/>
      </c>
      <c r="HY68" s="880" t="str">
        <f t="shared" si="418"/>
        <v/>
      </c>
      <c r="HZ68" s="882" t="str">
        <f t="shared" si="419"/>
        <v/>
      </c>
      <c r="IA68" s="883" t="str">
        <f t="shared" si="420"/>
        <v/>
      </c>
      <c r="IB68" s="884" t="str">
        <f t="shared" si="421"/>
        <v/>
      </c>
      <c r="IC68" s="855" t="str">
        <f t="shared" si="422"/>
        <v/>
      </c>
      <c r="ID68" s="351" t="str">
        <f t="shared" si="423"/>
        <v/>
      </c>
      <c r="IE68" s="857" t="str">
        <f t="shared" si="42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5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5"/>
        <v/>
      </c>
      <c r="IM68" s="482" t="str">
        <f t="shared" si="236"/>
        <v/>
      </c>
      <c r="IN68" s="670" t="str">
        <f t="shared" si="426"/>
        <v/>
      </c>
      <c r="IO68" s="702">
        <v>9.4586360183640493E-3</v>
      </c>
      <c r="IP68" s="5" t="str">
        <f t="shared" si="427"/>
        <v/>
      </c>
      <c r="IQ68" s="714">
        <v>330</v>
      </c>
      <c r="IR68" s="9" t="str">
        <f t="shared" si="428"/>
        <v/>
      </c>
      <c r="IS68" s="5" t="str">
        <f t="shared" si="429"/>
        <v/>
      </c>
      <c r="IT68" s="5" t="str">
        <f t="shared" si="430"/>
        <v/>
      </c>
      <c r="IU68" s="5" t="str">
        <f t="shared" si="431"/>
        <v/>
      </c>
      <c r="IV68" s="670" t="str">
        <f t="shared" si="432"/>
        <v/>
      </c>
      <c r="IW68" s="9" t="str">
        <f t="shared" si="433"/>
        <v/>
      </c>
      <c r="IX68" s="5" t="str">
        <f t="shared" si="434"/>
        <v/>
      </c>
      <c r="IY68" s="5" t="str">
        <f t="shared" si="435"/>
        <v/>
      </c>
      <c r="IZ68" s="5" t="str">
        <f t="shared" si="436"/>
        <v/>
      </c>
      <c r="JA68" s="705" t="str">
        <f t="shared" si="437"/>
        <v/>
      </c>
    </row>
    <row r="69" spans="1:261" ht="15" customHeight="1" x14ac:dyDescent="0.25">
      <c r="A69" s="75" t="str">
        <f t="shared" si="254"/>
        <v/>
      </c>
      <c r="B69" s="578" t="str">
        <f t="shared" si="255"/>
        <v/>
      </c>
      <c r="C69" s="572" t="str">
        <f t="shared" si="256"/>
        <v/>
      </c>
      <c r="D69" s="576" t="str">
        <f t="shared" si="257"/>
        <v/>
      </c>
      <c r="E69" s="580" t="str">
        <f t="shared" si="258"/>
        <v/>
      </c>
      <c r="F69" s="572" t="str">
        <f t="shared" si="259"/>
        <v/>
      </c>
      <c r="G69" s="579" t="str">
        <f t="shared" si="260"/>
        <v/>
      </c>
      <c r="H69" s="580" t="str">
        <f t="shared" si="261"/>
        <v/>
      </c>
      <c r="I69" s="572" t="str">
        <f t="shared" si="262"/>
        <v/>
      </c>
      <c r="J69" s="483" t="str">
        <f t="shared" si="263"/>
        <v/>
      </c>
      <c r="K69" s="806" t="str">
        <f t="shared" si="264"/>
        <v/>
      </c>
      <c r="L69" s="309"/>
      <c r="M69" s="164" t="str">
        <f t="shared" si="265"/>
        <v/>
      </c>
      <c r="N69" s="575" t="str">
        <f t="shared" si="266"/>
        <v/>
      </c>
      <c r="O69" s="572" t="str">
        <f t="shared" si="267"/>
        <v/>
      </c>
      <c r="P69" s="576" t="str">
        <f t="shared" si="268"/>
        <v/>
      </c>
      <c r="Q69" s="528" t="str">
        <f t="shared" si="138"/>
        <v/>
      </c>
      <c r="R69" s="572" t="str">
        <f t="shared" si="100"/>
        <v/>
      </c>
      <c r="S69" s="577" t="str">
        <f t="shared" si="101"/>
        <v/>
      </c>
      <c r="T69" s="578" t="str">
        <f t="shared" si="102"/>
        <v/>
      </c>
      <c r="U69" s="572" t="str">
        <f t="shared" si="103"/>
        <v/>
      </c>
      <c r="V69" s="579" t="str">
        <f t="shared" si="139"/>
        <v/>
      </c>
      <c r="W69" s="528" t="str">
        <f t="shared" si="252"/>
        <v/>
      </c>
      <c r="X69" s="572" t="str">
        <f t="shared" si="104"/>
        <v/>
      </c>
      <c r="Y69" s="573" t="str">
        <f t="shared" si="253"/>
        <v/>
      </c>
      <c r="Z69" s="575" t="str">
        <f t="shared" si="269"/>
        <v/>
      </c>
      <c r="AA69" s="572" t="str">
        <f t="shared" si="270"/>
        <v/>
      </c>
      <c r="AB69" s="572" t="str">
        <f t="shared" si="271"/>
        <v/>
      </c>
      <c r="AC69" s="579" t="str">
        <f t="shared" si="105"/>
        <v/>
      </c>
      <c r="AD69" s="580" t="str">
        <f t="shared" si="140"/>
        <v/>
      </c>
      <c r="AE69" s="572" t="str">
        <f t="shared" si="106"/>
        <v/>
      </c>
      <c r="AF69" s="576" t="str">
        <f t="shared" si="107"/>
        <v/>
      </c>
      <c r="AG69" s="545" t="str">
        <f t="shared" si="108"/>
        <v/>
      </c>
      <c r="AH69" s="546" t="str">
        <f t="shared" si="109"/>
        <v/>
      </c>
      <c r="AI69" s="528" t="str">
        <f t="shared" si="110"/>
        <v/>
      </c>
      <c r="AJ69" s="529" t="str">
        <f t="shared" si="111"/>
        <v/>
      </c>
      <c r="AK69" s="578" t="str">
        <f t="shared" si="237"/>
        <v/>
      </c>
      <c r="AL69" s="572" t="str">
        <f t="shared" si="112"/>
        <v/>
      </c>
      <c r="AM69" s="577" t="str">
        <f t="shared" si="113"/>
        <v/>
      </c>
      <c r="AN69" s="524" t="str">
        <f t="shared" si="114"/>
        <v/>
      </c>
      <c r="AO69" s="525" t="str">
        <f t="shared" si="514"/>
        <v/>
      </c>
      <c r="AP69" s="528" t="str">
        <f t="shared" si="116"/>
        <v/>
      </c>
      <c r="AQ69" s="529" t="str">
        <f t="shared" si="272"/>
        <v/>
      </c>
      <c r="AS69" s="946" t="str">
        <f t="shared" si="460"/>
        <v/>
      </c>
      <c r="AT69" s="942" t="str">
        <f t="shared" si="273"/>
        <v/>
      </c>
      <c r="AU69" s="418"/>
      <c r="AV69" s="164" t="str">
        <f t="shared" si="27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2"/>
        <v/>
      </c>
      <c r="BA69" s="296" t="str">
        <f t="shared" si="276"/>
        <v/>
      </c>
      <c r="BB69" s="177" t="str">
        <f t="shared" si="143"/>
        <v/>
      </c>
      <c r="BC69" s="9"/>
      <c r="BD69" s="5" t="str">
        <f t="shared" si="144"/>
        <v/>
      </c>
      <c r="BE69" s="6" t="str">
        <f t="shared" si="278"/>
        <v/>
      </c>
      <c r="BF69" s="4" t="str">
        <f t="shared" si="279"/>
        <v/>
      </c>
      <c r="BG69" s="5" t="str">
        <f t="shared" si="280"/>
        <v/>
      </c>
      <c r="BH69" s="10" t="str">
        <f t="shared" si="281"/>
        <v/>
      </c>
      <c r="BI69" s="9" t="str">
        <f t="shared" si="145"/>
        <v/>
      </c>
      <c r="BJ69" s="5" t="str">
        <f t="shared" si="283"/>
        <v/>
      </c>
      <c r="BK69" s="8" t="str">
        <f t="shared" si="284"/>
        <v/>
      </c>
      <c r="BL69" s="173" t="str">
        <f t="shared" si="285"/>
        <v/>
      </c>
      <c r="BM69" s="5" t="str">
        <f t="shared" si="286"/>
        <v/>
      </c>
      <c r="BN69" s="6" t="str">
        <f t="shared" si="287"/>
        <v/>
      </c>
      <c r="BO69" s="4" t="str">
        <f t="shared" si="146"/>
        <v/>
      </c>
      <c r="BP69" s="5" t="str">
        <f t="shared" si="147"/>
        <v/>
      </c>
      <c r="BQ69" s="5" t="str">
        <f t="shared" si="148"/>
        <v/>
      </c>
      <c r="BR69" s="6" t="str">
        <f t="shared" si="149"/>
        <v/>
      </c>
      <c r="BS69" s="4" t="str">
        <f t="shared" si="482"/>
        <v/>
      </c>
      <c r="BT69" s="5" t="str">
        <f t="shared" si="482"/>
        <v/>
      </c>
      <c r="BU69" s="10" t="str">
        <f t="shared" si="118"/>
        <v/>
      </c>
      <c r="BV69" s="9" t="str">
        <f t="shared" si="119"/>
        <v/>
      </c>
      <c r="BW69" s="5" t="str">
        <f t="shared" si="120"/>
        <v/>
      </c>
      <c r="BX69" s="8" t="str">
        <f t="shared" si="121"/>
        <v/>
      </c>
      <c r="BY69" s="173" t="str">
        <f t="shared" si="122"/>
        <v/>
      </c>
      <c r="BZ69" s="5" t="str">
        <f t="shared" si="123"/>
        <v/>
      </c>
      <c r="CA69" s="6" t="str">
        <f t="shared" si="124"/>
        <v/>
      </c>
      <c r="CB69" s="4" t="str">
        <f t="shared" si="150"/>
        <v/>
      </c>
      <c r="CC69" s="5" t="str">
        <f t="shared" si="151"/>
        <v/>
      </c>
      <c r="CD69" s="5" t="str">
        <f t="shared" si="152"/>
        <v/>
      </c>
      <c r="CE69" s="6" t="str">
        <f t="shared" si="153"/>
        <v/>
      </c>
      <c r="CF69" s="4" t="str">
        <f t="shared" si="154"/>
        <v/>
      </c>
      <c r="CG69" s="5" t="str">
        <f t="shared" si="155"/>
        <v/>
      </c>
      <c r="CH69" s="5" t="str">
        <f t="shared" si="156"/>
        <v/>
      </c>
      <c r="CI69" s="4" t="str">
        <f t="shared" si="125"/>
        <v/>
      </c>
      <c r="CJ69" s="5" t="str">
        <f t="shared" si="126"/>
        <v/>
      </c>
      <c r="CK69" s="8" t="str">
        <f t="shared" si="127"/>
        <v/>
      </c>
      <c r="CL69" s="173" t="str">
        <f t="shared" si="128"/>
        <v/>
      </c>
      <c r="CM69" s="5" t="str">
        <f t="shared" si="129"/>
        <v/>
      </c>
      <c r="CN69" s="6" t="str">
        <f t="shared" si="130"/>
        <v/>
      </c>
      <c r="CO69" s="167" t="str">
        <f t="shared" si="304"/>
        <v/>
      </c>
      <c r="CP69" s="4" t="str">
        <f t="shared" si="238"/>
        <v/>
      </c>
      <c r="CQ69" s="5" t="str">
        <f t="shared" si="239"/>
        <v/>
      </c>
      <c r="CR69" s="5" t="str">
        <f t="shared" si="157"/>
        <v/>
      </c>
      <c r="CS69" s="8" t="str">
        <f t="shared" si="158"/>
        <v/>
      </c>
      <c r="CT69" s="9" t="str">
        <f t="shared" si="159"/>
        <v/>
      </c>
      <c r="CU69" s="6" t="str">
        <f t="shared" si="160"/>
        <v/>
      </c>
      <c r="CV69" s="4" t="str">
        <f t="shared" si="240"/>
        <v/>
      </c>
      <c r="CW69" s="5" t="str">
        <f t="shared" si="161"/>
        <v/>
      </c>
      <c r="CX69" s="8" t="str">
        <f t="shared" si="162"/>
        <v/>
      </c>
      <c r="CY69" s="9" t="str">
        <f t="shared" si="163"/>
        <v/>
      </c>
      <c r="CZ69" s="5" t="str">
        <f t="shared" si="164"/>
        <v/>
      </c>
      <c r="DA69" s="6" t="str">
        <f t="shared" si="165"/>
        <v/>
      </c>
      <c r="DB69" s="4" t="str">
        <f t="shared" si="483"/>
        <v/>
      </c>
      <c r="DC69" s="5" t="str">
        <f t="shared" si="483"/>
        <v/>
      </c>
      <c r="DD69" s="10" t="str">
        <f t="shared" si="167"/>
        <v/>
      </c>
      <c r="DE69" s="9" t="str">
        <f t="shared" si="484"/>
        <v/>
      </c>
      <c r="DF69" s="5" t="str">
        <f t="shared" si="484"/>
        <v/>
      </c>
      <c r="DG69" s="10" t="str">
        <f t="shared" si="169"/>
        <v/>
      </c>
      <c r="DH69" s="70" t="str">
        <f t="shared" si="170"/>
        <v/>
      </c>
      <c r="DI69" s="4" t="str">
        <f t="shared" si="171"/>
        <v/>
      </c>
      <c r="DJ69" s="5" t="str">
        <f t="shared" si="172"/>
        <v/>
      </c>
      <c r="DK69" s="10" t="str">
        <f t="shared" si="173"/>
        <v/>
      </c>
      <c r="DL69" s="9" t="str">
        <f t="shared" si="174"/>
        <v/>
      </c>
      <c r="DM69" s="173" t="str">
        <f t="shared" si="175"/>
        <v/>
      </c>
      <c r="DN69" s="178" t="str">
        <f t="shared" si="176"/>
        <v/>
      </c>
      <c r="DO69" s="9" t="str">
        <f t="shared" si="177"/>
        <v/>
      </c>
      <c r="DP69" s="173" t="str">
        <f t="shared" si="178"/>
        <v/>
      </c>
      <c r="DQ69" s="11" t="str">
        <f t="shared" si="179"/>
        <v/>
      </c>
      <c r="DR69" s="173" t="str">
        <f t="shared" si="180"/>
        <v/>
      </c>
      <c r="DS69" s="5" t="str">
        <f t="shared" si="181"/>
        <v/>
      </c>
      <c r="DT69" s="5" t="str">
        <f t="shared" si="182"/>
        <v/>
      </c>
      <c r="DU69" s="5" t="str">
        <f t="shared" si="183"/>
        <v/>
      </c>
      <c r="DV69" s="5" t="str">
        <f t="shared" si="184"/>
        <v/>
      </c>
      <c r="DW69" s="5" t="str">
        <f t="shared" si="185"/>
        <v/>
      </c>
      <c r="DX69" s="167" t="str">
        <f t="shared" si="186"/>
        <v/>
      </c>
      <c r="DY69" s="9" t="str">
        <f t="shared" si="187"/>
        <v/>
      </c>
      <c r="DZ69" s="5" t="str">
        <f t="shared" si="188"/>
        <v/>
      </c>
      <c r="EA69" s="10" t="str">
        <f t="shared" si="189"/>
        <v/>
      </c>
      <c r="EB69" s="6" t="str">
        <f t="shared" si="190"/>
        <v/>
      </c>
      <c r="EC69" s="173" t="str">
        <f t="shared" si="191"/>
        <v/>
      </c>
      <c r="ED69" s="5" t="str">
        <f t="shared" si="192"/>
        <v/>
      </c>
      <c r="EE69" s="4" t="str">
        <f t="shared" si="193"/>
        <v/>
      </c>
      <c r="EF69" s="5" t="str">
        <f t="shared" si="194"/>
        <v/>
      </c>
      <c r="EG69" s="10" t="str">
        <f t="shared" si="195"/>
        <v/>
      </c>
      <c r="EH69" s="9" t="str">
        <f t="shared" si="196"/>
        <v/>
      </c>
      <c r="EI69" s="5" t="str">
        <f t="shared" si="197"/>
        <v/>
      </c>
      <c r="EJ69" s="6" t="str">
        <f t="shared" si="198"/>
        <v/>
      </c>
      <c r="EK69" s="236" t="str">
        <f t="shared" si="199"/>
        <v/>
      </c>
      <c r="EL69" s="238" t="str">
        <f t="shared" si="200"/>
        <v/>
      </c>
      <c r="EM69" s="4" t="str">
        <f t="shared" si="201"/>
        <v/>
      </c>
      <c r="EN69" s="5" t="str">
        <f t="shared" si="202"/>
        <v/>
      </c>
      <c r="EO69" s="10" t="str">
        <f t="shared" si="203"/>
        <v/>
      </c>
      <c r="EP69" s="9" t="str">
        <f t="shared" si="204"/>
        <v/>
      </c>
      <c r="EQ69" s="5" t="str">
        <f t="shared" si="205"/>
        <v/>
      </c>
      <c r="ER69" s="7" t="str">
        <f t="shared" si="206"/>
        <v/>
      </c>
      <c r="ES69" s="21" t="str">
        <f t="shared" si="351"/>
        <v/>
      </c>
      <c r="ET69" s="5" t="str">
        <f t="shared" si="352"/>
        <v/>
      </c>
      <c r="EU69" s="10" t="str">
        <f t="shared" si="353"/>
        <v/>
      </c>
      <c r="EV69" s="174" t="str">
        <f t="shared" si="485"/>
        <v/>
      </c>
      <c r="EW69" s="9" t="str">
        <f t="shared" si="486"/>
        <v/>
      </c>
      <c r="EX69" s="5" t="str">
        <f t="shared" si="487"/>
        <v/>
      </c>
      <c r="EY69" s="6" t="str">
        <f t="shared" si="207"/>
        <v/>
      </c>
      <c r="EZ69" s="51" t="str">
        <f t="shared" si="208"/>
        <v/>
      </c>
      <c r="FA69" s="173" t="str">
        <f t="shared" si="488"/>
        <v/>
      </c>
      <c r="FB69" s="5" t="str">
        <f t="shared" si="489"/>
        <v/>
      </c>
      <c r="FC69" s="6" t="str">
        <f t="shared" si="490"/>
        <v/>
      </c>
      <c r="FD69" s="4" t="str">
        <f t="shared" si="491"/>
        <v/>
      </c>
      <c r="FE69" s="5" t="str">
        <f t="shared" si="492"/>
        <v/>
      </c>
      <c r="FF69" s="7" t="str">
        <f t="shared" si="209"/>
        <v/>
      </c>
      <c r="FG69" s="173" t="str">
        <f t="shared" si="493"/>
        <v/>
      </c>
      <c r="FH69" s="5" t="str">
        <f t="shared" si="494"/>
        <v/>
      </c>
      <c r="FI69" s="10" t="str">
        <f t="shared" si="495"/>
        <v/>
      </c>
      <c r="FJ69" s="279" t="str">
        <f t="shared" si="211"/>
        <v/>
      </c>
      <c r="FK69" s="4" t="str">
        <f t="shared" si="496"/>
        <v/>
      </c>
      <c r="FL69" s="5" t="str">
        <f t="shared" si="212"/>
        <v/>
      </c>
      <c r="FM69" s="8" t="str">
        <f t="shared" si="213"/>
        <v/>
      </c>
      <c r="FN69" s="9" t="str">
        <f t="shared" si="214"/>
        <v/>
      </c>
      <c r="FO69" s="10" t="str">
        <f t="shared" si="497"/>
        <v/>
      </c>
      <c r="FP69" s="277" t="str">
        <f t="shared" si="498"/>
        <v/>
      </c>
      <c r="FQ69" s="173" t="str">
        <f t="shared" si="241"/>
        <v/>
      </c>
      <c r="FR69" s="10" t="str">
        <f t="shared" si="215"/>
        <v/>
      </c>
      <c r="FS69" s="9" t="str">
        <f t="shared" si="216"/>
        <v/>
      </c>
      <c r="FT69" s="6" t="str">
        <f t="shared" si="217"/>
        <v/>
      </c>
      <c r="FU69" s="4" t="str">
        <f t="shared" si="218"/>
        <v/>
      </c>
      <c r="FV69" s="5" t="str">
        <f t="shared" si="219"/>
        <v/>
      </c>
      <c r="FW69" s="8" t="str">
        <f t="shared" si="242"/>
        <v/>
      </c>
      <c r="FX69" s="9" t="str">
        <f t="shared" si="243"/>
        <v/>
      </c>
      <c r="FY69" s="10" t="str">
        <f t="shared" si="499"/>
        <v/>
      </c>
      <c r="FZ69" s="277" t="str">
        <f t="shared" si="244"/>
        <v/>
      </c>
      <c r="GA69" s="177" t="str">
        <f t="shared" si="220"/>
        <v/>
      </c>
      <c r="GB69" s="4" t="str">
        <f t="shared" si="221"/>
        <v/>
      </c>
      <c r="GC69" s="5" t="str">
        <f t="shared" si="222"/>
        <v/>
      </c>
      <c r="GD69" s="10" t="str">
        <f t="shared" si="223"/>
        <v/>
      </c>
      <c r="GE69" s="311" t="str">
        <f t="shared" si="224"/>
        <v/>
      </c>
      <c r="GF69" s="341" t="str">
        <f t="shared" si="245"/>
        <v/>
      </c>
      <c r="GG69" s="285" t="str">
        <f t="shared" si="500"/>
        <v/>
      </c>
      <c r="GH69" s="286" t="str">
        <f t="shared" si="501"/>
        <v/>
      </c>
      <c r="GI69" s="281" t="str">
        <f t="shared" si="502"/>
        <v/>
      </c>
      <c r="GJ69" s="167" t="str">
        <f t="shared" si="225"/>
        <v/>
      </c>
      <c r="GK69" s="174" t="str">
        <f t="shared" si="503"/>
        <v/>
      </c>
      <c r="GL69" s="174" t="str">
        <f t="shared" si="226"/>
        <v/>
      </c>
      <c r="GM69" s="177" t="str">
        <f t="shared" si="246"/>
        <v/>
      </c>
      <c r="GN69" s="280" t="str">
        <f t="shared" si="227"/>
        <v/>
      </c>
      <c r="GO69" s="4" t="str">
        <f t="shared" si="228"/>
        <v/>
      </c>
      <c r="GP69" s="8" t="str">
        <f t="shared" si="247"/>
        <v/>
      </c>
      <c r="GQ69" s="177" t="str">
        <f t="shared" si="229"/>
        <v/>
      </c>
      <c r="GR69" s="371" t="str">
        <f t="shared" si="248"/>
        <v/>
      </c>
      <c r="GS69" s="342" t="str">
        <f t="shared" si="504"/>
        <v/>
      </c>
      <c r="GT69" s="343" t="str">
        <f t="shared" si="505"/>
        <v/>
      </c>
      <c r="GU69" s="344" t="str">
        <f t="shared" si="506"/>
        <v/>
      </c>
      <c r="GV69" s="343" t="str">
        <f t="shared" si="251"/>
        <v/>
      </c>
      <c r="GW69" s="345" t="str">
        <f t="shared" si="507"/>
        <v/>
      </c>
      <c r="GX69" s="346" t="str">
        <f t="shared" si="508"/>
        <v/>
      </c>
      <c r="GY69" s="344" t="str">
        <f t="shared" si="509"/>
        <v/>
      </c>
      <c r="GZ69" s="345" t="str">
        <f t="shared" si="510"/>
        <v/>
      </c>
      <c r="HA69" s="342" t="str">
        <f t="shared" si="511"/>
        <v/>
      </c>
      <c r="HB69" s="5" t="str">
        <f t="shared" si="230"/>
        <v/>
      </c>
      <c r="HC69" s="343" t="str">
        <f t="shared" si="231"/>
        <v/>
      </c>
      <c r="HD69" s="363" t="str">
        <f t="shared" si="232"/>
        <v/>
      </c>
      <c r="HE69" s="344" t="str">
        <f t="shared" si="512"/>
        <v/>
      </c>
      <c r="HF69" s="5" t="str">
        <f t="shared" si="513"/>
        <v/>
      </c>
      <c r="HG69" s="343" t="str">
        <f t="shared" si="233"/>
        <v/>
      </c>
      <c r="HH69" s="349" t="str">
        <f t="shared" si="234"/>
        <v/>
      </c>
      <c r="HI69" s="317" t="str">
        <f t="shared" si="407"/>
        <v/>
      </c>
      <c r="HK69" s="310" t="str">
        <f t="shared" si="458"/>
        <v/>
      </c>
      <c r="HL69" s="348" t="str">
        <f t="shared" si="408"/>
        <v/>
      </c>
      <c r="HM69" s="923" t="str">
        <f t="shared" si="409"/>
        <v/>
      </c>
      <c r="HN69" s="924" t="str">
        <f t="shared" si="410"/>
        <v/>
      </c>
      <c r="HO69" s="925"/>
      <c r="HP69" s="926"/>
      <c r="HQ69" s="924" t="str">
        <f t="shared" si="411"/>
        <v/>
      </c>
      <c r="HR69" s="927" t="str">
        <f t="shared" si="412"/>
        <v/>
      </c>
      <c r="HS69" s="879" t="str">
        <f t="shared" si="459"/>
        <v/>
      </c>
      <c r="HT69" s="889" t="str">
        <f t="shared" si="413"/>
        <v/>
      </c>
      <c r="HU69" s="890" t="str">
        <f t="shared" si="414"/>
        <v/>
      </c>
      <c r="HV69" s="886" t="str">
        <f t="shared" si="415"/>
        <v/>
      </c>
      <c r="HW69" s="880" t="str">
        <f t="shared" si="416"/>
        <v/>
      </c>
      <c r="HX69" s="881" t="str">
        <f t="shared" si="417"/>
        <v/>
      </c>
      <c r="HY69" s="880" t="str">
        <f t="shared" si="418"/>
        <v/>
      </c>
      <c r="HZ69" s="882" t="str">
        <f t="shared" si="419"/>
        <v/>
      </c>
      <c r="IA69" s="883" t="str">
        <f t="shared" si="420"/>
        <v/>
      </c>
      <c r="IB69" s="884" t="str">
        <f t="shared" si="421"/>
        <v/>
      </c>
      <c r="IC69" s="855" t="str">
        <f t="shared" si="422"/>
        <v/>
      </c>
      <c r="ID69" s="351" t="str">
        <f t="shared" si="423"/>
        <v/>
      </c>
      <c r="IE69" s="857" t="str">
        <f t="shared" si="42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5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5"/>
        <v/>
      </c>
      <c r="IM69" s="482" t="str">
        <f t="shared" si="236"/>
        <v/>
      </c>
      <c r="IN69" s="670" t="str">
        <f t="shared" si="426"/>
        <v/>
      </c>
      <c r="IO69" s="702">
        <v>8.6773344048614795E-3</v>
      </c>
      <c r="IP69" s="5" t="str">
        <f t="shared" si="427"/>
        <v/>
      </c>
      <c r="IQ69" s="714">
        <v>340</v>
      </c>
      <c r="IR69" s="9" t="str">
        <f t="shared" si="428"/>
        <v/>
      </c>
      <c r="IS69" s="5" t="str">
        <f t="shared" si="429"/>
        <v/>
      </c>
      <c r="IT69" s="5" t="str">
        <f t="shared" si="430"/>
        <v/>
      </c>
      <c r="IU69" s="5" t="str">
        <f t="shared" si="431"/>
        <v/>
      </c>
      <c r="IV69" s="670" t="str">
        <f t="shared" si="432"/>
        <v/>
      </c>
      <c r="IW69" s="9" t="str">
        <f t="shared" si="433"/>
        <v/>
      </c>
      <c r="IX69" s="5" t="str">
        <f t="shared" si="434"/>
        <v/>
      </c>
      <c r="IY69" s="5" t="str">
        <f t="shared" si="435"/>
        <v/>
      </c>
      <c r="IZ69" s="5" t="str">
        <f t="shared" si="436"/>
        <v/>
      </c>
      <c r="JA69" s="705" t="str">
        <f t="shared" si="437"/>
        <v/>
      </c>
    </row>
    <row r="70" spans="1:261" ht="15" customHeight="1" x14ac:dyDescent="0.25">
      <c r="A70" s="75" t="str">
        <f t="shared" si="254"/>
        <v/>
      </c>
      <c r="B70" s="578" t="str">
        <f t="shared" si="255"/>
        <v/>
      </c>
      <c r="C70" s="572" t="str">
        <f t="shared" si="256"/>
        <v/>
      </c>
      <c r="D70" s="576" t="str">
        <f t="shared" si="257"/>
        <v/>
      </c>
      <c r="E70" s="580" t="str">
        <f t="shared" si="258"/>
        <v/>
      </c>
      <c r="F70" s="572" t="str">
        <f t="shared" si="259"/>
        <v/>
      </c>
      <c r="G70" s="579" t="str">
        <f t="shared" si="260"/>
        <v/>
      </c>
      <c r="H70" s="580" t="str">
        <f t="shared" si="261"/>
        <v/>
      </c>
      <c r="I70" s="572" t="str">
        <f t="shared" si="262"/>
        <v/>
      </c>
      <c r="J70" s="483" t="str">
        <f t="shared" si="263"/>
        <v/>
      </c>
      <c r="K70" s="806" t="str">
        <f t="shared" si="264"/>
        <v/>
      </c>
      <c r="L70" s="309"/>
      <c r="M70" s="164" t="str">
        <f t="shared" si="265"/>
        <v/>
      </c>
      <c r="N70" s="575" t="str">
        <f t="shared" si="266"/>
        <v/>
      </c>
      <c r="O70" s="572" t="str">
        <f t="shared" si="267"/>
        <v/>
      </c>
      <c r="P70" s="576" t="str">
        <f t="shared" si="268"/>
        <v/>
      </c>
      <c r="Q70" s="528" t="str">
        <f t="shared" si="138"/>
        <v/>
      </c>
      <c r="R70" s="572" t="str">
        <f t="shared" si="100"/>
        <v/>
      </c>
      <c r="S70" s="577" t="str">
        <f t="shared" si="101"/>
        <v/>
      </c>
      <c r="T70" s="578" t="str">
        <f t="shared" si="102"/>
        <v/>
      </c>
      <c r="U70" s="572" t="str">
        <f t="shared" si="103"/>
        <v/>
      </c>
      <c r="V70" s="579" t="str">
        <f t="shared" si="139"/>
        <v/>
      </c>
      <c r="W70" s="528" t="str">
        <f t="shared" si="252"/>
        <v/>
      </c>
      <c r="X70" s="572" t="str">
        <f t="shared" si="104"/>
        <v/>
      </c>
      <c r="Y70" s="573" t="str">
        <f t="shared" si="253"/>
        <v/>
      </c>
      <c r="Z70" s="575" t="str">
        <f t="shared" si="269"/>
        <v/>
      </c>
      <c r="AA70" s="572" t="str">
        <f t="shared" si="270"/>
        <v/>
      </c>
      <c r="AB70" s="572" t="str">
        <f t="shared" si="271"/>
        <v/>
      </c>
      <c r="AC70" s="579" t="str">
        <f t="shared" si="105"/>
        <v/>
      </c>
      <c r="AD70" s="580" t="str">
        <f t="shared" si="140"/>
        <v/>
      </c>
      <c r="AE70" s="572" t="str">
        <f t="shared" si="106"/>
        <v/>
      </c>
      <c r="AF70" s="576" t="str">
        <f t="shared" si="107"/>
        <v/>
      </c>
      <c r="AG70" s="545" t="str">
        <f t="shared" si="108"/>
        <v/>
      </c>
      <c r="AH70" s="546" t="str">
        <f t="shared" si="109"/>
        <v/>
      </c>
      <c r="AI70" s="528" t="str">
        <f t="shared" si="110"/>
        <v/>
      </c>
      <c r="AJ70" s="529" t="str">
        <f t="shared" si="111"/>
        <v/>
      </c>
      <c r="AK70" s="578" t="str">
        <f t="shared" si="237"/>
        <v/>
      </c>
      <c r="AL70" s="572" t="str">
        <f t="shared" si="112"/>
        <v/>
      </c>
      <c r="AM70" s="577" t="str">
        <f t="shared" si="113"/>
        <v/>
      </c>
      <c r="AN70" s="524" t="str">
        <f t="shared" si="114"/>
        <v/>
      </c>
      <c r="AO70" s="525" t="str">
        <f t="shared" si="514"/>
        <v/>
      </c>
      <c r="AP70" s="528" t="str">
        <f t="shared" si="116"/>
        <v/>
      </c>
      <c r="AQ70" s="529" t="str">
        <f t="shared" si="272"/>
        <v/>
      </c>
      <c r="AS70" s="946" t="str">
        <f t="shared" si="460"/>
        <v/>
      </c>
      <c r="AT70" s="942" t="str">
        <f t="shared" si="273"/>
        <v/>
      </c>
      <c r="AU70" s="418"/>
      <c r="AV70" s="164" t="str">
        <f t="shared" si="27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2"/>
        <v/>
      </c>
      <c r="BA70" s="296" t="str">
        <f t="shared" si="276"/>
        <v/>
      </c>
      <c r="BB70" s="177" t="str">
        <f t="shared" si="143"/>
        <v/>
      </c>
      <c r="BC70" s="9"/>
      <c r="BD70" s="5" t="str">
        <f t="shared" si="144"/>
        <v/>
      </c>
      <c r="BE70" s="6" t="str">
        <f t="shared" si="278"/>
        <v/>
      </c>
      <c r="BF70" s="4" t="str">
        <f t="shared" si="279"/>
        <v/>
      </c>
      <c r="BG70" s="5" t="str">
        <f t="shared" si="280"/>
        <v/>
      </c>
      <c r="BH70" s="10" t="str">
        <f t="shared" si="281"/>
        <v/>
      </c>
      <c r="BI70" s="9" t="str">
        <f t="shared" si="145"/>
        <v/>
      </c>
      <c r="BJ70" s="5" t="str">
        <f t="shared" si="283"/>
        <v/>
      </c>
      <c r="BK70" s="8" t="str">
        <f t="shared" si="284"/>
        <v/>
      </c>
      <c r="BL70" s="173" t="str">
        <f t="shared" si="285"/>
        <v/>
      </c>
      <c r="BM70" s="5" t="str">
        <f t="shared" si="286"/>
        <v/>
      </c>
      <c r="BN70" s="6" t="str">
        <f t="shared" si="287"/>
        <v/>
      </c>
      <c r="BO70" s="4" t="str">
        <f t="shared" si="146"/>
        <v/>
      </c>
      <c r="BP70" s="5" t="str">
        <f t="shared" si="147"/>
        <v/>
      </c>
      <c r="BQ70" s="5" t="str">
        <f t="shared" si="148"/>
        <v/>
      </c>
      <c r="BR70" s="6" t="str">
        <f t="shared" si="149"/>
        <v/>
      </c>
      <c r="BS70" s="4" t="str">
        <f t="shared" si="482"/>
        <v/>
      </c>
      <c r="BT70" s="5" t="str">
        <f t="shared" si="482"/>
        <v/>
      </c>
      <c r="BU70" s="10" t="str">
        <f t="shared" si="118"/>
        <v/>
      </c>
      <c r="BV70" s="9" t="str">
        <f t="shared" si="119"/>
        <v/>
      </c>
      <c r="BW70" s="5" t="str">
        <f t="shared" si="120"/>
        <v/>
      </c>
      <c r="BX70" s="8" t="str">
        <f t="shared" si="121"/>
        <v/>
      </c>
      <c r="BY70" s="173" t="str">
        <f t="shared" si="122"/>
        <v/>
      </c>
      <c r="BZ70" s="5" t="str">
        <f t="shared" si="123"/>
        <v/>
      </c>
      <c r="CA70" s="6" t="str">
        <f t="shared" si="124"/>
        <v/>
      </c>
      <c r="CB70" s="4" t="str">
        <f t="shared" si="150"/>
        <v/>
      </c>
      <c r="CC70" s="5" t="str">
        <f t="shared" si="151"/>
        <v/>
      </c>
      <c r="CD70" s="5" t="str">
        <f t="shared" si="152"/>
        <v/>
      </c>
      <c r="CE70" s="6" t="str">
        <f t="shared" si="153"/>
        <v/>
      </c>
      <c r="CF70" s="4" t="str">
        <f t="shared" si="154"/>
        <v/>
      </c>
      <c r="CG70" s="5" t="str">
        <f t="shared" si="155"/>
        <v/>
      </c>
      <c r="CH70" s="5" t="str">
        <f t="shared" si="156"/>
        <v/>
      </c>
      <c r="CI70" s="4" t="str">
        <f t="shared" si="125"/>
        <v/>
      </c>
      <c r="CJ70" s="5" t="str">
        <f t="shared" si="126"/>
        <v/>
      </c>
      <c r="CK70" s="8" t="str">
        <f t="shared" si="127"/>
        <v/>
      </c>
      <c r="CL70" s="173" t="str">
        <f t="shared" si="128"/>
        <v/>
      </c>
      <c r="CM70" s="5" t="str">
        <f t="shared" si="129"/>
        <v/>
      </c>
      <c r="CN70" s="6" t="str">
        <f t="shared" si="130"/>
        <v/>
      </c>
      <c r="CO70" s="167" t="str">
        <f t="shared" si="304"/>
        <v/>
      </c>
      <c r="CP70" s="4" t="str">
        <f t="shared" si="238"/>
        <v/>
      </c>
      <c r="CQ70" s="5" t="str">
        <f t="shared" si="239"/>
        <v/>
      </c>
      <c r="CR70" s="5" t="str">
        <f t="shared" si="157"/>
        <v/>
      </c>
      <c r="CS70" s="8" t="str">
        <f t="shared" si="158"/>
        <v/>
      </c>
      <c r="CT70" s="9" t="str">
        <f t="shared" si="159"/>
        <v/>
      </c>
      <c r="CU70" s="6" t="str">
        <f t="shared" si="160"/>
        <v/>
      </c>
      <c r="CV70" s="4" t="str">
        <f t="shared" si="240"/>
        <v/>
      </c>
      <c r="CW70" s="5" t="str">
        <f t="shared" si="161"/>
        <v/>
      </c>
      <c r="CX70" s="8" t="str">
        <f t="shared" si="162"/>
        <v/>
      </c>
      <c r="CY70" s="9" t="str">
        <f t="shared" si="163"/>
        <v/>
      </c>
      <c r="CZ70" s="5" t="str">
        <f t="shared" si="164"/>
        <v/>
      </c>
      <c r="DA70" s="6" t="str">
        <f t="shared" si="165"/>
        <v/>
      </c>
      <c r="DB70" s="4" t="str">
        <f t="shared" si="483"/>
        <v/>
      </c>
      <c r="DC70" s="5" t="str">
        <f t="shared" si="483"/>
        <v/>
      </c>
      <c r="DD70" s="10" t="str">
        <f t="shared" si="167"/>
        <v/>
      </c>
      <c r="DE70" s="9" t="str">
        <f t="shared" si="484"/>
        <v/>
      </c>
      <c r="DF70" s="5" t="str">
        <f t="shared" si="484"/>
        <v/>
      </c>
      <c r="DG70" s="10" t="str">
        <f t="shared" si="169"/>
        <v/>
      </c>
      <c r="DH70" s="70" t="str">
        <f t="shared" si="170"/>
        <v/>
      </c>
      <c r="DI70" s="4" t="str">
        <f t="shared" si="171"/>
        <v/>
      </c>
      <c r="DJ70" s="5" t="str">
        <f t="shared" si="172"/>
        <v/>
      </c>
      <c r="DK70" s="10" t="str">
        <f t="shared" si="173"/>
        <v/>
      </c>
      <c r="DL70" s="9" t="str">
        <f t="shared" si="174"/>
        <v/>
      </c>
      <c r="DM70" s="173" t="str">
        <f t="shared" si="175"/>
        <v/>
      </c>
      <c r="DN70" s="178" t="str">
        <f t="shared" si="176"/>
        <v/>
      </c>
      <c r="DO70" s="9" t="str">
        <f t="shared" si="177"/>
        <v/>
      </c>
      <c r="DP70" s="173" t="str">
        <f t="shared" si="178"/>
        <v/>
      </c>
      <c r="DQ70" s="11" t="str">
        <f t="shared" si="179"/>
        <v/>
      </c>
      <c r="DR70" s="173" t="str">
        <f t="shared" si="180"/>
        <v/>
      </c>
      <c r="DS70" s="5" t="str">
        <f t="shared" si="181"/>
        <v/>
      </c>
      <c r="DT70" s="5" t="str">
        <f t="shared" si="182"/>
        <v/>
      </c>
      <c r="DU70" s="5" t="str">
        <f t="shared" si="183"/>
        <v/>
      </c>
      <c r="DV70" s="5" t="str">
        <f t="shared" si="184"/>
        <v/>
      </c>
      <c r="DW70" s="5" t="str">
        <f t="shared" si="185"/>
        <v/>
      </c>
      <c r="DX70" s="167" t="str">
        <f t="shared" si="186"/>
        <v/>
      </c>
      <c r="DY70" s="9" t="str">
        <f t="shared" si="187"/>
        <v/>
      </c>
      <c r="DZ70" s="5" t="str">
        <f t="shared" si="188"/>
        <v/>
      </c>
      <c r="EA70" s="10" t="str">
        <f t="shared" si="189"/>
        <v/>
      </c>
      <c r="EB70" s="6" t="str">
        <f t="shared" si="190"/>
        <v/>
      </c>
      <c r="EC70" s="173" t="str">
        <f t="shared" si="191"/>
        <v/>
      </c>
      <c r="ED70" s="5" t="str">
        <f t="shared" si="192"/>
        <v/>
      </c>
      <c r="EE70" s="4" t="str">
        <f t="shared" si="193"/>
        <v/>
      </c>
      <c r="EF70" s="5" t="str">
        <f t="shared" si="194"/>
        <v/>
      </c>
      <c r="EG70" s="10" t="str">
        <f t="shared" si="195"/>
        <v/>
      </c>
      <c r="EH70" s="9" t="str">
        <f t="shared" si="196"/>
        <v/>
      </c>
      <c r="EI70" s="5" t="str">
        <f t="shared" si="197"/>
        <v/>
      </c>
      <c r="EJ70" s="6" t="str">
        <f t="shared" si="198"/>
        <v/>
      </c>
      <c r="EK70" s="236" t="str">
        <f t="shared" si="199"/>
        <v/>
      </c>
      <c r="EL70" s="238" t="str">
        <f t="shared" si="200"/>
        <v/>
      </c>
      <c r="EM70" s="4" t="str">
        <f t="shared" si="201"/>
        <v/>
      </c>
      <c r="EN70" s="5" t="str">
        <f t="shared" si="202"/>
        <v/>
      </c>
      <c r="EO70" s="10" t="str">
        <f t="shared" si="203"/>
        <v/>
      </c>
      <c r="EP70" s="9" t="str">
        <f t="shared" si="204"/>
        <v/>
      </c>
      <c r="EQ70" s="5" t="str">
        <f t="shared" si="205"/>
        <v/>
      </c>
      <c r="ER70" s="7" t="str">
        <f t="shared" si="206"/>
        <v/>
      </c>
      <c r="ES70" s="21" t="str">
        <f t="shared" si="351"/>
        <v/>
      </c>
      <c r="ET70" s="5" t="str">
        <f t="shared" si="352"/>
        <v/>
      </c>
      <c r="EU70" s="10" t="str">
        <f t="shared" si="353"/>
        <v/>
      </c>
      <c r="EV70" s="174" t="str">
        <f t="shared" si="485"/>
        <v/>
      </c>
      <c r="EW70" s="9" t="str">
        <f t="shared" si="486"/>
        <v/>
      </c>
      <c r="EX70" s="5" t="str">
        <f t="shared" si="487"/>
        <v/>
      </c>
      <c r="EY70" s="6" t="str">
        <f t="shared" si="207"/>
        <v/>
      </c>
      <c r="EZ70" s="51" t="str">
        <f t="shared" si="208"/>
        <v/>
      </c>
      <c r="FA70" s="173" t="str">
        <f t="shared" si="488"/>
        <v/>
      </c>
      <c r="FB70" s="5" t="str">
        <f t="shared" si="489"/>
        <v/>
      </c>
      <c r="FC70" s="6" t="str">
        <f t="shared" si="490"/>
        <v/>
      </c>
      <c r="FD70" s="4" t="str">
        <f t="shared" si="491"/>
        <v/>
      </c>
      <c r="FE70" s="5" t="str">
        <f t="shared" si="492"/>
        <v/>
      </c>
      <c r="FF70" s="7" t="str">
        <f t="shared" si="209"/>
        <v/>
      </c>
      <c r="FG70" s="173" t="str">
        <f t="shared" si="493"/>
        <v/>
      </c>
      <c r="FH70" s="5" t="str">
        <f t="shared" si="494"/>
        <v/>
      </c>
      <c r="FI70" s="10" t="str">
        <f t="shared" si="495"/>
        <v/>
      </c>
      <c r="FJ70" s="279" t="str">
        <f t="shared" si="211"/>
        <v/>
      </c>
      <c r="FK70" s="4" t="str">
        <f t="shared" si="496"/>
        <v/>
      </c>
      <c r="FL70" s="5" t="str">
        <f t="shared" si="212"/>
        <v/>
      </c>
      <c r="FM70" s="8" t="str">
        <f t="shared" si="213"/>
        <v/>
      </c>
      <c r="FN70" s="9" t="str">
        <f t="shared" si="214"/>
        <v/>
      </c>
      <c r="FO70" s="10" t="str">
        <f t="shared" si="497"/>
        <v/>
      </c>
      <c r="FP70" s="277" t="str">
        <f t="shared" si="498"/>
        <v/>
      </c>
      <c r="FQ70" s="173" t="str">
        <f t="shared" si="241"/>
        <v/>
      </c>
      <c r="FR70" s="10" t="str">
        <f t="shared" si="215"/>
        <v/>
      </c>
      <c r="FS70" s="9" t="str">
        <f t="shared" si="216"/>
        <v/>
      </c>
      <c r="FT70" s="6" t="str">
        <f t="shared" si="217"/>
        <v/>
      </c>
      <c r="FU70" s="4" t="str">
        <f t="shared" si="218"/>
        <v/>
      </c>
      <c r="FV70" s="5" t="str">
        <f t="shared" si="219"/>
        <v/>
      </c>
      <c r="FW70" s="8" t="str">
        <f t="shared" si="242"/>
        <v/>
      </c>
      <c r="FX70" s="9" t="str">
        <f t="shared" si="243"/>
        <v/>
      </c>
      <c r="FY70" s="10" t="str">
        <f t="shared" si="499"/>
        <v/>
      </c>
      <c r="FZ70" s="277" t="str">
        <f t="shared" si="244"/>
        <v/>
      </c>
      <c r="GA70" s="177" t="str">
        <f t="shared" si="220"/>
        <v/>
      </c>
      <c r="GB70" s="4" t="str">
        <f t="shared" si="221"/>
        <v/>
      </c>
      <c r="GC70" s="5" t="str">
        <f t="shared" si="222"/>
        <v/>
      </c>
      <c r="GD70" s="10" t="str">
        <f t="shared" si="223"/>
        <v/>
      </c>
      <c r="GE70" s="311" t="str">
        <f t="shared" si="224"/>
        <v/>
      </c>
      <c r="GF70" s="341" t="str">
        <f t="shared" si="245"/>
        <v/>
      </c>
      <c r="GG70" s="285" t="str">
        <f t="shared" si="500"/>
        <v/>
      </c>
      <c r="GH70" s="286" t="str">
        <f t="shared" si="501"/>
        <v/>
      </c>
      <c r="GI70" s="281" t="str">
        <f t="shared" si="502"/>
        <v/>
      </c>
      <c r="GJ70" s="167" t="str">
        <f t="shared" si="225"/>
        <v/>
      </c>
      <c r="GK70" s="174" t="str">
        <f t="shared" si="503"/>
        <v/>
      </c>
      <c r="GL70" s="174" t="str">
        <f t="shared" si="226"/>
        <v/>
      </c>
      <c r="GM70" s="177" t="str">
        <f t="shared" si="246"/>
        <v/>
      </c>
      <c r="GN70" s="280" t="str">
        <f t="shared" si="227"/>
        <v/>
      </c>
      <c r="GO70" s="4" t="str">
        <f t="shared" si="228"/>
        <v/>
      </c>
      <c r="GP70" s="8" t="str">
        <f t="shared" si="247"/>
        <v/>
      </c>
      <c r="GQ70" s="177" t="str">
        <f t="shared" si="229"/>
        <v/>
      </c>
      <c r="GR70" s="371" t="str">
        <f t="shared" si="248"/>
        <v/>
      </c>
      <c r="GS70" s="342" t="str">
        <f t="shared" si="504"/>
        <v/>
      </c>
      <c r="GT70" s="343" t="str">
        <f t="shared" si="505"/>
        <v/>
      </c>
      <c r="GU70" s="344" t="str">
        <f t="shared" si="506"/>
        <v/>
      </c>
      <c r="GV70" s="343" t="str">
        <f t="shared" si="251"/>
        <v/>
      </c>
      <c r="GW70" s="345" t="str">
        <f t="shared" si="507"/>
        <v/>
      </c>
      <c r="GX70" s="346" t="str">
        <f t="shared" si="508"/>
        <v/>
      </c>
      <c r="GY70" s="344" t="str">
        <f t="shared" si="509"/>
        <v/>
      </c>
      <c r="GZ70" s="345" t="str">
        <f t="shared" si="510"/>
        <v/>
      </c>
      <c r="HA70" s="342" t="str">
        <f t="shared" si="511"/>
        <v/>
      </c>
      <c r="HB70" s="5" t="str">
        <f t="shared" si="230"/>
        <v/>
      </c>
      <c r="HC70" s="343" t="str">
        <f t="shared" si="231"/>
        <v/>
      </c>
      <c r="HD70" s="363" t="str">
        <f t="shared" si="232"/>
        <v/>
      </c>
      <c r="HE70" s="344" t="str">
        <f t="shared" si="512"/>
        <v/>
      </c>
      <c r="HF70" s="5" t="str">
        <f t="shared" si="513"/>
        <v/>
      </c>
      <c r="HG70" s="343" t="str">
        <f t="shared" si="233"/>
        <v/>
      </c>
      <c r="HH70" s="349" t="str">
        <f t="shared" si="234"/>
        <v/>
      </c>
      <c r="HI70" s="317" t="str">
        <f t="shared" si="407"/>
        <v/>
      </c>
      <c r="HK70" s="310" t="str">
        <f t="shared" si="458"/>
        <v/>
      </c>
      <c r="HL70" s="348" t="str">
        <f t="shared" si="408"/>
        <v/>
      </c>
      <c r="HM70" s="923" t="str">
        <f t="shared" si="409"/>
        <v/>
      </c>
      <c r="HN70" s="924" t="str">
        <f t="shared" si="410"/>
        <v/>
      </c>
      <c r="HO70" s="925"/>
      <c r="HP70" s="926"/>
      <c r="HQ70" s="924" t="str">
        <f t="shared" si="411"/>
        <v/>
      </c>
      <c r="HR70" s="927" t="str">
        <f t="shared" si="412"/>
        <v/>
      </c>
      <c r="HS70" s="879" t="str">
        <f t="shared" si="459"/>
        <v/>
      </c>
      <c r="HT70" s="889" t="str">
        <f t="shared" si="413"/>
        <v/>
      </c>
      <c r="HU70" s="890" t="str">
        <f t="shared" si="414"/>
        <v/>
      </c>
      <c r="HV70" s="886" t="str">
        <f t="shared" si="415"/>
        <v/>
      </c>
      <c r="HW70" s="880" t="str">
        <f t="shared" si="416"/>
        <v/>
      </c>
      <c r="HX70" s="881" t="str">
        <f t="shared" si="417"/>
        <v/>
      </c>
      <c r="HY70" s="880" t="str">
        <f t="shared" si="418"/>
        <v/>
      </c>
      <c r="HZ70" s="882" t="str">
        <f t="shared" si="419"/>
        <v/>
      </c>
      <c r="IA70" s="883" t="str">
        <f t="shared" si="420"/>
        <v/>
      </c>
      <c r="IB70" s="884" t="str">
        <f t="shared" si="421"/>
        <v/>
      </c>
      <c r="IC70" s="855" t="str">
        <f t="shared" si="422"/>
        <v/>
      </c>
      <c r="ID70" s="351" t="str">
        <f t="shared" si="423"/>
        <v/>
      </c>
      <c r="IE70" s="857" t="str">
        <f t="shared" si="42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5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5"/>
        <v/>
      </c>
      <c r="IM70" s="482" t="str">
        <f t="shared" si="236"/>
        <v/>
      </c>
      <c r="IN70" s="670" t="str">
        <f t="shared" si="426"/>
        <v/>
      </c>
      <c r="IO70" s="702"/>
      <c r="IP70" s="5" t="str">
        <f t="shared" si="427"/>
        <v/>
      </c>
      <c r="IQ70" s="714"/>
      <c r="IR70" s="9" t="str">
        <f t="shared" si="428"/>
        <v/>
      </c>
      <c r="IS70" s="5" t="str">
        <f t="shared" si="429"/>
        <v/>
      </c>
      <c r="IT70" s="5" t="str">
        <f t="shared" si="430"/>
        <v/>
      </c>
      <c r="IU70" s="5" t="str">
        <f t="shared" si="431"/>
        <v/>
      </c>
      <c r="IV70" s="670" t="str">
        <f t="shared" si="432"/>
        <v/>
      </c>
      <c r="IW70" s="9" t="str">
        <f t="shared" si="433"/>
        <v/>
      </c>
      <c r="IX70" s="5" t="str">
        <f t="shared" si="434"/>
        <v/>
      </c>
      <c r="IY70" s="5" t="str">
        <f t="shared" si="435"/>
        <v/>
      </c>
      <c r="IZ70" s="5" t="str">
        <f t="shared" si="436"/>
        <v/>
      </c>
      <c r="JA70" s="705" t="str">
        <f t="shared" si="437"/>
        <v/>
      </c>
    </row>
    <row r="71" spans="1:261" ht="15" customHeight="1" x14ac:dyDescent="0.25">
      <c r="A71" s="75" t="str">
        <f t="shared" si="254"/>
        <v/>
      </c>
      <c r="B71" s="578" t="str">
        <f t="shared" si="255"/>
        <v/>
      </c>
      <c r="C71" s="572" t="str">
        <f t="shared" si="256"/>
        <v/>
      </c>
      <c r="D71" s="576" t="str">
        <f t="shared" si="257"/>
        <v/>
      </c>
      <c r="E71" s="580" t="str">
        <f t="shared" si="258"/>
        <v/>
      </c>
      <c r="F71" s="572" t="str">
        <f t="shared" si="259"/>
        <v/>
      </c>
      <c r="G71" s="579" t="str">
        <f t="shared" si="260"/>
        <v/>
      </c>
      <c r="H71" s="580" t="str">
        <f t="shared" si="261"/>
        <v/>
      </c>
      <c r="I71" s="572" t="str">
        <f t="shared" si="262"/>
        <v/>
      </c>
      <c r="J71" s="483" t="str">
        <f t="shared" si="263"/>
        <v/>
      </c>
      <c r="K71" s="806" t="str">
        <f t="shared" si="264"/>
        <v/>
      </c>
      <c r="L71" s="309"/>
      <c r="M71" s="164" t="str">
        <f t="shared" si="265"/>
        <v/>
      </c>
      <c r="N71" s="575" t="str">
        <f t="shared" si="266"/>
        <v/>
      </c>
      <c r="O71" s="572" t="str">
        <f t="shared" si="267"/>
        <v/>
      </c>
      <c r="P71" s="576" t="str">
        <f t="shared" si="268"/>
        <v/>
      </c>
      <c r="Q71" s="528" t="str">
        <f t="shared" si="138"/>
        <v/>
      </c>
      <c r="R71" s="572" t="str">
        <f t="shared" si="100"/>
        <v/>
      </c>
      <c r="S71" s="577" t="str">
        <f t="shared" si="101"/>
        <v/>
      </c>
      <c r="T71" s="578" t="str">
        <f t="shared" si="102"/>
        <v/>
      </c>
      <c r="U71" s="572" t="str">
        <f t="shared" si="103"/>
        <v/>
      </c>
      <c r="V71" s="579" t="str">
        <f t="shared" si="139"/>
        <v/>
      </c>
      <c r="W71" s="528" t="str">
        <f t="shared" si="252"/>
        <v/>
      </c>
      <c r="X71" s="572" t="str">
        <f t="shared" si="104"/>
        <v/>
      </c>
      <c r="Y71" s="573" t="str">
        <f t="shared" si="253"/>
        <v/>
      </c>
      <c r="Z71" s="575" t="str">
        <f t="shared" si="269"/>
        <v/>
      </c>
      <c r="AA71" s="572" t="str">
        <f t="shared" si="270"/>
        <v/>
      </c>
      <c r="AB71" s="572" t="str">
        <f t="shared" si="271"/>
        <v/>
      </c>
      <c r="AC71" s="579" t="str">
        <f t="shared" si="105"/>
        <v/>
      </c>
      <c r="AD71" s="580" t="str">
        <f t="shared" si="140"/>
        <v/>
      </c>
      <c r="AE71" s="572" t="str">
        <f t="shared" si="106"/>
        <v/>
      </c>
      <c r="AF71" s="576" t="str">
        <f t="shared" si="107"/>
        <v/>
      </c>
      <c r="AG71" s="545" t="str">
        <f t="shared" si="108"/>
        <v/>
      </c>
      <c r="AH71" s="546" t="str">
        <f t="shared" si="109"/>
        <v/>
      </c>
      <c r="AI71" s="528" t="str">
        <f t="shared" si="110"/>
        <v/>
      </c>
      <c r="AJ71" s="529" t="str">
        <f t="shared" si="111"/>
        <v/>
      </c>
      <c r="AK71" s="578" t="str">
        <f t="shared" si="237"/>
        <v/>
      </c>
      <c r="AL71" s="572" t="str">
        <f t="shared" si="112"/>
        <v/>
      </c>
      <c r="AM71" s="577" t="str">
        <f t="shared" si="113"/>
        <v/>
      </c>
      <c r="AN71" s="524" t="str">
        <f t="shared" si="114"/>
        <v/>
      </c>
      <c r="AO71" s="525" t="str">
        <f t="shared" si="514"/>
        <v/>
      </c>
      <c r="AP71" s="528" t="str">
        <f t="shared" si="116"/>
        <v/>
      </c>
      <c r="AQ71" s="529" t="str">
        <f t="shared" si="272"/>
        <v/>
      </c>
      <c r="AS71" s="946" t="str">
        <f t="shared" si="460"/>
        <v/>
      </c>
      <c r="AT71" s="942" t="str">
        <f t="shared" si="273"/>
        <v/>
      </c>
      <c r="AU71" s="418"/>
      <c r="AV71" s="164" t="str">
        <f t="shared" si="27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2"/>
        <v/>
      </c>
      <c r="BA71" s="296" t="str">
        <f t="shared" si="276"/>
        <v/>
      </c>
      <c r="BB71" s="177" t="str">
        <f t="shared" si="143"/>
        <v/>
      </c>
      <c r="BC71" s="9"/>
      <c r="BD71" s="5" t="str">
        <f t="shared" si="144"/>
        <v/>
      </c>
      <c r="BE71" s="6" t="str">
        <f t="shared" si="278"/>
        <v/>
      </c>
      <c r="BF71" s="4" t="str">
        <f t="shared" si="279"/>
        <v/>
      </c>
      <c r="BG71" s="5" t="str">
        <f t="shared" si="280"/>
        <v/>
      </c>
      <c r="BH71" s="10" t="str">
        <f t="shared" si="281"/>
        <v/>
      </c>
      <c r="BI71" s="9" t="str">
        <f t="shared" si="145"/>
        <v/>
      </c>
      <c r="BJ71" s="5" t="str">
        <f t="shared" si="283"/>
        <v/>
      </c>
      <c r="BK71" s="8" t="str">
        <f t="shared" si="284"/>
        <v/>
      </c>
      <c r="BL71" s="173" t="str">
        <f t="shared" si="285"/>
        <v/>
      </c>
      <c r="BM71" s="5" t="str">
        <f t="shared" si="286"/>
        <v/>
      </c>
      <c r="BN71" s="6" t="str">
        <f t="shared" si="287"/>
        <v/>
      </c>
      <c r="BO71" s="4" t="str">
        <f t="shared" si="146"/>
        <v/>
      </c>
      <c r="BP71" s="5" t="str">
        <f t="shared" si="147"/>
        <v/>
      </c>
      <c r="BQ71" s="5" t="str">
        <f t="shared" si="148"/>
        <v/>
      </c>
      <c r="BR71" s="6" t="str">
        <f t="shared" si="149"/>
        <v/>
      </c>
      <c r="BS71" s="4" t="str">
        <f t="shared" si="482"/>
        <v/>
      </c>
      <c r="BT71" s="5" t="str">
        <f t="shared" si="482"/>
        <v/>
      </c>
      <c r="BU71" s="10" t="str">
        <f t="shared" si="118"/>
        <v/>
      </c>
      <c r="BV71" s="9" t="str">
        <f t="shared" si="119"/>
        <v/>
      </c>
      <c r="BW71" s="5" t="str">
        <f t="shared" si="120"/>
        <v/>
      </c>
      <c r="BX71" s="8" t="str">
        <f t="shared" si="121"/>
        <v/>
      </c>
      <c r="BY71" s="173" t="str">
        <f t="shared" si="122"/>
        <v/>
      </c>
      <c r="BZ71" s="5" t="str">
        <f t="shared" si="123"/>
        <v/>
      </c>
      <c r="CA71" s="6" t="str">
        <f t="shared" si="124"/>
        <v/>
      </c>
      <c r="CB71" s="4" t="str">
        <f t="shared" si="150"/>
        <v/>
      </c>
      <c r="CC71" s="5" t="str">
        <f t="shared" si="151"/>
        <v/>
      </c>
      <c r="CD71" s="5" t="str">
        <f t="shared" si="152"/>
        <v/>
      </c>
      <c r="CE71" s="6" t="str">
        <f t="shared" si="153"/>
        <v/>
      </c>
      <c r="CF71" s="4" t="str">
        <f t="shared" si="154"/>
        <v/>
      </c>
      <c r="CG71" s="5" t="str">
        <f t="shared" si="155"/>
        <v/>
      </c>
      <c r="CH71" s="5" t="str">
        <f t="shared" si="156"/>
        <v/>
      </c>
      <c r="CI71" s="4" t="str">
        <f t="shared" si="125"/>
        <v/>
      </c>
      <c r="CJ71" s="5" t="str">
        <f t="shared" si="126"/>
        <v/>
      </c>
      <c r="CK71" s="8" t="str">
        <f t="shared" si="127"/>
        <v/>
      </c>
      <c r="CL71" s="173" t="str">
        <f t="shared" si="128"/>
        <v/>
      </c>
      <c r="CM71" s="5" t="str">
        <f t="shared" si="129"/>
        <v/>
      </c>
      <c r="CN71" s="6" t="str">
        <f t="shared" si="130"/>
        <v/>
      </c>
      <c r="CO71" s="167" t="str">
        <f t="shared" si="304"/>
        <v/>
      </c>
      <c r="CP71" s="4" t="str">
        <f t="shared" si="238"/>
        <v/>
      </c>
      <c r="CQ71" s="5" t="str">
        <f t="shared" si="239"/>
        <v/>
      </c>
      <c r="CR71" s="5" t="str">
        <f t="shared" si="157"/>
        <v/>
      </c>
      <c r="CS71" s="8" t="str">
        <f t="shared" si="158"/>
        <v/>
      </c>
      <c r="CT71" s="9" t="str">
        <f t="shared" si="159"/>
        <v/>
      </c>
      <c r="CU71" s="6" t="str">
        <f t="shared" si="160"/>
        <v/>
      </c>
      <c r="CV71" s="4" t="str">
        <f t="shared" si="240"/>
        <v/>
      </c>
      <c r="CW71" s="5" t="str">
        <f t="shared" si="161"/>
        <v/>
      </c>
      <c r="CX71" s="8" t="str">
        <f t="shared" si="162"/>
        <v/>
      </c>
      <c r="CY71" s="9" t="str">
        <f t="shared" si="163"/>
        <v/>
      </c>
      <c r="CZ71" s="5" t="str">
        <f t="shared" si="164"/>
        <v/>
      </c>
      <c r="DA71" s="6" t="str">
        <f t="shared" si="165"/>
        <v/>
      </c>
      <c r="DB71" s="4" t="str">
        <f t="shared" si="483"/>
        <v/>
      </c>
      <c r="DC71" s="5" t="str">
        <f t="shared" si="483"/>
        <v/>
      </c>
      <c r="DD71" s="10" t="str">
        <f t="shared" si="167"/>
        <v/>
      </c>
      <c r="DE71" s="9" t="str">
        <f t="shared" si="484"/>
        <v/>
      </c>
      <c r="DF71" s="5" t="str">
        <f t="shared" si="484"/>
        <v/>
      </c>
      <c r="DG71" s="10" t="str">
        <f t="shared" si="169"/>
        <v/>
      </c>
      <c r="DH71" s="70" t="str">
        <f t="shared" si="170"/>
        <v/>
      </c>
      <c r="DI71" s="4" t="str">
        <f t="shared" si="171"/>
        <v/>
      </c>
      <c r="DJ71" s="5" t="str">
        <f t="shared" si="172"/>
        <v/>
      </c>
      <c r="DK71" s="10" t="str">
        <f t="shared" si="173"/>
        <v/>
      </c>
      <c r="DL71" s="9" t="str">
        <f t="shared" si="174"/>
        <v/>
      </c>
      <c r="DM71" s="173" t="str">
        <f t="shared" si="175"/>
        <v/>
      </c>
      <c r="DN71" s="178" t="str">
        <f t="shared" si="176"/>
        <v/>
      </c>
      <c r="DO71" s="9" t="str">
        <f t="shared" si="177"/>
        <v/>
      </c>
      <c r="DP71" s="173" t="str">
        <f t="shared" si="178"/>
        <v/>
      </c>
      <c r="DQ71" s="11" t="str">
        <f t="shared" si="179"/>
        <v/>
      </c>
      <c r="DR71" s="173" t="str">
        <f t="shared" si="180"/>
        <v/>
      </c>
      <c r="DS71" s="5" t="str">
        <f t="shared" si="181"/>
        <v/>
      </c>
      <c r="DT71" s="5" t="str">
        <f t="shared" si="182"/>
        <v/>
      </c>
      <c r="DU71" s="5" t="str">
        <f t="shared" si="183"/>
        <v/>
      </c>
      <c r="DV71" s="5" t="str">
        <f t="shared" si="184"/>
        <v/>
      </c>
      <c r="DW71" s="5" t="str">
        <f t="shared" si="185"/>
        <v/>
      </c>
      <c r="DX71" s="167" t="str">
        <f t="shared" si="186"/>
        <v/>
      </c>
      <c r="DY71" s="9" t="str">
        <f t="shared" si="187"/>
        <v/>
      </c>
      <c r="DZ71" s="5" t="str">
        <f t="shared" si="188"/>
        <v/>
      </c>
      <c r="EA71" s="10" t="str">
        <f t="shared" si="189"/>
        <v/>
      </c>
      <c r="EB71" s="6" t="str">
        <f t="shared" si="190"/>
        <v/>
      </c>
      <c r="EC71" s="173" t="str">
        <f t="shared" si="191"/>
        <v/>
      </c>
      <c r="ED71" s="5" t="str">
        <f t="shared" si="192"/>
        <v/>
      </c>
      <c r="EE71" s="4" t="str">
        <f t="shared" si="193"/>
        <v/>
      </c>
      <c r="EF71" s="5" t="str">
        <f t="shared" si="194"/>
        <v/>
      </c>
      <c r="EG71" s="10" t="str">
        <f t="shared" si="195"/>
        <v/>
      </c>
      <c r="EH71" s="9" t="str">
        <f t="shared" si="196"/>
        <v/>
      </c>
      <c r="EI71" s="5" t="str">
        <f t="shared" si="197"/>
        <v/>
      </c>
      <c r="EJ71" s="6" t="str">
        <f t="shared" si="198"/>
        <v/>
      </c>
      <c r="EK71" s="236" t="str">
        <f t="shared" si="199"/>
        <v/>
      </c>
      <c r="EL71" s="238" t="str">
        <f t="shared" si="200"/>
        <v/>
      </c>
      <c r="EM71" s="4" t="str">
        <f t="shared" si="201"/>
        <v/>
      </c>
      <c r="EN71" s="5" t="str">
        <f t="shared" si="202"/>
        <v/>
      </c>
      <c r="EO71" s="10" t="str">
        <f t="shared" si="203"/>
        <v/>
      </c>
      <c r="EP71" s="9" t="str">
        <f t="shared" si="204"/>
        <v/>
      </c>
      <c r="EQ71" s="5" t="str">
        <f t="shared" si="205"/>
        <v/>
      </c>
      <c r="ER71" s="7" t="str">
        <f t="shared" si="206"/>
        <v/>
      </c>
      <c r="ES71" s="21" t="str">
        <f t="shared" si="351"/>
        <v/>
      </c>
      <c r="ET71" s="5" t="str">
        <f t="shared" si="352"/>
        <v/>
      </c>
      <c r="EU71" s="10" t="str">
        <f t="shared" si="353"/>
        <v/>
      </c>
      <c r="EV71" s="174" t="str">
        <f t="shared" si="485"/>
        <v/>
      </c>
      <c r="EW71" s="9" t="str">
        <f t="shared" si="486"/>
        <v/>
      </c>
      <c r="EX71" s="5" t="str">
        <f t="shared" si="487"/>
        <v/>
      </c>
      <c r="EY71" s="6" t="str">
        <f t="shared" si="207"/>
        <v/>
      </c>
      <c r="EZ71" s="51" t="str">
        <f t="shared" si="208"/>
        <v/>
      </c>
      <c r="FA71" s="173" t="str">
        <f t="shared" si="488"/>
        <v/>
      </c>
      <c r="FB71" s="5" t="str">
        <f t="shared" si="489"/>
        <v/>
      </c>
      <c r="FC71" s="6" t="str">
        <f t="shared" si="490"/>
        <v/>
      </c>
      <c r="FD71" s="4" t="str">
        <f t="shared" si="491"/>
        <v/>
      </c>
      <c r="FE71" s="5" t="str">
        <f t="shared" si="492"/>
        <v/>
      </c>
      <c r="FF71" s="7" t="str">
        <f t="shared" si="209"/>
        <v/>
      </c>
      <c r="FG71" s="173" t="str">
        <f t="shared" si="493"/>
        <v/>
      </c>
      <c r="FH71" s="5" t="str">
        <f t="shared" si="494"/>
        <v/>
      </c>
      <c r="FI71" s="10" t="str">
        <f t="shared" si="495"/>
        <v/>
      </c>
      <c r="FJ71" s="279" t="str">
        <f t="shared" si="211"/>
        <v/>
      </c>
      <c r="FK71" s="4" t="str">
        <f t="shared" si="496"/>
        <v/>
      </c>
      <c r="FL71" s="5" t="str">
        <f t="shared" si="212"/>
        <v/>
      </c>
      <c r="FM71" s="8" t="str">
        <f t="shared" si="213"/>
        <v/>
      </c>
      <c r="FN71" s="9" t="str">
        <f t="shared" si="214"/>
        <v/>
      </c>
      <c r="FO71" s="10" t="str">
        <f t="shared" si="497"/>
        <v/>
      </c>
      <c r="FP71" s="277" t="str">
        <f t="shared" si="498"/>
        <v/>
      </c>
      <c r="FQ71" s="173" t="str">
        <f t="shared" si="241"/>
        <v/>
      </c>
      <c r="FR71" s="10" t="str">
        <f t="shared" si="215"/>
        <v/>
      </c>
      <c r="FS71" s="9" t="str">
        <f t="shared" si="216"/>
        <v/>
      </c>
      <c r="FT71" s="6" t="str">
        <f t="shared" si="217"/>
        <v/>
      </c>
      <c r="FU71" s="4" t="str">
        <f t="shared" si="218"/>
        <v/>
      </c>
      <c r="FV71" s="5" t="str">
        <f t="shared" si="219"/>
        <v/>
      </c>
      <c r="FW71" s="8" t="str">
        <f t="shared" si="242"/>
        <v/>
      </c>
      <c r="FX71" s="9" t="str">
        <f t="shared" si="243"/>
        <v/>
      </c>
      <c r="FY71" s="10" t="str">
        <f t="shared" si="499"/>
        <v/>
      </c>
      <c r="FZ71" s="277" t="str">
        <f t="shared" si="244"/>
        <v/>
      </c>
      <c r="GA71" s="177" t="str">
        <f t="shared" si="220"/>
        <v/>
      </c>
      <c r="GB71" s="4" t="str">
        <f t="shared" si="221"/>
        <v/>
      </c>
      <c r="GC71" s="5" t="str">
        <f t="shared" si="222"/>
        <v/>
      </c>
      <c r="GD71" s="10" t="str">
        <f t="shared" si="223"/>
        <v/>
      </c>
      <c r="GE71" s="311" t="str">
        <f t="shared" si="224"/>
        <v/>
      </c>
      <c r="GF71" s="341" t="str">
        <f t="shared" si="245"/>
        <v/>
      </c>
      <c r="GG71" s="285" t="str">
        <f t="shared" si="500"/>
        <v/>
      </c>
      <c r="GH71" s="286" t="str">
        <f t="shared" si="501"/>
        <v/>
      </c>
      <c r="GI71" s="281" t="str">
        <f t="shared" si="502"/>
        <v/>
      </c>
      <c r="GJ71" s="167" t="str">
        <f t="shared" si="225"/>
        <v/>
      </c>
      <c r="GK71" s="174" t="str">
        <f t="shared" si="503"/>
        <v/>
      </c>
      <c r="GL71" s="174" t="str">
        <f t="shared" si="226"/>
        <v/>
      </c>
      <c r="GM71" s="177" t="str">
        <f t="shared" si="246"/>
        <v/>
      </c>
      <c r="GN71" s="280" t="str">
        <f t="shared" si="227"/>
        <v/>
      </c>
      <c r="GO71" s="4" t="str">
        <f t="shared" si="228"/>
        <v/>
      </c>
      <c r="GP71" s="8" t="str">
        <f t="shared" si="247"/>
        <v/>
      </c>
      <c r="GQ71" s="177" t="str">
        <f t="shared" si="229"/>
        <v/>
      </c>
      <c r="GR71" s="371" t="str">
        <f t="shared" si="248"/>
        <v/>
      </c>
      <c r="GS71" s="342" t="str">
        <f t="shared" si="504"/>
        <v/>
      </c>
      <c r="GT71" s="343" t="str">
        <f t="shared" si="505"/>
        <v/>
      </c>
      <c r="GU71" s="344" t="str">
        <f t="shared" si="506"/>
        <v/>
      </c>
      <c r="GV71" s="343" t="str">
        <f t="shared" si="251"/>
        <v/>
      </c>
      <c r="GW71" s="345" t="str">
        <f t="shared" si="507"/>
        <v/>
      </c>
      <c r="GX71" s="346" t="str">
        <f t="shared" si="508"/>
        <v/>
      </c>
      <c r="GY71" s="344" t="str">
        <f t="shared" si="509"/>
        <v/>
      </c>
      <c r="GZ71" s="345" t="str">
        <f t="shared" si="510"/>
        <v/>
      </c>
      <c r="HA71" s="342" t="str">
        <f t="shared" si="511"/>
        <v/>
      </c>
      <c r="HB71" s="5" t="str">
        <f t="shared" si="230"/>
        <v/>
      </c>
      <c r="HC71" s="343" t="str">
        <f t="shared" si="231"/>
        <v/>
      </c>
      <c r="HD71" s="363" t="str">
        <f t="shared" si="232"/>
        <v/>
      </c>
      <c r="HE71" s="344" t="str">
        <f t="shared" si="512"/>
        <v/>
      </c>
      <c r="HF71" s="5" t="str">
        <f t="shared" si="513"/>
        <v/>
      </c>
      <c r="HG71" s="343" t="str">
        <f t="shared" si="233"/>
        <v/>
      </c>
      <c r="HH71" s="349" t="str">
        <f t="shared" si="234"/>
        <v/>
      </c>
      <c r="HI71" s="317" t="str">
        <f t="shared" si="407"/>
        <v/>
      </c>
      <c r="HK71" s="310" t="str">
        <f t="shared" si="458"/>
        <v/>
      </c>
      <c r="HL71" s="348" t="str">
        <f t="shared" si="408"/>
        <v/>
      </c>
      <c r="HM71" s="923" t="str">
        <f t="shared" si="409"/>
        <v/>
      </c>
      <c r="HN71" s="924" t="str">
        <f t="shared" si="410"/>
        <v/>
      </c>
      <c r="HO71" s="925"/>
      <c r="HP71" s="926"/>
      <c r="HQ71" s="924" t="str">
        <f t="shared" si="411"/>
        <v/>
      </c>
      <c r="HR71" s="927" t="str">
        <f t="shared" si="412"/>
        <v/>
      </c>
      <c r="HS71" s="879" t="str">
        <f t="shared" si="459"/>
        <v/>
      </c>
      <c r="HT71" s="889" t="str">
        <f t="shared" si="413"/>
        <v/>
      </c>
      <c r="HU71" s="890" t="str">
        <f t="shared" si="414"/>
        <v/>
      </c>
      <c r="HV71" s="886" t="str">
        <f t="shared" si="415"/>
        <v/>
      </c>
      <c r="HW71" s="880" t="str">
        <f t="shared" si="416"/>
        <v/>
      </c>
      <c r="HX71" s="881" t="str">
        <f t="shared" si="417"/>
        <v/>
      </c>
      <c r="HY71" s="880" t="str">
        <f t="shared" si="418"/>
        <v/>
      </c>
      <c r="HZ71" s="882" t="str">
        <f t="shared" si="419"/>
        <v/>
      </c>
      <c r="IA71" s="883" t="str">
        <f t="shared" si="420"/>
        <v/>
      </c>
      <c r="IB71" s="884" t="str">
        <f t="shared" si="421"/>
        <v/>
      </c>
      <c r="IC71" s="855" t="str">
        <f t="shared" si="422"/>
        <v/>
      </c>
      <c r="ID71" s="351" t="str">
        <f t="shared" si="423"/>
        <v/>
      </c>
      <c r="IE71" s="857" t="str">
        <f t="shared" si="42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5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5"/>
        <v/>
      </c>
      <c r="IM71" s="482" t="str">
        <f t="shared" si="236"/>
        <v/>
      </c>
      <c r="IN71" s="670" t="str">
        <f t="shared" si="426"/>
        <v/>
      </c>
      <c r="IO71" s="702"/>
      <c r="IP71" s="5" t="str">
        <f t="shared" si="427"/>
        <v/>
      </c>
      <c r="IQ71" s="714"/>
      <c r="IR71" s="9" t="str">
        <f t="shared" si="428"/>
        <v/>
      </c>
      <c r="IS71" s="5" t="str">
        <f t="shared" si="429"/>
        <v/>
      </c>
      <c r="IT71" s="5" t="str">
        <f t="shared" si="430"/>
        <v/>
      </c>
      <c r="IU71" s="5" t="str">
        <f t="shared" si="431"/>
        <v/>
      </c>
      <c r="IV71" s="670" t="str">
        <f t="shared" si="432"/>
        <v/>
      </c>
      <c r="IW71" s="9" t="str">
        <f t="shared" si="433"/>
        <v/>
      </c>
      <c r="IX71" s="5" t="str">
        <f t="shared" si="434"/>
        <v/>
      </c>
      <c r="IY71" s="5" t="str">
        <f t="shared" si="435"/>
        <v/>
      </c>
      <c r="IZ71" s="5" t="str">
        <f t="shared" si="436"/>
        <v/>
      </c>
      <c r="JA71" s="705" t="str">
        <f t="shared" si="437"/>
        <v/>
      </c>
    </row>
    <row r="72" spans="1:261" ht="15" customHeight="1" x14ac:dyDescent="0.25">
      <c r="A72" s="75" t="str">
        <f t="shared" si="254"/>
        <v/>
      </c>
      <c r="B72" s="578" t="str">
        <f t="shared" si="255"/>
        <v/>
      </c>
      <c r="C72" s="572" t="str">
        <f t="shared" si="256"/>
        <v/>
      </c>
      <c r="D72" s="576" t="str">
        <f t="shared" si="257"/>
        <v/>
      </c>
      <c r="E72" s="580" t="str">
        <f t="shared" si="258"/>
        <v/>
      </c>
      <c r="F72" s="572" t="str">
        <f t="shared" si="259"/>
        <v/>
      </c>
      <c r="G72" s="579" t="str">
        <f t="shared" si="260"/>
        <v/>
      </c>
      <c r="H72" s="580" t="str">
        <f t="shared" si="261"/>
        <v/>
      </c>
      <c r="I72" s="572" t="str">
        <f t="shared" si="262"/>
        <v/>
      </c>
      <c r="J72" s="483" t="str">
        <f t="shared" si="263"/>
        <v/>
      </c>
      <c r="K72" s="806" t="str">
        <f t="shared" si="264"/>
        <v/>
      </c>
      <c r="L72" s="309"/>
      <c r="M72" s="164" t="str">
        <f t="shared" si="265"/>
        <v/>
      </c>
      <c r="N72" s="575" t="str">
        <f t="shared" si="266"/>
        <v/>
      </c>
      <c r="O72" s="572" t="str">
        <f t="shared" si="267"/>
        <v/>
      </c>
      <c r="P72" s="576" t="str">
        <f t="shared" si="268"/>
        <v/>
      </c>
      <c r="Q72" s="528" t="str">
        <f t="shared" si="138"/>
        <v/>
      </c>
      <c r="R72" s="572" t="str">
        <f t="shared" si="100"/>
        <v/>
      </c>
      <c r="S72" s="577" t="str">
        <f t="shared" si="101"/>
        <v/>
      </c>
      <c r="T72" s="578" t="str">
        <f t="shared" si="102"/>
        <v/>
      </c>
      <c r="U72" s="572" t="str">
        <f t="shared" si="103"/>
        <v/>
      </c>
      <c r="V72" s="579" t="str">
        <f t="shared" si="139"/>
        <v/>
      </c>
      <c r="W72" s="528" t="str">
        <f t="shared" si="252"/>
        <v/>
      </c>
      <c r="X72" s="572" t="str">
        <f t="shared" si="104"/>
        <v/>
      </c>
      <c r="Y72" s="573" t="str">
        <f t="shared" si="253"/>
        <v/>
      </c>
      <c r="Z72" s="575" t="str">
        <f t="shared" si="269"/>
        <v/>
      </c>
      <c r="AA72" s="572" t="str">
        <f t="shared" si="270"/>
        <v/>
      </c>
      <c r="AB72" s="572" t="str">
        <f t="shared" si="271"/>
        <v/>
      </c>
      <c r="AC72" s="579" t="str">
        <f t="shared" si="105"/>
        <v/>
      </c>
      <c r="AD72" s="580" t="str">
        <f t="shared" si="140"/>
        <v/>
      </c>
      <c r="AE72" s="572" t="str">
        <f t="shared" si="106"/>
        <v/>
      </c>
      <c r="AF72" s="576" t="str">
        <f t="shared" si="107"/>
        <v/>
      </c>
      <c r="AG72" s="545" t="str">
        <f t="shared" si="108"/>
        <v/>
      </c>
      <c r="AH72" s="546" t="str">
        <f t="shared" si="109"/>
        <v/>
      </c>
      <c r="AI72" s="528" t="str">
        <f t="shared" si="110"/>
        <v/>
      </c>
      <c r="AJ72" s="529" t="str">
        <f t="shared" si="111"/>
        <v/>
      </c>
      <c r="AK72" s="578" t="str">
        <f t="shared" si="237"/>
        <v/>
      </c>
      <c r="AL72" s="572" t="str">
        <f t="shared" si="112"/>
        <v/>
      </c>
      <c r="AM72" s="577" t="str">
        <f t="shared" si="113"/>
        <v/>
      </c>
      <c r="AN72" s="524" t="str">
        <f t="shared" si="114"/>
        <v/>
      </c>
      <c r="AO72" s="525" t="str">
        <f t="shared" si="514"/>
        <v/>
      </c>
      <c r="AP72" s="528" t="str">
        <f t="shared" si="116"/>
        <v/>
      </c>
      <c r="AQ72" s="529" t="str">
        <f t="shared" si="272"/>
        <v/>
      </c>
      <c r="AS72" s="946" t="str">
        <f t="shared" si="460"/>
        <v/>
      </c>
      <c r="AT72" s="942" t="str">
        <f t="shared" si="273"/>
        <v/>
      </c>
      <c r="AU72" s="418"/>
      <c r="AV72" s="164" t="str">
        <f t="shared" si="27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2"/>
        <v/>
      </c>
      <c r="BA72" s="296" t="str">
        <f t="shared" si="276"/>
        <v/>
      </c>
      <c r="BB72" s="177" t="str">
        <f t="shared" si="143"/>
        <v/>
      </c>
      <c r="BC72" s="9"/>
      <c r="BD72" s="5" t="str">
        <f t="shared" si="144"/>
        <v/>
      </c>
      <c r="BE72" s="6" t="str">
        <f t="shared" si="278"/>
        <v/>
      </c>
      <c r="BF72" s="4" t="str">
        <f t="shared" si="279"/>
        <v/>
      </c>
      <c r="BG72" s="5" t="str">
        <f t="shared" si="280"/>
        <v/>
      </c>
      <c r="BH72" s="10" t="str">
        <f t="shared" si="281"/>
        <v/>
      </c>
      <c r="BI72" s="9" t="str">
        <f t="shared" si="145"/>
        <v/>
      </c>
      <c r="BJ72" s="5" t="str">
        <f t="shared" si="283"/>
        <v/>
      </c>
      <c r="BK72" s="8" t="str">
        <f t="shared" si="284"/>
        <v/>
      </c>
      <c r="BL72" s="173" t="str">
        <f t="shared" si="285"/>
        <v/>
      </c>
      <c r="BM72" s="5" t="str">
        <f t="shared" si="286"/>
        <v/>
      </c>
      <c r="BN72" s="6" t="str">
        <f t="shared" si="287"/>
        <v/>
      </c>
      <c r="BO72" s="4" t="str">
        <f t="shared" si="146"/>
        <v/>
      </c>
      <c r="BP72" s="5" t="str">
        <f t="shared" si="147"/>
        <v/>
      </c>
      <c r="BQ72" s="5" t="str">
        <f t="shared" si="148"/>
        <v/>
      </c>
      <c r="BR72" s="6" t="str">
        <f t="shared" si="149"/>
        <v/>
      </c>
      <c r="BS72" s="4" t="str">
        <f t="shared" si="482"/>
        <v/>
      </c>
      <c r="BT72" s="5" t="str">
        <f t="shared" si="482"/>
        <v/>
      </c>
      <c r="BU72" s="10" t="str">
        <f t="shared" si="118"/>
        <v/>
      </c>
      <c r="BV72" s="9" t="str">
        <f t="shared" si="119"/>
        <v/>
      </c>
      <c r="BW72" s="5" t="str">
        <f t="shared" si="120"/>
        <v/>
      </c>
      <c r="BX72" s="8" t="str">
        <f t="shared" si="121"/>
        <v/>
      </c>
      <c r="BY72" s="173" t="str">
        <f t="shared" si="122"/>
        <v/>
      </c>
      <c r="BZ72" s="5" t="str">
        <f t="shared" si="123"/>
        <v/>
      </c>
      <c r="CA72" s="6" t="str">
        <f t="shared" si="124"/>
        <v/>
      </c>
      <c r="CB72" s="4" t="str">
        <f t="shared" si="150"/>
        <v/>
      </c>
      <c r="CC72" s="5" t="str">
        <f t="shared" si="151"/>
        <v/>
      </c>
      <c r="CD72" s="5" t="str">
        <f t="shared" si="152"/>
        <v/>
      </c>
      <c r="CE72" s="6" t="str">
        <f t="shared" si="153"/>
        <v/>
      </c>
      <c r="CF72" s="4" t="str">
        <f t="shared" si="154"/>
        <v/>
      </c>
      <c r="CG72" s="5" t="str">
        <f t="shared" si="155"/>
        <v/>
      </c>
      <c r="CH72" s="5" t="str">
        <f t="shared" si="156"/>
        <v/>
      </c>
      <c r="CI72" s="4" t="str">
        <f t="shared" si="125"/>
        <v/>
      </c>
      <c r="CJ72" s="5" t="str">
        <f t="shared" si="126"/>
        <v/>
      </c>
      <c r="CK72" s="8" t="str">
        <f t="shared" si="127"/>
        <v/>
      </c>
      <c r="CL72" s="173" t="str">
        <f t="shared" si="128"/>
        <v/>
      </c>
      <c r="CM72" s="5" t="str">
        <f t="shared" si="129"/>
        <v/>
      </c>
      <c r="CN72" s="6" t="str">
        <f t="shared" si="130"/>
        <v/>
      </c>
      <c r="CO72" s="167" t="str">
        <f t="shared" si="304"/>
        <v/>
      </c>
      <c r="CP72" s="4" t="str">
        <f t="shared" si="238"/>
        <v/>
      </c>
      <c r="CQ72" s="5" t="str">
        <f t="shared" si="239"/>
        <v/>
      </c>
      <c r="CR72" s="5" t="str">
        <f t="shared" si="157"/>
        <v/>
      </c>
      <c r="CS72" s="8" t="str">
        <f t="shared" si="158"/>
        <v/>
      </c>
      <c r="CT72" s="9" t="str">
        <f t="shared" si="159"/>
        <v/>
      </c>
      <c r="CU72" s="6" t="str">
        <f t="shared" si="160"/>
        <v/>
      </c>
      <c r="CV72" s="4" t="str">
        <f t="shared" si="240"/>
        <v/>
      </c>
      <c r="CW72" s="5" t="str">
        <f t="shared" si="161"/>
        <v/>
      </c>
      <c r="CX72" s="8" t="str">
        <f t="shared" si="162"/>
        <v/>
      </c>
      <c r="CY72" s="9" t="str">
        <f t="shared" si="163"/>
        <v/>
      </c>
      <c r="CZ72" s="5" t="str">
        <f t="shared" si="164"/>
        <v/>
      </c>
      <c r="DA72" s="6" t="str">
        <f t="shared" si="165"/>
        <v/>
      </c>
      <c r="DB72" s="4" t="str">
        <f t="shared" si="483"/>
        <v/>
      </c>
      <c r="DC72" s="5" t="str">
        <f t="shared" si="483"/>
        <v/>
      </c>
      <c r="DD72" s="10" t="str">
        <f t="shared" si="167"/>
        <v/>
      </c>
      <c r="DE72" s="9" t="str">
        <f t="shared" si="484"/>
        <v/>
      </c>
      <c r="DF72" s="5" t="str">
        <f t="shared" si="484"/>
        <v/>
      </c>
      <c r="DG72" s="10" t="str">
        <f t="shared" si="169"/>
        <v/>
      </c>
      <c r="DH72" s="70" t="str">
        <f t="shared" si="170"/>
        <v/>
      </c>
      <c r="DI72" s="4" t="str">
        <f t="shared" si="171"/>
        <v/>
      </c>
      <c r="DJ72" s="5" t="str">
        <f t="shared" si="172"/>
        <v/>
      </c>
      <c r="DK72" s="10" t="str">
        <f t="shared" si="173"/>
        <v/>
      </c>
      <c r="DL72" s="9" t="str">
        <f t="shared" si="174"/>
        <v/>
      </c>
      <c r="DM72" s="173" t="str">
        <f t="shared" si="175"/>
        <v/>
      </c>
      <c r="DN72" s="178" t="str">
        <f t="shared" si="176"/>
        <v/>
      </c>
      <c r="DO72" s="9" t="str">
        <f t="shared" si="177"/>
        <v/>
      </c>
      <c r="DP72" s="173" t="str">
        <f t="shared" si="178"/>
        <v/>
      </c>
      <c r="DQ72" s="11" t="str">
        <f t="shared" si="179"/>
        <v/>
      </c>
      <c r="DR72" s="173" t="str">
        <f t="shared" si="180"/>
        <v/>
      </c>
      <c r="DS72" s="5" t="str">
        <f t="shared" si="181"/>
        <v/>
      </c>
      <c r="DT72" s="5" t="str">
        <f t="shared" si="182"/>
        <v/>
      </c>
      <c r="DU72" s="5" t="str">
        <f t="shared" si="183"/>
        <v/>
      </c>
      <c r="DV72" s="5" t="str">
        <f t="shared" si="184"/>
        <v/>
      </c>
      <c r="DW72" s="5" t="str">
        <f t="shared" si="185"/>
        <v/>
      </c>
      <c r="DX72" s="167" t="str">
        <f t="shared" si="186"/>
        <v/>
      </c>
      <c r="DY72" s="9" t="str">
        <f t="shared" si="187"/>
        <v/>
      </c>
      <c r="DZ72" s="5" t="str">
        <f t="shared" si="188"/>
        <v/>
      </c>
      <c r="EA72" s="10" t="str">
        <f t="shared" si="189"/>
        <v/>
      </c>
      <c r="EB72" s="6" t="str">
        <f t="shared" si="190"/>
        <v/>
      </c>
      <c r="EC72" s="173" t="str">
        <f t="shared" si="191"/>
        <v/>
      </c>
      <c r="ED72" s="5" t="str">
        <f t="shared" si="192"/>
        <v/>
      </c>
      <c r="EE72" s="4" t="str">
        <f t="shared" si="193"/>
        <v/>
      </c>
      <c r="EF72" s="5" t="str">
        <f t="shared" si="194"/>
        <v/>
      </c>
      <c r="EG72" s="10" t="str">
        <f t="shared" si="195"/>
        <v/>
      </c>
      <c r="EH72" s="9" t="str">
        <f t="shared" si="196"/>
        <v/>
      </c>
      <c r="EI72" s="5" t="str">
        <f t="shared" si="197"/>
        <v/>
      </c>
      <c r="EJ72" s="6" t="str">
        <f t="shared" si="198"/>
        <v/>
      </c>
      <c r="EK72" s="236" t="str">
        <f t="shared" si="199"/>
        <v/>
      </c>
      <c r="EL72" s="238" t="str">
        <f t="shared" si="200"/>
        <v/>
      </c>
      <c r="EM72" s="4" t="str">
        <f t="shared" si="201"/>
        <v/>
      </c>
      <c r="EN72" s="5" t="str">
        <f t="shared" si="202"/>
        <v/>
      </c>
      <c r="EO72" s="10" t="str">
        <f t="shared" si="203"/>
        <v/>
      </c>
      <c r="EP72" s="9" t="str">
        <f t="shared" si="204"/>
        <v/>
      </c>
      <c r="EQ72" s="5" t="str">
        <f t="shared" si="205"/>
        <v/>
      </c>
      <c r="ER72" s="7" t="str">
        <f t="shared" si="206"/>
        <v/>
      </c>
      <c r="ES72" s="21" t="str">
        <f t="shared" si="351"/>
        <v/>
      </c>
      <c r="ET72" s="5" t="str">
        <f t="shared" si="352"/>
        <v/>
      </c>
      <c r="EU72" s="10" t="str">
        <f t="shared" si="353"/>
        <v/>
      </c>
      <c r="EV72" s="174" t="str">
        <f t="shared" si="485"/>
        <v/>
      </c>
      <c r="EW72" s="9" t="str">
        <f t="shared" si="486"/>
        <v/>
      </c>
      <c r="EX72" s="5" t="str">
        <f t="shared" si="487"/>
        <v/>
      </c>
      <c r="EY72" s="6" t="str">
        <f t="shared" si="207"/>
        <v/>
      </c>
      <c r="EZ72" s="51" t="str">
        <f t="shared" si="208"/>
        <v/>
      </c>
      <c r="FA72" s="173" t="str">
        <f t="shared" si="488"/>
        <v/>
      </c>
      <c r="FB72" s="5" t="str">
        <f t="shared" si="489"/>
        <v/>
      </c>
      <c r="FC72" s="6" t="str">
        <f t="shared" si="490"/>
        <v/>
      </c>
      <c r="FD72" s="4" t="str">
        <f t="shared" si="491"/>
        <v/>
      </c>
      <c r="FE72" s="5" t="str">
        <f t="shared" si="492"/>
        <v/>
      </c>
      <c r="FF72" s="7" t="str">
        <f t="shared" si="209"/>
        <v/>
      </c>
      <c r="FG72" s="173" t="str">
        <f t="shared" si="493"/>
        <v/>
      </c>
      <c r="FH72" s="5" t="str">
        <f t="shared" si="494"/>
        <v/>
      </c>
      <c r="FI72" s="10" t="str">
        <f t="shared" si="495"/>
        <v/>
      </c>
      <c r="FJ72" s="279" t="str">
        <f t="shared" si="211"/>
        <v/>
      </c>
      <c r="FK72" s="4" t="str">
        <f t="shared" si="496"/>
        <v/>
      </c>
      <c r="FL72" s="5" t="str">
        <f t="shared" si="212"/>
        <v/>
      </c>
      <c r="FM72" s="8" t="str">
        <f t="shared" si="213"/>
        <v/>
      </c>
      <c r="FN72" s="9" t="str">
        <f t="shared" si="214"/>
        <v/>
      </c>
      <c r="FO72" s="10" t="str">
        <f t="shared" si="497"/>
        <v/>
      </c>
      <c r="FP72" s="277" t="str">
        <f t="shared" si="498"/>
        <v/>
      </c>
      <c r="FQ72" s="173" t="str">
        <f t="shared" si="241"/>
        <v/>
      </c>
      <c r="FR72" s="10" t="str">
        <f t="shared" si="215"/>
        <v/>
      </c>
      <c r="FS72" s="9" t="str">
        <f t="shared" si="216"/>
        <v/>
      </c>
      <c r="FT72" s="6" t="str">
        <f t="shared" si="217"/>
        <v/>
      </c>
      <c r="FU72" s="4" t="str">
        <f t="shared" si="218"/>
        <v/>
      </c>
      <c r="FV72" s="5" t="str">
        <f t="shared" si="219"/>
        <v/>
      </c>
      <c r="FW72" s="8" t="str">
        <f t="shared" si="242"/>
        <v/>
      </c>
      <c r="FX72" s="9" t="str">
        <f t="shared" si="243"/>
        <v/>
      </c>
      <c r="FY72" s="10" t="str">
        <f t="shared" si="499"/>
        <v/>
      </c>
      <c r="FZ72" s="277" t="str">
        <f t="shared" si="244"/>
        <v/>
      </c>
      <c r="GA72" s="177" t="str">
        <f t="shared" si="220"/>
        <v/>
      </c>
      <c r="GB72" s="4" t="str">
        <f t="shared" si="221"/>
        <v/>
      </c>
      <c r="GC72" s="5" t="str">
        <f t="shared" si="222"/>
        <v/>
      </c>
      <c r="GD72" s="10" t="str">
        <f t="shared" si="223"/>
        <v/>
      </c>
      <c r="GE72" s="311" t="str">
        <f t="shared" si="224"/>
        <v/>
      </c>
      <c r="GF72" s="341" t="str">
        <f t="shared" si="245"/>
        <v/>
      </c>
      <c r="GG72" s="285" t="str">
        <f t="shared" si="500"/>
        <v/>
      </c>
      <c r="GH72" s="286" t="str">
        <f t="shared" si="501"/>
        <v/>
      </c>
      <c r="GI72" s="281" t="str">
        <f t="shared" si="502"/>
        <v/>
      </c>
      <c r="GJ72" s="167" t="str">
        <f t="shared" si="225"/>
        <v/>
      </c>
      <c r="GK72" s="174" t="str">
        <f t="shared" si="503"/>
        <v/>
      </c>
      <c r="GL72" s="174" t="str">
        <f t="shared" si="226"/>
        <v/>
      </c>
      <c r="GM72" s="177" t="str">
        <f t="shared" si="246"/>
        <v/>
      </c>
      <c r="GN72" s="280" t="str">
        <f t="shared" si="227"/>
        <v/>
      </c>
      <c r="GO72" s="4" t="str">
        <f t="shared" si="228"/>
        <v/>
      </c>
      <c r="GP72" s="8" t="str">
        <f t="shared" si="247"/>
        <v/>
      </c>
      <c r="GQ72" s="177" t="str">
        <f t="shared" si="229"/>
        <v/>
      </c>
      <c r="GR72" s="371" t="str">
        <f t="shared" si="248"/>
        <v/>
      </c>
      <c r="GS72" s="342" t="str">
        <f t="shared" si="504"/>
        <v/>
      </c>
      <c r="GT72" s="343" t="str">
        <f t="shared" si="505"/>
        <v/>
      </c>
      <c r="GU72" s="344" t="str">
        <f t="shared" si="506"/>
        <v/>
      </c>
      <c r="GV72" s="343" t="str">
        <f t="shared" si="251"/>
        <v/>
      </c>
      <c r="GW72" s="345" t="str">
        <f t="shared" si="507"/>
        <v/>
      </c>
      <c r="GX72" s="346" t="str">
        <f t="shared" si="508"/>
        <v/>
      </c>
      <c r="GY72" s="344" t="str">
        <f t="shared" si="509"/>
        <v/>
      </c>
      <c r="GZ72" s="345" t="str">
        <f t="shared" si="510"/>
        <v/>
      </c>
      <c r="HA72" s="342" t="str">
        <f t="shared" si="511"/>
        <v/>
      </c>
      <c r="HB72" s="5" t="str">
        <f t="shared" si="230"/>
        <v/>
      </c>
      <c r="HC72" s="343" t="str">
        <f t="shared" si="231"/>
        <v/>
      </c>
      <c r="HD72" s="363" t="str">
        <f t="shared" si="232"/>
        <v/>
      </c>
      <c r="HE72" s="344" t="str">
        <f t="shared" si="512"/>
        <v/>
      </c>
      <c r="HF72" s="5" t="str">
        <f t="shared" si="513"/>
        <v/>
      </c>
      <c r="HG72" s="343" t="str">
        <f t="shared" si="233"/>
        <v/>
      </c>
      <c r="HH72" s="349" t="str">
        <f t="shared" si="234"/>
        <v/>
      </c>
      <c r="HI72" s="317" t="str">
        <f t="shared" si="407"/>
        <v/>
      </c>
      <c r="HK72" s="310" t="str">
        <f t="shared" si="458"/>
        <v/>
      </c>
      <c r="HL72" s="348" t="str">
        <f t="shared" si="408"/>
        <v/>
      </c>
      <c r="HM72" s="923" t="str">
        <f t="shared" si="409"/>
        <v/>
      </c>
      <c r="HN72" s="924" t="str">
        <f t="shared" si="410"/>
        <v/>
      </c>
      <c r="HO72" s="925"/>
      <c r="HP72" s="926"/>
      <c r="HQ72" s="924" t="str">
        <f t="shared" si="411"/>
        <v/>
      </c>
      <c r="HR72" s="927" t="str">
        <f t="shared" si="412"/>
        <v/>
      </c>
      <c r="HS72" s="879" t="str">
        <f t="shared" si="459"/>
        <v/>
      </c>
      <c r="HT72" s="889" t="str">
        <f t="shared" si="413"/>
        <v/>
      </c>
      <c r="HU72" s="890" t="str">
        <f t="shared" si="414"/>
        <v/>
      </c>
      <c r="HV72" s="886" t="str">
        <f t="shared" si="415"/>
        <v/>
      </c>
      <c r="HW72" s="880" t="str">
        <f t="shared" si="416"/>
        <v/>
      </c>
      <c r="HX72" s="881" t="str">
        <f t="shared" si="417"/>
        <v/>
      </c>
      <c r="HY72" s="880" t="str">
        <f t="shared" si="418"/>
        <v/>
      </c>
      <c r="HZ72" s="882" t="str">
        <f t="shared" si="419"/>
        <v/>
      </c>
      <c r="IA72" s="883" t="str">
        <f t="shared" si="420"/>
        <v/>
      </c>
      <c r="IB72" s="884" t="str">
        <f t="shared" si="421"/>
        <v/>
      </c>
      <c r="IC72" s="855" t="str">
        <f t="shared" si="422"/>
        <v/>
      </c>
      <c r="ID72" s="351" t="str">
        <f t="shared" si="423"/>
        <v/>
      </c>
      <c r="IE72" s="857" t="str">
        <f t="shared" si="42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5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5"/>
        <v/>
      </c>
      <c r="IM72" s="482" t="str">
        <f t="shared" si="236"/>
        <v/>
      </c>
      <c r="IN72" s="670" t="str">
        <f t="shared" si="426"/>
        <v/>
      </c>
      <c r="IO72" s="702"/>
      <c r="IP72" s="5" t="str">
        <f t="shared" si="427"/>
        <v/>
      </c>
      <c r="IQ72" s="714"/>
      <c r="IR72" s="9" t="str">
        <f t="shared" si="428"/>
        <v/>
      </c>
      <c r="IS72" s="5" t="str">
        <f t="shared" si="429"/>
        <v/>
      </c>
      <c r="IT72" s="5" t="str">
        <f t="shared" si="430"/>
        <v/>
      </c>
      <c r="IU72" s="5" t="str">
        <f t="shared" si="431"/>
        <v/>
      </c>
      <c r="IV72" s="670" t="str">
        <f t="shared" si="432"/>
        <v/>
      </c>
      <c r="IW72" s="9" t="str">
        <f t="shared" si="433"/>
        <v/>
      </c>
      <c r="IX72" s="5" t="str">
        <f t="shared" si="434"/>
        <v/>
      </c>
      <c r="IY72" s="5" t="str">
        <f t="shared" si="435"/>
        <v/>
      </c>
      <c r="IZ72" s="5" t="str">
        <f t="shared" si="436"/>
        <v/>
      </c>
      <c r="JA72" s="705" t="str">
        <f t="shared" si="437"/>
        <v/>
      </c>
    </row>
    <row r="73" spans="1:261" ht="15" customHeight="1" x14ac:dyDescent="0.25">
      <c r="A73" s="75" t="str">
        <f t="shared" ref="A73:A104" si="515">IF($K73="","",IF(AND($A$8="Y",ISNUMBER($K73)),$A$5,0))</f>
        <v/>
      </c>
      <c r="B73" s="578" t="str">
        <f t="shared" ref="B73:B104" si="516">IFERROR(Q228+($A73*-E73),"")</f>
        <v/>
      </c>
      <c r="C73" s="572" t="str">
        <f t="shared" ref="C73:C104" si="517">IFERROR(R228+($A73*-F73),"")</f>
        <v/>
      </c>
      <c r="D73" s="576" t="str">
        <f t="shared" ref="D73:D104" si="518">IFERROR(S228+($A73*-G73),"")</f>
        <v/>
      </c>
      <c r="E73" s="580" t="str">
        <f t="shared" ref="E73:E104" si="519">T228</f>
        <v/>
      </c>
      <c r="F73" s="572" t="str">
        <f t="shared" ref="F73:F104" si="520">U228</f>
        <v/>
      </c>
      <c r="G73" s="579" t="str">
        <f t="shared" ref="G73:G104" si="521">V228</f>
        <v/>
      </c>
      <c r="H73" s="580" t="str">
        <f t="shared" ref="H73:H104" si="522">W228</f>
        <v/>
      </c>
      <c r="I73" s="572" t="str">
        <f t="shared" ref="I73:I104" si="523">X228</f>
        <v/>
      </c>
      <c r="J73" s="483" t="str">
        <f t="shared" ref="J73:J104" si="524">IF(Y228=0,"",Y228)</f>
        <v/>
      </c>
      <c r="K73" s="806" t="str">
        <f t="shared" ref="K73:K104" si="525">Z228</f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38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2"/>
        <v/>
      </c>
      <c r="X73" s="572" t="str">
        <f>IF(M73="","",R73)</f>
        <v/>
      </c>
      <c r="Y73" s="573" t="str">
        <f t="shared" si="253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14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46" t="str">
        <f t="shared" si="460"/>
        <v/>
      </c>
      <c r="AT73" s="942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2"/>
        <v/>
      </c>
      <c r="BA73" s="296" t="str">
        <f t="shared" ref="BA73:BA104" si="536">IF(ISNUMBER(AV73),AZ73/$AZ$151,"")</f>
        <v/>
      </c>
      <c r="BB73" s="177" t="str">
        <f t="shared" si="143"/>
        <v/>
      </c>
      <c r="BC73" s="9"/>
      <c r="BD73" s="5" t="str">
        <f t="shared" si="144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5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6"/>
        <v/>
      </c>
      <c r="BP73" s="5" t="str">
        <f t="shared" si="147"/>
        <v/>
      </c>
      <c r="BQ73" s="5" t="str">
        <f t="shared" si="148"/>
        <v/>
      </c>
      <c r="BR73" s="6" t="str">
        <f t="shared" si="149"/>
        <v/>
      </c>
      <c r="BS73" s="4" t="str">
        <f t="shared" si="482"/>
        <v/>
      </c>
      <c r="BT73" s="5" t="str">
        <f t="shared" si="482"/>
        <v/>
      </c>
      <c r="BU73" s="10" t="str">
        <f t="shared" si="118"/>
        <v/>
      </c>
      <c r="BV73" s="9" t="str">
        <f t="shared" si="119"/>
        <v/>
      </c>
      <c r="BW73" s="5" t="str">
        <f t="shared" si="120"/>
        <v/>
      </c>
      <c r="BX73" s="8" t="str">
        <f t="shared" si="121"/>
        <v/>
      </c>
      <c r="BY73" s="173" t="str">
        <f t="shared" si="122"/>
        <v/>
      </c>
      <c r="BZ73" s="5" t="str">
        <f t="shared" si="123"/>
        <v/>
      </c>
      <c r="CA73" s="6" t="str">
        <f t="shared" si="124"/>
        <v/>
      </c>
      <c r="CB73" s="4" t="str">
        <f t="shared" si="150"/>
        <v/>
      </c>
      <c r="CC73" s="5" t="str">
        <f t="shared" si="151"/>
        <v/>
      </c>
      <c r="CD73" s="5" t="str">
        <f t="shared" si="152"/>
        <v/>
      </c>
      <c r="CE73" s="6" t="str">
        <f t="shared" si="153"/>
        <v/>
      </c>
      <c r="CF73" s="4" t="str">
        <f t="shared" si="154"/>
        <v/>
      </c>
      <c r="CG73" s="5" t="str">
        <f t="shared" si="155"/>
        <v/>
      </c>
      <c r="CH73" s="5" t="str">
        <f t="shared" si="156"/>
        <v/>
      </c>
      <c r="CI73" s="4" t="str">
        <f t="shared" si="125"/>
        <v/>
      </c>
      <c r="CJ73" s="5" t="str">
        <f t="shared" si="126"/>
        <v/>
      </c>
      <c r="CK73" s="8" t="str">
        <f t="shared" si="127"/>
        <v/>
      </c>
      <c r="CL73" s="173" t="str">
        <f t="shared" si="128"/>
        <v/>
      </c>
      <c r="CM73" s="5" t="str">
        <f t="shared" si="129"/>
        <v/>
      </c>
      <c r="CN73" s="6" t="str">
        <f t="shared" si="130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8"/>
        <v/>
      </c>
      <c r="CQ73" s="5" t="str">
        <f t="shared" si="239"/>
        <v/>
      </c>
      <c r="CR73" s="5" t="str">
        <f t="shared" si="157"/>
        <v/>
      </c>
      <c r="CS73" s="8" t="str">
        <f t="shared" si="158"/>
        <v/>
      </c>
      <c r="CT73" s="9" t="str">
        <f t="shared" si="159"/>
        <v/>
      </c>
      <c r="CU73" s="6" t="str">
        <f t="shared" si="160"/>
        <v/>
      </c>
      <c r="CV73" s="4" t="str">
        <f t="shared" si="240"/>
        <v/>
      </c>
      <c r="CW73" s="5" t="str">
        <f t="shared" si="161"/>
        <v/>
      </c>
      <c r="CX73" s="8" t="str">
        <f t="shared" si="162"/>
        <v/>
      </c>
      <c r="CY73" s="9" t="str">
        <f t="shared" si="163"/>
        <v/>
      </c>
      <c r="CZ73" s="5" t="str">
        <f t="shared" si="164"/>
        <v/>
      </c>
      <c r="DA73" s="6" t="str">
        <f t="shared" si="165"/>
        <v/>
      </c>
      <c r="DB73" s="4" t="str">
        <f t="shared" si="483"/>
        <v/>
      </c>
      <c r="DC73" s="5" t="str">
        <f t="shared" si="483"/>
        <v/>
      </c>
      <c r="DD73" s="10" t="str">
        <f t="shared" si="167"/>
        <v/>
      </c>
      <c r="DE73" s="9" t="str">
        <f t="shared" si="484"/>
        <v/>
      </c>
      <c r="DF73" s="5" t="str">
        <f t="shared" si="484"/>
        <v/>
      </c>
      <c r="DG73" s="10" t="str">
        <f t="shared" si="169"/>
        <v/>
      </c>
      <c r="DH73" s="70" t="str">
        <f t="shared" si="170"/>
        <v/>
      </c>
      <c r="DI73" s="4" t="str">
        <f t="shared" si="171"/>
        <v/>
      </c>
      <c r="DJ73" s="5" t="str">
        <f t="shared" si="172"/>
        <v/>
      </c>
      <c r="DK73" s="10" t="str">
        <f t="shared" si="173"/>
        <v/>
      </c>
      <c r="DL73" s="9" t="str">
        <f t="shared" si="174"/>
        <v/>
      </c>
      <c r="DM73" s="173" t="str">
        <f t="shared" si="175"/>
        <v/>
      </c>
      <c r="DN73" s="178" t="str">
        <f t="shared" si="176"/>
        <v/>
      </c>
      <c r="DO73" s="9" t="str">
        <f t="shared" si="177"/>
        <v/>
      </c>
      <c r="DP73" s="173" t="str">
        <f t="shared" si="178"/>
        <v/>
      </c>
      <c r="DQ73" s="11" t="str">
        <f t="shared" si="179"/>
        <v/>
      </c>
      <c r="DR73" s="173" t="str">
        <f t="shared" si="180"/>
        <v/>
      </c>
      <c r="DS73" s="5" t="str">
        <f t="shared" si="181"/>
        <v/>
      </c>
      <c r="DT73" s="5" t="str">
        <f t="shared" si="182"/>
        <v/>
      </c>
      <c r="DU73" s="5" t="str">
        <f t="shared" si="183"/>
        <v/>
      </c>
      <c r="DV73" s="5" t="str">
        <f t="shared" si="184"/>
        <v/>
      </c>
      <c r="DW73" s="5" t="str">
        <f t="shared" si="185"/>
        <v/>
      </c>
      <c r="DX73" s="167" t="str">
        <f t="shared" si="186"/>
        <v/>
      </c>
      <c r="DY73" s="9" t="str">
        <f t="shared" si="187"/>
        <v/>
      </c>
      <c r="DZ73" s="5" t="str">
        <f t="shared" si="188"/>
        <v/>
      </c>
      <c r="EA73" s="10" t="str">
        <f t="shared" si="189"/>
        <v/>
      </c>
      <c r="EB73" s="6" t="str">
        <f t="shared" si="190"/>
        <v/>
      </c>
      <c r="EC73" s="173" t="str">
        <f t="shared" si="191"/>
        <v/>
      </c>
      <c r="ED73" s="5" t="str">
        <f t="shared" si="192"/>
        <v/>
      </c>
      <c r="EE73" s="4" t="str">
        <f t="shared" si="193"/>
        <v/>
      </c>
      <c r="EF73" s="5" t="str">
        <f t="shared" si="194"/>
        <v/>
      </c>
      <c r="EG73" s="10" t="str">
        <f t="shared" si="195"/>
        <v/>
      </c>
      <c r="EH73" s="9" t="str">
        <f t="shared" si="196"/>
        <v/>
      </c>
      <c r="EI73" s="5" t="str">
        <f t="shared" si="197"/>
        <v/>
      </c>
      <c r="EJ73" s="6" t="str">
        <f t="shared" si="198"/>
        <v/>
      </c>
      <c r="EK73" s="236" t="str">
        <f t="shared" si="199"/>
        <v/>
      </c>
      <c r="EL73" s="238" t="str">
        <f t="shared" si="200"/>
        <v/>
      </c>
      <c r="EM73" s="4" t="str">
        <f t="shared" si="201"/>
        <v/>
      </c>
      <c r="EN73" s="5" t="str">
        <f t="shared" si="202"/>
        <v/>
      </c>
      <c r="EO73" s="10" t="str">
        <f t="shared" si="203"/>
        <v/>
      </c>
      <c r="EP73" s="9" t="str">
        <f t="shared" si="204"/>
        <v/>
      </c>
      <c r="EQ73" s="5" t="str">
        <f t="shared" si="205"/>
        <v/>
      </c>
      <c r="ER73" s="7" t="str">
        <f t="shared" si="206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7"/>
        <v/>
      </c>
      <c r="EZ73" s="51" t="str">
        <f t="shared" si="208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09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1"/>
        <v/>
      </c>
      <c r="FK73" s="4" t="str">
        <f t="shared" ref="FK73:FK104" si="561">IF(ISNUMBER($AV73),SQRT(ES73^2+ET73^2),"")</f>
        <v/>
      </c>
      <c r="FL73" s="5" t="str">
        <f t="shared" si="212"/>
        <v/>
      </c>
      <c r="FM73" s="8" t="str">
        <f t="shared" si="213"/>
        <v/>
      </c>
      <c r="FN73" s="9" t="str">
        <f t="shared" si="214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1"/>
        <v/>
      </c>
      <c r="FR73" s="10" t="str">
        <f t="shared" si="215"/>
        <v/>
      </c>
      <c r="FS73" s="9" t="str">
        <f t="shared" si="216"/>
        <v/>
      </c>
      <c r="FT73" s="6" t="str">
        <f t="shared" si="217"/>
        <v/>
      </c>
      <c r="FU73" s="4" t="str">
        <f t="shared" si="218"/>
        <v/>
      </c>
      <c r="FV73" s="5" t="str">
        <f t="shared" si="219"/>
        <v/>
      </c>
      <c r="FW73" s="8" t="str">
        <f t="shared" si="242"/>
        <v/>
      </c>
      <c r="FX73" s="9" t="str">
        <f t="shared" si="243"/>
        <v/>
      </c>
      <c r="FY73" s="10" t="str">
        <f t="shared" ref="FY73:FY104" si="563">IF(ISNUMBER($AV73),IF(EU73&lt;FC73,1,-1),"")</f>
        <v/>
      </c>
      <c r="FZ73" s="277" t="str">
        <f t="shared" si="244"/>
        <v/>
      </c>
      <c r="GA73" s="177" t="str">
        <f t="shared" si="220"/>
        <v/>
      </c>
      <c r="GB73" s="4" t="str">
        <f t="shared" si="221"/>
        <v/>
      </c>
      <c r="GC73" s="5" t="str">
        <f t="shared" si="222"/>
        <v/>
      </c>
      <c r="GD73" s="10" t="str">
        <f t="shared" si="223"/>
        <v/>
      </c>
      <c r="GE73" s="311" t="str">
        <f t="shared" si="224"/>
        <v/>
      </c>
      <c r="GF73" s="341" t="str">
        <f t="shared" si="245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5"/>
        <v/>
      </c>
      <c r="GK73" s="174" t="str">
        <f t="shared" ref="GK73:GK104" si="567">IF(ISNUMBER($AV73),SQRT((2*PI()*$GJ73)^2+$AS$5^2)/12,"")</f>
        <v/>
      </c>
      <c r="GL73" s="174" t="str">
        <f t="shared" si="226"/>
        <v/>
      </c>
      <c r="GM73" s="177" t="str">
        <f t="shared" si="246"/>
        <v/>
      </c>
      <c r="GN73" s="280" t="str">
        <f t="shared" si="227"/>
        <v/>
      </c>
      <c r="GO73" s="4" t="str">
        <f t="shared" si="228"/>
        <v/>
      </c>
      <c r="GP73" s="8" t="str">
        <f t="shared" si="247"/>
        <v/>
      </c>
      <c r="GQ73" s="177" t="str">
        <f t="shared" si="229"/>
        <v/>
      </c>
      <c r="GR73" s="371" t="str">
        <f t="shared" si="248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1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0"/>
        <v/>
      </c>
      <c r="HC73" s="343" t="str">
        <f t="shared" si="231"/>
        <v/>
      </c>
      <c r="HD73" s="363" t="str">
        <f t="shared" si="232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3"/>
        <v/>
      </c>
      <c r="HH73" s="349" t="str">
        <f t="shared" si="234"/>
        <v/>
      </c>
      <c r="HI73" s="317" t="str">
        <f t="shared" ref="HI73:HI104" si="578">IF(ISNUMBER($AV73),$M73,"")</f>
        <v/>
      </c>
      <c r="HK73" s="310" t="str">
        <f t="shared" si="458"/>
        <v/>
      </c>
      <c r="HL73" s="348" t="str">
        <f t="shared" ref="HL73:HL104" si="579">IF(ISNUMBER($HS73),INDEX(HI$9:HI$150,MATCH($HS73,$GJ$9:$GJ$150,0)),"")</f>
        <v/>
      </c>
      <c r="HM73" s="923" t="str">
        <f t="shared" ref="HM73:HM104" si="580">IF(ISNUMBER($HL73),INDEX(GO$9:GO$150,MATCH($HL73,$AV$9:$AV$150,0)),"")</f>
        <v/>
      </c>
      <c r="HN73" s="924" t="str">
        <f t="shared" ref="HN73:HN104" si="581">IF(ISNUMBER($HL73),INDEX(AO$9:AO$150,MATCH($HL73,$AV$9:$AV$150,0)),"")</f>
        <v/>
      </c>
      <c r="HO73" s="925"/>
      <c r="HP73" s="926"/>
      <c r="HQ73" s="924" t="str">
        <f t="shared" ref="HQ73:HQ104" si="582">IF(ISNUMBER($HL73),INDEX(GQ$9:GQ$150,MATCH($HL73,$AV$9:$AV$150,0)),"")</f>
        <v/>
      </c>
      <c r="HR73" s="927" t="str">
        <f t="shared" ref="HR73:HR104" si="583">IF(ISNUMBER($HL73),INDEX(GP$9:GP$150,MATCH($HL73,$AV$9:$AV$150,0)),"")</f>
        <v/>
      </c>
      <c r="HS73" s="879" t="str">
        <f t="shared" si="459"/>
        <v/>
      </c>
      <c r="HT73" s="889" t="str">
        <f t="shared" ref="HT73:HT104" si="584">IF(ISNUMBER($HL73),INDEX(GL$9:GL$150,MATCH($HL73,$AV$9:$AV$150,0)),"")</f>
        <v/>
      </c>
      <c r="HU73" s="890" t="str">
        <f t="shared" ref="HU73:HU104" si="585">IF(ISNUMBER($HL73),INDEX(GM$9:GM$150,MATCH($HL73,$AV$9:$AV$150,0)),"")</f>
        <v/>
      </c>
      <c r="HV73" s="886" t="str">
        <f t="shared" ref="HV73:HV104" si="586">IF(ISNUMBER($HL73),INDEX(GN$9:GN$150,MATCH($HL73,$AV$9:$AV$150,0)),"")</f>
        <v/>
      </c>
      <c r="HW73" s="880" t="str">
        <f t="shared" ref="HW73:HW104" si="587">IF(ISNUMBER($HL73),INDEX(GW$9:GW$150,MATCH($HL73,$AV$9:$AV$150,0)),"")</f>
        <v/>
      </c>
      <c r="HX73" s="881" t="str">
        <f t="shared" ref="HX73:HX104" si="588">IF(ISNUMBER($HL73),INDEX(GX$9:GX$150,MATCH($HL73,$AV$9:$AV$150,0)),"")</f>
        <v/>
      </c>
      <c r="HY73" s="880" t="str">
        <f t="shared" ref="HY73:HY104" si="589">IF(ISNUMBER($HL73),INDEX(GS$9:GS$150,MATCH($HL73,$AV$9:$AV$150,0)),"")</f>
        <v/>
      </c>
      <c r="HZ73" s="882" t="str">
        <f t="shared" ref="HZ73:HZ104" si="590">IF(ISNUMBER($HL73),INDEX(GU$9:GU$150,MATCH($HL73,$AV$9:$AV$150,0)),"")</f>
        <v/>
      </c>
      <c r="IA73" s="883" t="str">
        <f t="shared" ref="IA73:IA104" si="591">IF(ISNUMBER($HL73),INDEX(GY$9:GY$150,MATCH($HL73,$AV$9:$AV$150,0)),"")</f>
        <v/>
      </c>
      <c r="IB73" s="884" t="str">
        <f t="shared" ref="IB73:IB104" si="592">IF(ISNUMBER($HL73),INDEX(GR$9:GR$150,MATCH($HL73,$AV$9:$AV$150,0)),"")</f>
        <v/>
      </c>
      <c r="IC73" s="855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57" t="str">
        <f t="shared" ref="IE73:IE104" si="595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5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6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515"/>
        <v/>
      </c>
      <c r="B74" s="578" t="str">
        <f t="shared" si="516"/>
        <v/>
      </c>
      <c r="C74" s="572" t="str">
        <f t="shared" si="517"/>
        <v/>
      </c>
      <c r="D74" s="576" t="str">
        <f t="shared" si="518"/>
        <v/>
      </c>
      <c r="E74" s="580" t="str">
        <f t="shared" si="519"/>
        <v/>
      </c>
      <c r="F74" s="572" t="str">
        <f t="shared" si="520"/>
        <v/>
      </c>
      <c r="G74" s="579" t="str">
        <f t="shared" si="521"/>
        <v/>
      </c>
      <c r="H74" s="580" t="str">
        <f t="shared" si="522"/>
        <v/>
      </c>
      <c r="I74" s="572" t="str">
        <f t="shared" si="523"/>
        <v/>
      </c>
      <c r="J74" s="483" t="str">
        <f t="shared" si="524"/>
        <v/>
      </c>
      <c r="K74" s="806" t="str">
        <f t="shared" si="525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2"/>
        <v/>
      </c>
      <c r="X74" s="572" t="str">
        <f>IF(M74="","",R74)</f>
        <v/>
      </c>
      <c r="Y74" s="573" t="str">
        <f t="shared" si="253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14"/>
        <v/>
      </c>
      <c r="AP74" s="528" t="str">
        <f>IF(M74="","",DEGREES(ATAN2(AK74,AL74)))</f>
        <v/>
      </c>
      <c r="AQ74" s="529" t="str">
        <f t="shared" si="533"/>
        <v/>
      </c>
      <c r="AS74" s="946" t="str">
        <f t="shared" si="460"/>
        <v/>
      </c>
      <c r="AT74" s="942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2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5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6"/>
        <v/>
      </c>
      <c r="BP74" s="5" t="str">
        <f t="shared" si="147"/>
        <v/>
      </c>
      <c r="BQ74" s="5" t="str">
        <f t="shared" si="148"/>
        <v/>
      </c>
      <c r="BR74" s="6" t="str">
        <f t="shared" si="149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0"/>
        <v/>
      </c>
      <c r="CC74" s="5" t="str">
        <f t="shared" si="151"/>
        <v/>
      </c>
      <c r="CD74" s="5" t="str">
        <f t="shared" si="152"/>
        <v/>
      </c>
      <c r="CE74" s="6" t="str">
        <f t="shared" si="153"/>
        <v/>
      </c>
      <c r="CF74" s="4" t="str">
        <f t="shared" si="154"/>
        <v/>
      </c>
      <c r="CG74" s="5" t="str">
        <f t="shared" si="155"/>
        <v/>
      </c>
      <c r="CH74" s="5" t="str">
        <f t="shared" si="156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38"/>
        <v/>
      </c>
      <c r="CQ74" s="5" t="str">
        <f t="shared" si="239"/>
        <v/>
      </c>
      <c r="CR74" s="5" t="str">
        <f t="shared" si="157"/>
        <v/>
      </c>
      <c r="CS74" s="8" t="str">
        <f t="shared" si="158"/>
        <v/>
      </c>
      <c r="CT74" s="9" t="str">
        <f t="shared" si="159"/>
        <v/>
      </c>
      <c r="CU74" s="6" t="str">
        <f t="shared" si="160"/>
        <v/>
      </c>
      <c r="CV74" s="4" t="str">
        <f t="shared" si="240"/>
        <v/>
      </c>
      <c r="CW74" s="5" t="str">
        <f t="shared" si="161"/>
        <v/>
      </c>
      <c r="CX74" s="8" t="str">
        <f t="shared" si="162"/>
        <v/>
      </c>
      <c r="CY74" s="9" t="str">
        <f t="shared" si="163"/>
        <v/>
      </c>
      <c r="CZ74" s="5" t="str">
        <f t="shared" si="164"/>
        <v/>
      </c>
      <c r="DA74" s="6" t="str">
        <f t="shared" si="165"/>
        <v/>
      </c>
      <c r="DB74" s="4" t="str">
        <f t="shared" si="483"/>
        <v/>
      </c>
      <c r="DC74" s="5" t="str">
        <f t="shared" si="483"/>
        <v/>
      </c>
      <c r="DD74" s="10" t="str">
        <f t="shared" si="167"/>
        <v/>
      </c>
      <c r="DE74" s="9" t="str">
        <f t="shared" si="484"/>
        <v/>
      </c>
      <c r="DF74" s="5" t="str">
        <f t="shared" si="484"/>
        <v/>
      </c>
      <c r="DG74" s="10" t="str">
        <f t="shared" si="169"/>
        <v/>
      </c>
      <c r="DH74" s="70" t="str">
        <f t="shared" si="170"/>
        <v/>
      </c>
      <c r="DI74" s="4" t="str">
        <f t="shared" si="171"/>
        <v/>
      </c>
      <c r="DJ74" s="5" t="str">
        <f t="shared" si="172"/>
        <v/>
      </c>
      <c r="DK74" s="10" t="str">
        <f t="shared" si="173"/>
        <v/>
      </c>
      <c r="DL74" s="9" t="str">
        <f t="shared" si="174"/>
        <v/>
      </c>
      <c r="DM74" s="173" t="str">
        <f t="shared" si="175"/>
        <v/>
      </c>
      <c r="DN74" s="178" t="str">
        <f t="shared" si="176"/>
        <v/>
      </c>
      <c r="DO74" s="9" t="str">
        <f t="shared" si="177"/>
        <v/>
      </c>
      <c r="DP74" s="173" t="str">
        <f t="shared" si="178"/>
        <v/>
      </c>
      <c r="DQ74" s="11" t="str">
        <f t="shared" si="179"/>
        <v/>
      </c>
      <c r="DR74" s="173" t="str">
        <f t="shared" si="180"/>
        <v/>
      </c>
      <c r="DS74" s="5" t="str">
        <f t="shared" si="181"/>
        <v/>
      </c>
      <c r="DT74" s="5" t="str">
        <f t="shared" si="182"/>
        <v/>
      </c>
      <c r="DU74" s="5" t="str">
        <f t="shared" si="183"/>
        <v/>
      </c>
      <c r="DV74" s="5" t="str">
        <f t="shared" si="184"/>
        <v/>
      </c>
      <c r="DW74" s="5" t="str">
        <f t="shared" si="185"/>
        <v/>
      </c>
      <c r="DX74" s="167" t="str">
        <f t="shared" si="186"/>
        <v/>
      </c>
      <c r="DY74" s="9" t="str">
        <f t="shared" si="187"/>
        <v/>
      </c>
      <c r="DZ74" s="5" t="str">
        <f t="shared" si="188"/>
        <v/>
      </c>
      <c r="EA74" s="10" t="str">
        <f t="shared" si="189"/>
        <v/>
      </c>
      <c r="EB74" s="6" t="str">
        <f t="shared" si="190"/>
        <v/>
      </c>
      <c r="EC74" s="173" t="str">
        <f t="shared" si="191"/>
        <v/>
      </c>
      <c r="ED74" s="5" t="str">
        <f t="shared" si="192"/>
        <v/>
      </c>
      <c r="EE74" s="4" t="str">
        <f t="shared" si="193"/>
        <v/>
      </c>
      <c r="EF74" s="5" t="str">
        <f t="shared" si="194"/>
        <v/>
      </c>
      <c r="EG74" s="10" t="str">
        <f t="shared" si="195"/>
        <v/>
      </c>
      <c r="EH74" s="9" t="str">
        <f t="shared" si="196"/>
        <v/>
      </c>
      <c r="EI74" s="5" t="str">
        <f t="shared" si="197"/>
        <v/>
      </c>
      <c r="EJ74" s="6" t="str">
        <f t="shared" si="198"/>
        <v/>
      </c>
      <c r="EK74" s="236" t="str">
        <f t="shared" si="199"/>
        <v/>
      </c>
      <c r="EL74" s="238" t="str">
        <f t="shared" si="200"/>
        <v/>
      </c>
      <c r="EM74" s="4" t="str">
        <f t="shared" si="201"/>
        <v/>
      </c>
      <c r="EN74" s="5" t="str">
        <f t="shared" si="202"/>
        <v/>
      </c>
      <c r="EO74" s="10" t="str">
        <f t="shared" si="203"/>
        <v/>
      </c>
      <c r="EP74" s="9" t="str">
        <f t="shared" si="204"/>
        <v/>
      </c>
      <c r="EQ74" s="5" t="str">
        <f t="shared" si="205"/>
        <v/>
      </c>
      <c r="ER74" s="7" t="str">
        <f t="shared" si="206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7"/>
        <v/>
      </c>
      <c r="EZ74" s="51" t="str">
        <f t="shared" si="208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09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1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1"/>
        <v/>
      </c>
      <c r="FR74" s="10" t="str">
        <f t="shared" si="215"/>
        <v/>
      </c>
      <c r="FS74" s="9" t="str">
        <f t="shared" si="216"/>
        <v/>
      </c>
      <c r="FT74" s="6" t="str">
        <f t="shared" si="217"/>
        <v/>
      </c>
      <c r="FU74" s="4" t="str">
        <f t="shared" si="218"/>
        <v/>
      </c>
      <c r="FV74" s="5" t="str">
        <f t="shared" si="219"/>
        <v/>
      </c>
      <c r="FW74" s="8" t="str">
        <f t="shared" si="242"/>
        <v/>
      </c>
      <c r="FX74" s="9" t="str">
        <f t="shared" si="243"/>
        <v/>
      </c>
      <c r="FY74" s="10" t="str">
        <f t="shared" si="563"/>
        <v/>
      </c>
      <c r="FZ74" s="277" t="str">
        <f t="shared" si="244"/>
        <v/>
      </c>
      <c r="GA74" s="177" t="str">
        <f t="shared" si="220"/>
        <v/>
      </c>
      <c r="GB74" s="4" t="str">
        <f t="shared" si="221"/>
        <v/>
      </c>
      <c r="GC74" s="5" t="str">
        <f t="shared" si="222"/>
        <v/>
      </c>
      <c r="GD74" s="10" t="str">
        <f t="shared" si="223"/>
        <v/>
      </c>
      <c r="GE74" s="311" t="str">
        <f t="shared" si="224"/>
        <v/>
      </c>
      <c r="GF74" s="341" t="str">
        <f t="shared" si="245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5"/>
        <v/>
      </c>
      <c r="GK74" s="174" t="str">
        <f t="shared" si="567"/>
        <v/>
      </c>
      <c r="GL74" s="174" t="str">
        <f t="shared" si="226"/>
        <v/>
      </c>
      <c r="GM74" s="177" t="str">
        <f t="shared" si="246"/>
        <v/>
      </c>
      <c r="GN74" s="280" t="str">
        <f t="shared" si="227"/>
        <v/>
      </c>
      <c r="GO74" s="4" t="str">
        <f t="shared" si="228"/>
        <v/>
      </c>
      <c r="GP74" s="8" t="str">
        <f t="shared" si="247"/>
        <v/>
      </c>
      <c r="GQ74" s="177" t="str">
        <f t="shared" si="229"/>
        <v/>
      </c>
      <c r="GR74" s="371" t="str">
        <f t="shared" si="248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1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0"/>
        <v/>
      </c>
      <c r="HC74" s="343" t="str">
        <f t="shared" si="231"/>
        <v/>
      </c>
      <c r="HD74" s="363" t="str">
        <f t="shared" si="232"/>
        <v/>
      </c>
      <c r="HE74" s="344" t="str">
        <f t="shared" si="576"/>
        <v/>
      </c>
      <c r="HF74" s="5" t="str">
        <f t="shared" si="577"/>
        <v/>
      </c>
      <c r="HG74" s="343" t="str">
        <f t="shared" si="233"/>
        <v/>
      </c>
      <c r="HH74" s="349" t="str">
        <f t="shared" si="234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23" t="str">
        <f t="shared" si="580"/>
        <v/>
      </c>
      <c r="HN74" s="924" t="str">
        <f t="shared" si="581"/>
        <v/>
      </c>
      <c r="HO74" s="925"/>
      <c r="HP74" s="926"/>
      <c r="HQ74" s="924" t="str">
        <f t="shared" si="582"/>
        <v/>
      </c>
      <c r="HR74" s="927" t="str">
        <f t="shared" si="583"/>
        <v/>
      </c>
      <c r="HS74" s="879" t="str">
        <f t="shared" ref="HS74:HS105" si="631">IFERROR(SMALL($GJ$9:$GJ$150,($HK73+1)),"")</f>
        <v/>
      </c>
      <c r="HT74" s="889" t="str">
        <f t="shared" si="584"/>
        <v/>
      </c>
      <c r="HU74" s="890" t="str">
        <f t="shared" si="585"/>
        <v/>
      </c>
      <c r="HV74" s="886" t="str">
        <f t="shared" si="586"/>
        <v/>
      </c>
      <c r="HW74" s="880" t="str">
        <f t="shared" si="587"/>
        <v/>
      </c>
      <c r="HX74" s="881" t="str">
        <f t="shared" si="588"/>
        <v/>
      </c>
      <c r="HY74" s="880" t="str">
        <f t="shared" si="589"/>
        <v/>
      </c>
      <c r="HZ74" s="882" t="str">
        <f t="shared" si="590"/>
        <v/>
      </c>
      <c r="IA74" s="883" t="str">
        <f t="shared" si="591"/>
        <v/>
      </c>
      <c r="IB74" s="884" t="str">
        <f t="shared" si="592"/>
        <v/>
      </c>
      <c r="IC74" s="855" t="str">
        <f t="shared" si="593"/>
        <v/>
      </c>
      <c r="ID74" s="351" t="str">
        <f t="shared" si="594"/>
        <v/>
      </c>
      <c r="IE74" s="857" t="str">
        <f t="shared" si="5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5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6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515"/>
        <v/>
      </c>
      <c r="B75" s="578" t="str">
        <f t="shared" si="516"/>
        <v/>
      </c>
      <c r="C75" s="572" t="str">
        <f t="shared" si="517"/>
        <v/>
      </c>
      <c r="D75" s="576" t="str">
        <f t="shared" si="518"/>
        <v/>
      </c>
      <c r="E75" s="580" t="str">
        <f t="shared" si="519"/>
        <v/>
      </c>
      <c r="F75" s="572" t="str">
        <f t="shared" si="520"/>
        <v/>
      </c>
      <c r="G75" s="579" t="str">
        <f t="shared" si="521"/>
        <v/>
      </c>
      <c r="H75" s="580" t="str">
        <f t="shared" si="522"/>
        <v/>
      </c>
      <c r="I75" s="572" t="str">
        <f t="shared" si="523"/>
        <v/>
      </c>
      <c r="J75" s="483" t="str">
        <f t="shared" si="524"/>
        <v/>
      </c>
      <c r="K75" s="806" t="str">
        <f t="shared" si="525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2"/>
        <v/>
      </c>
      <c r="X75" s="572" t="str">
        <f>IF(M75="","",R75)</f>
        <v/>
      </c>
      <c r="Y75" s="573" t="str">
        <f t="shared" si="253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14"/>
        <v/>
      </c>
      <c r="AP75" s="528" t="str">
        <f>IF(M75="","",DEGREES(ATAN2(AK75,AL75)))</f>
        <v/>
      </c>
      <c r="AQ75" s="529" t="str">
        <f t="shared" si="533"/>
        <v/>
      </c>
      <c r="AS75" s="946" t="str">
        <f t="shared" ref="AS75:AS106" si="632">IF(G75="","",IF(AND(W75&lt;(AS74+180),W75&gt;(AS74-180)),W75,IF(W75&gt;(AS74+180),W75-360,IF(W75&lt;(AS74-180),W75+360,"Error"))))</f>
        <v/>
      </c>
      <c r="AT75" s="942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ref="BP75:BP129" si="636">IF(ISNUMBER($AV75),BF75*(BN75-BK75)-(BI75*BN75-BL75*BK75)+BH75*(BI75-BL75),"")</f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1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2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3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8">IF(ISNUMBER($AV75),AW75,"")</f>
        <v/>
      </c>
      <c r="GK75" s="174" t="str">
        <f t="shared" si="567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6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23" t="str">
        <f t="shared" si="580"/>
        <v/>
      </c>
      <c r="HN75" s="924" t="str">
        <f t="shared" si="581"/>
        <v/>
      </c>
      <c r="HO75" s="925"/>
      <c r="HP75" s="926"/>
      <c r="HQ75" s="924" t="str">
        <f t="shared" si="582"/>
        <v/>
      </c>
      <c r="HR75" s="927" t="str">
        <f t="shared" si="583"/>
        <v/>
      </c>
      <c r="HS75" s="879" t="str">
        <f t="shared" si="631"/>
        <v/>
      </c>
      <c r="HT75" s="889" t="str">
        <f t="shared" si="584"/>
        <v/>
      </c>
      <c r="HU75" s="890" t="str">
        <f t="shared" si="585"/>
        <v/>
      </c>
      <c r="HV75" s="886" t="str">
        <f t="shared" si="586"/>
        <v/>
      </c>
      <c r="HW75" s="880" t="str">
        <f t="shared" si="587"/>
        <v/>
      </c>
      <c r="HX75" s="881" t="str">
        <f t="shared" si="588"/>
        <v/>
      </c>
      <c r="HY75" s="880" t="str">
        <f t="shared" si="589"/>
        <v/>
      </c>
      <c r="HZ75" s="882" t="str">
        <f t="shared" si="590"/>
        <v/>
      </c>
      <c r="IA75" s="883" t="str">
        <f t="shared" si="591"/>
        <v/>
      </c>
      <c r="IB75" s="884" t="str">
        <f t="shared" si="592"/>
        <v/>
      </c>
      <c r="IC75" s="855" t="str">
        <f t="shared" si="593"/>
        <v/>
      </c>
      <c r="ID75" s="351" t="str">
        <f t="shared" si="594"/>
        <v/>
      </c>
      <c r="IE75" s="857" t="str">
        <f t="shared" si="5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2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3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515"/>
        <v/>
      </c>
      <c r="B76" s="578" t="str">
        <f t="shared" si="516"/>
        <v/>
      </c>
      <c r="C76" s="572" t="str">
        <f t="shared" si="517"/>
        <v/>
      </c>
      <c r="D76" s="576" t="str">
        <f t="shared" si="518"/>
        <v/>
      </c>
      <c r="E76" s="580" t="str">
        <f t="shared" si="519"/>
        <v/>
      </c>
      <c r="F76" s="572" t="str">
        <f t="shared" si="520"/>
        <v/>
      </c>
      <c r="G76" s="579" t="str">
        <f t="shared" si="521"/>
        <v/>
      </c>
      <c r="H76" s="580" t="str">
        <f t="shared" si="522"/>
        <v/>
      </c>
      <c r="I76" s="572" t="str">
        <f t="shared" si="523"/>
        <v/>
      </c>
      <c r="J76" s="483" t="str">
        <f t="shared" si="524"/>
        <v/>
      </c>
      <c r="K76" s="806" t="str">
        <f t="shared" si="525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0"/>
        <v/>
      </c>
      <c r="S76" s="577" t="str">
        <f t="shared" si="101"/>
        <v/>
      </c>
      <c r="T76" s="578" t="str">
        <f t="shared" si="102"/>
        <v/>
      </c>
      <c r="U76" s="572" t="str">
        <f t="shared" si="103"/>
        <v/>
      </c>
      <c r="V76" s="579" t="str">
        <f t="shared" si="139"/>
        <v/>
      </c>
      <c r="W76" s="528" t="str">
        <f t="shared" si="252"/>
        <v/>
      </c>
      <c r="X76" s="572" t="str">
        <f t="shared" si="104"/>
        <v/>
      </c>
      <c r="Y76" s="573" t="str">
        <f t="shared" ref="Y76:Y129" si="734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5"/>
        <v/>
      </c>
      <c r="AD76" s="580" t="str">
        <f t="shared" si="140"/>
        <v/>
      </c>
      <c r="AE76" s="572" t="str">
        <f t="shared" si="106"/>
        <v/>
      </c>
      <c r="AF76" s="576" t="str">
        <f t="shared" si="107"/>
        <v/>
      </c>
      <c r="AG76" s="545" t="str">
        <f t="shared" si="108"/>
        <v/>
      </c>
      <c r="AH76" s="546" t="str">
        <f t="shared" si="109"/>
        <v/>
      </c>
      <c r="AI76" s="528" t="str">
        <f t="shared" si="110"/>
        <v/>
      </c>
      <c r="AJ76" s="529" t="str">
        <f t="shared" si="111"/>
        <v/>
      </c>
      <c r="AK76" s="578" t="str">
        <f t="shared" si="237"/>
        <v/>
      </c>
      <c r="AL76" s="572" t="str">
        <f t="shared" si="112"/>
        <v/>
      </c>
      <c r="AM76" s="577" t="str">
        <f t="shared" si="113"/>
        <v/>
      </c>
      <c r="AN76" s="524" t="str">
        <f t="shared" si="114"/>
        <v/>
      </c>
      <c r="AO76" s="525" t="str">
        <f t="shared" si="514"/>
        <v/>
      </c>
      <c r="AP76" s="528" t="str">
        <f t="shared" si="116"/>
        <v/>
      </c>
      <c r="AQ76" s="529" t="str">
        <f t="shared" si="533"/>
        <v/>
      </c>
      <c r="AS76" s="946" t="str">
        <f t="shared" si="632"/>
        <v/>
      </c>
      <c r="AT76" s="942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si="636"/>
        <v/>
      </c>
      <c r="BQ76" s="5" t="str">
        <f t="shared" si="637"/>
        <v/>
      </c>
      <c r="BR76" s="6" t="str">
        <f t="shared" si="638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9"/>
        <v/>
      </c>
      <c r="EZ76" s="51" t="str">
        <f t="shared" si="700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1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2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3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8"/>
        <v/>
      </c>
      <c r="GK76" s="174" t="str">
        <f t="shared" si="567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6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6"/>
        <v/>
      </c>
      <c r="HF76" s="5" t="str">
        <f t="shared" si="577"/>
        <v/>
      </c>
      <c r="HG76" s="343" t="str">
        <f t="shared" si="730"/>
        <v/>
      </c>
      <c r="HH76" s="349" t="str">
        <f t="shared" si="731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23" t="str">
        <f t="shared" si="580"/>
        <v/>
      </c>
      <c r="HN76" s="924" t="str">
        <f t="shared" si="581"/>
        <v/>
      </c>
      <c r="HO76" s="925"/>
      <c r="HP76" s="926"/>
      <c r="HQ76" s="924" t="str">
        <f t="shared" si="582"/>
        <v/>
      </c>
      <c r="HR76" s="927" t="str">
        <f t="shared" si="583"/>
        <v/>
      </c>
      <c r="HS76" s="879" t="str">
        <f t="shared" si="631"/>
        <v/>
      </c>
      <c r="HT76" s="889" t="str">
        <f t="shared" si="584"/>
        <v/>
      </c>
      <c r="HU76" s="890" t="str">
        <f t="shared" si="585"/>
        <v/>
      </c>
      <c r="HV76" s="886" t="str">
        <f t="shared" si="586"/>
        <v/>
      </c>
      <c r="HW76" s="880" t="str">
        <f t="shared" si="587"/>
        <v/>
      </c>
      <c r="HX76" s="881" t="str">
        <f t="shared" si="588"/>
        <v/>
      </c>
      <c r="HY76" s="880" t="str">
        <f t="shared" si="589"/>
        <v/>
      </c>
      <c r="HZ76" s="882" t="str">
        <f t="shared" si="590"/>
        <v/>
      </c>
      <c r="IA76" s="883" t="str">
        <f t="shared" si="591"/>
        <v/>
      </c>
      <c r="IB76" s="884" t="str">
        <f t="shared" si="592"/>
        <v/>
      </c>
      <c r="IC76" s="855" t="str">
        <f t="shared" si="593"/>
        <v/>
      </c>
      <c r="ID76" s="351" t="str">
        <f t="shared" si="594"/>
        <v/>
      </c>
      <c r="IE76" s="857" t="str">
        <f t="shared" si="5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2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3"/>
        <v/>
      </c>
      <c r="IN76" s="670" t="str">
        <f t="shared" si="597"/>
        <v/>
      </c>
      <c r="IO76" s="702">
        <v>8.8845275189922204E-3</v>
      </c>
      <c r="IP76" s="5" t="str">
        <f t="shared" si="598"/>
        <v/>
      </c>
      <c r="IQ76" s="714">
        <v>220</v>
      </c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515"/>
        <v/>
      </c>
      <c r="B77" s="578" t="str">
        <f t="shared" si="516"/>
        <v/>
      </c>
      <c r="C77" s="572" t="str">
        <f t="shared" si="517"/>
        <v/>
      </c>
      <c r="D77" s="576" t="str">
        <f t="shared" si="518"/>
        <v/>
      </c>
      <c r="E77" s="580" t="str">
        <f t="shared" si="519"/>
        <v/>
      </c>
      <c r="F77" s="572" t="str">
        <f t="shared" si="520"/>
        <v/>
      </c>
      <c r="G77" s="579" t="str">
        <f t="shared" si="521"/>
        <v/>
      </c>
      <c r="H77" s="580" t="str">
        <f t="shared" si="522"/>
        <v/>
      </c>
      <c r="I77" s="572" t="str">
        <f t="shared" si="523"/>
        <v/>
      </c>
      <c r="J77" s="483" t="str">
        <f t="shared" si="524"/>
        <v/>
      </c>
      <c r="K77" s="806" t="str">
        <f t="shared" si="525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0"/>
        <v/>
      </c>
      <c r="S77" s="577" t="str">
        <f t="shared" si="101"/>
        <v/>
      </c>
      <c r="T77" s="578" t="str">
        <f t="shared" si="102"/>
        <v/>
      </c>
      <c r="U77" s="572" t="str">
        <f t="shared" si="103"/>
        <v/>
      </c>
      <c r="V77" s="579" t="str">
        <f t="shared" si="139"/>
        <v/>
      </c>
      <c r="W77" s="528" t="str">
        <f t="shared" si="252"/>
        <v/>
      </c>
      <c r="X77" s="572" t="str">
        <f t="shared" si="104"/>
        <v/>
      </c>
      <c r="Y77" s="573" t="str">
        <f t="shared" si="734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5"/>
        <v/>
      </c>
      <c r="AD77" s="580" t="str">
        <f t="shared" si="140"/>
        <v/>
      </c>
      <c r="AE77" s="572" t="str">
        <f t="shared" si="106"/>
        <v/>
      </c>
      <c r="AF77" s="576" t="str">
        <f t="shared" si="107"/>
        <v/>
      </c>
      <c r="AG77" s="545" t="str">
        <f t="shared" si="108"/>
        <v/>
      </c>
      <c r="AH77" s="546" t="str">
        <f t="shared" si="109"/>
        <v/>
      </c>
      <c r="AI77" s="528" t="str">
        <f t="shared" si="110"/>
        <v/>
      </c>
      <c r="AJ77" s="529" t="str">
        <f t="shared" si="111"/>
        <v/>
      </c>
      <c r="AK77" s="578" t="str">
        <f t="shared" si="237"/>
        <v/>
      </c>
      <c r="AL77" s="572" t="str">
        <f t="shared" si="112"/>
        <v/>
      </c>
      <c r="AM77" s="577" t="str">
        <f t="shared" si="113"/>
        <v/>
      </c>
      <c r="AN77" s="524" t="str">
        <f t="shared" si="114"/>
        <v/>
      </c>
      <c r="AO77" s="525" t="str">
        <f t="shared" si="514"/>
        <v/>
      </c>
      <c r="AP77" s="528" t="str">
        <f t="shared" si="116"/>
        <v/>
      </c>
      <c r="AQ77" s="529" t="str">
        <f t="shared" si="533"/>
        <v/>
      </c>
      <c r="AS77" s="946" t="str">
        <f t="shared" si="632"/>
        <v/>
      </c>
      <c r="AT77" s="942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636"/>
        <v/>
      </c>
      <c r="BQ77" s="5" t="str">
        <f t="shared" si="637"/>
        <v/>
      </c>
      <c r="BR77" s="6" t="str">
        <f t="shared" si="638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9"/>
        <v/>
      </c>
      <c r="EZ77" s="51" t="str">
        <f t="shared" si="700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1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2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3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8"/>
        <v/>
      </c>
      <c r="GK77" s="174" t="str">
        <f t="shared" si="567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6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6"/>
        <v/>
      </c>
      <c r="HF77" s="5" t="str">
        <f t="shared" si="577"/>
        <v/>
      </c>
      <c r="HG77" s="343" t="str">
        <f t="shared" si="730"/>
        <v/>
      </c>
      <c r="HH77" s="349" t="str">
        <f t="shared" si="731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23" t="str">
        <f t="shared" si="580"/>
        <v/>
      </c>
      <c r="HN77" s="924" t="str">
        <f t="shared" si="581"/>
        <v/>
      </c>
      <c r="HO77" s="925"/>
      <c r="HP77" s="926"/>
      <c r="HQ77" s="924" t="str">
        <f t="shared" si="582"/>
        <v/>
      </c>
      <c r="HR77" s="927" t="str">
        <f t="shared" si="583"/>
        <v/>
      </c>
      <c r="HS77" s="879" t="str">
        <f t="shared" si="631"/>
        <v/>
      </c>
      <c r="HT77" s="889" t="str">
        <f t="shared" si="584"/>
        <v/>
      </c>
      <c r="HU77" s="890" t="str">
        <f t="shared" si="585"/>
        <v/>
      </c>
      <c r="HV77" s="886" t="str">
        <f t="shared" si="586"/>
        <v/>
      </c>
      <c r="HW77" s="880" t="str">
        <f t="shared" si="587"/>
        <v/>
      </c>
      <c r="HX77" s="881" t="str">
        <f t="shared" si="588"/>
        <v/>
      </c>
      <c r="HY77" s="880" t="str">
        <f t="shared" si="589"/>
        <v/>
      </c>
      <c r="HZ77" s="882" t="str">
        <f t="shared" si="590"/>
        <v/>
      </c>
      <c r="IA77" s="883" t="str">
        <f t="shared" si="591"/>
        <v/>
      </c>
      <c r="IB77" s="884" t="str">
        <f t="shared" si="592"/>
        <v/>
      </c>
      <c r="IC77" s="855" t="str">
        <f t="shared" si="593"/>
        <v/>
      </c>
      <c r="ID77" s="351" t="str">
        <f t="shared" si="594"/>
        <v/>
      </c>
      <c r="IE77" s="857" t="str">
        <f t="shared" si="595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2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3"/>
        <v/>
      </c>
      <c r="IN77" s="670" t="str">
        <f t="shared" si="597"/>
        <v/>
      </c>
      <c r="IO77" s="702">
        <v>9.6575961407117401E-3</v>
      </c>
      <c r="IP77" s="5" t="str">
        <f t="shared" si="598"/>
        <v/>
      </c>
      <c r="IQ77" s="714">
        <v>320</v>
      </c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515"/>
        <v/>
      </c>
      <c r="B78" s="578" t="str">
        <f t="shared" si="516"/>
        <v/>
      </c>
      <c r="C78" s="572" t="str">
        <f t="shared" si="517"/>
        <v/>
      </c>
      <c r="D78" s="576" t="str">
        <f t="shared" si="518"/>
        <v/>
      </c>
      <c r="E78" s="580" t="str">
        <f t="shared" si="519"/>
        <v/>
      </c>
      <c r="F78" s="572" t="str">
        <f t="shared" si="520"/>
        <v/>
      </c>
      <c r="G78" s="579" t="str">
        <f t="shared" si="521"/>
        <v/>
      </c>
      <c r="H78" s="580" t="str">
        <f t="shared" si="522"/>
        <v/>
      </c>
      <c r="I78" s="572" t="str">
        <f t="shared" si="523"/>
        <v/>
      </c>
      <c r="J78" s="483" t="str">
        <f t="shared" si="524"/>
        <v/>
      </c>
      <c r="K78" s="806" t="str">
        <f t="shared" si="525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2"/>
        <v/>
      </c>
      <c r="X78" s="572" t="str">
        <f>IF(M78="","",R78)</f>
        <v/>
      </c>
      <c r="Y78" s="573" t="str">
        <f t="shared" si="734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14"/>
        <v/>
      </c>
      <c r="AP78" s="528" t="str">
        <f>IF(M78="","",DEGREES(ATAN2(AK78,AL78)))</f>
        <v/>
      </c>
      <c r="AQ78" s="529" t="str">
        <f t="shared" si="533"/>
        <v/>
      </c>
      <c r="AS78" s="946" t="str">
        <f t="shared" si="632"/>
        <v/>
      </c>
      <c r="AT78" s="942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636"/>
        <v/>
      </c>
      <c r="BQ78" s="5" t="str">
        <f t="shared" si="637"/>
        <v/>
      </c>
      <c r="BR78" s="6" t="str">
        <f t="shared" si="638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9"/>
        <v/>
      </c>
      <c r="EZ78" s="51" t="str">
        <f t="shared" si="700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1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2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3"/>
        <v/>
      </c>
      <c r="FZ78" s="277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11" t="str">
        <f t="shared" si="716"/>
        <v/>
      </c>
      <c r="GF78" s="341" t="str">
        <f t="shared" si="717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8"/>
        <v/>
      </c>
      <c r="GK78" s="174" t="str">
        <f t="shared" si="567"/>
        <v/>
      </c>
      <c r="GL78" s="174" t="str">
        <f t="shared" si="719"/>
        <v/>
      </c>
      <c r="GM78" s="177" t="str">
        <f t="shared" si="720"/>
        <v/>
      </c>
      <c r="GN78" s="280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71" t="str">
        <f t="shared" si="725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6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7"/>
        <v/>
      </c>
      <c r="HC78" s="343" t="str">
        <f t="shared" si="728"/>
        <v/>
      </c>
      <c r="HD78" s="363" t="str">
        <f t="shared" si="729"/>
        <v/>
      </c>
      <c r="HE78" s="344" t="str">
        <f t="shared" si="576"/>
        <v/>
      </c>
      <c r="HF78" s="5" t="str">
        <f t="shared" si="577"/>
        <v/>
      </c>
      <c r="HG78" s="343" t="str">
        <f t="shared" si="730"/>
        <v/>
      </c>
      <c r="HH78" s="349" t="str">
        <f t="shared" si="731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23" t="str">
        <f t="shared" si="580"/>
        <v/>
      </c>
      <c r="HN78" s="924" t="str">
        <f t="shared" si="581"/>
        <v/>
      </c>
      <c r="HO78" s="925"/>
      <c r="HP78" s="926"/>
      <c r="HQ78" s="924" t="str">
        <f t="shared" si="582"/>
        <v/>
      </c>
      <c r="HR78" s="927" t="str">
        <f t="shared" si="583"/>
        <v/>
      </c>
      <c r="HS78" s="879" t="str">
        <f t="shared" si="631"/>
        <v/>
      </c>
      <c r="HT78" s="889" t="str">
        <f t="shared" si="584"/>
        <v/>
      </c>
      <c r="HU78" s="890" t="str">
        <f t="shared" si="585"/>
        <v/>
      </c>
      <c r="HV78" s="886" t="str">
        <f t="shared" si="586"/>
        <v/>
      </c>
      <c r="HW78" s="880" t="str">
        <f t="shared" si="587"/>
        <v/>
      </c>
      <c r="HX78" s="881" t="str">
        <f t="shared" si="588"/>
        <v/>
      </c>
      <c r="HY78" s="880" t="str">
        <f t="shared" si="589"/>
        <v/>
      </c>
      <c r="HZ78" s="882" t="str">
        <f t="shared" si="590"/>
        <v/>
      </c>
      <c r="IA78" s="883" t="str">
        <f t="shared" si="591"/>
        <v/>
      </c>
      <c r="IB78" s="884" t="str">
        <f t="shared" si="592"/>
        <v/>
      </c>
      <c r="IC78" s="855" t="str">
        <f t="shared" si="593"/>
        <v/>
      </c>
      <c r="ID78" s="351" t="str">
        <f t="shared" si="594"/>
        <v/>
      </c>
      <c r="IE78" s="857" t="str">
        <f t="shared" si="595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2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3"/>
        <v/>
      </c>
      <c r="IN78" s="670" t="str">
        <f t="shared" si="597"/>
        <v/>
      </c>
      <c r="IO78" s="702">
        <v>8.6773344048739608E-3</v>
      </c>
      <c r="IP78" s="5" t="str">
        <f t="shared" si="598"/>
        <v/>
      </c>
      <c r="IQ78" s="714">
        <v>340</v>
      </c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515"/>
        <v/>
      </c>
      <c r="B79" s="578" t="str">
        <f t="shared" si="516"/>
        <v/>
      </c>
      <c r="C79" s="572" t="str">
        <f t="shared" si="517"/>
        <v/>
      </c>
      <c r="D79" s="576" t="str">
        <f t="shared" si="518"/>
        <v/>
      </c>
      <c r="E79" s="580" t="str">
        <f t="shared" si="519"/>
        <v/>
      </c>
      <c r="F79" s="572" t="str">
        <f t="shared" si="520"/>
        <v/>
      </c>
      <c r="G79" s="579" t="str">
        <f t="shared" si="521"/>
        <v/>
      </c>
      <c r="H79" s="580" t="str">
        <f t="shared" si="522"/>
        <v/>
      </c>
      <c r="I79" s="572" t="str">
        <f t="shared" si="523"/>
        <v/>
      </c>
      <c r="J79" s="483" t="str">
        <f t="shared" si="524"/>
        <v/>
      </c>
      <c r="K79" s="806" t="str">
        <f t="shared" si="525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4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14"/>
        <v/>
      </c>
      <c r="AP79" s="528" t="str">
        <f>IF(M79="","",DEGREES(ATAN2(AK79,AL79)))</f>
        <v/>
      </c>
      <c r="AQ79" s="529" t="str">
        <f t="shared" si="533"/>
        <v/>
      </c>
      <c r="AS79" s="946" t="str">
        <f t="shared" si="632"/>
        <v/>
      </c>
      <c r="AT79" s="942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636"/>
        <v/>
      </c>
      <c r="BQ79" s="5" t="str">
        <f t="shared" si="637"/>
        <v/>
      </c>
      <c r="BR79" s="6" t="str">
        <f t="shared" si="638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9"/>
        <v/>
      </c>
      <c r="EZ79" s="51" t="str">
        <f t="shared" si="700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1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2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3"/>
        <v/>
      </c>
      <c r="FZ79" s="277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11" t="str">
        <f t="shared" si="716"/>
        <v/>
      </c>
      <c r="GF79" s="341" t="str">
        <f t="shared" si="717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8"/>
        <v/>
      </c>
      <c r="GK79" s="174" t="str">
        <f t="shared" si="567"/>
        <v/>
      </c>
      <c r="GL79" s="174" t="str">
        <f t="shared" si="719"/>
        <v/>
      </c>
      <c r="GM79" s="177" t="str">
        <f t="shared" si="720"/>
        <v/>
      </c>
      <c r="GN79" s="280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71" t="str">
        <f t="shared" si="725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6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7"/>
        <v/>
      </c>
      <c r="HC79" s="343" t="str">
        <f t="shared" si="728"/>
        <v/>
      </c>
      <c r="HD79" s="363" t="str">
        <f t="shared" si="729"/>
        <v/>
      </c>
      <c r="HE79" s="344" t="str">
        <f t="shared" si="576"/>
        <v/>
      </c>
      <c r="HF79" s="5" t="str">
        <f t="shared" si="577"/>
        <v/>
      </c>
      <c r="HG79" s="343" t="str">
        <f t="shared" si="730"/>
        <v/>
      </c>
      <c r="HH79" s="349" t="str">
        <f t="shared" si="731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23" t="str">
        <f t="shared" si="580"/>
        <v/>
      </c>
      <c r="HN79" s="924" t="str">
        <f t="shared" si="581"/>
        <v/>
      </c>
      <c r="HO79" s="925"/>
      <c r="HP79" s="926"/>
      <c r="HQ79" s="924" t="str">
        <f t="shared" si="582"/>
        <v/>
      </c>
      <c r="HR79" s="927" t="str">
        <f t="shared" si="583"/>
        <v/>
      </c>
      <c r="HS79" s="879" t="str">
        <f t="shared" si="631"/>
        <v/>
      </c>
      <c r="HT79" s="889" t="str">
        <f t="shared" si="584"/>
        <v/>
      </c>
      <c r="HU79" s="890" t="str">
        <f t="shared" si="585"/>
        <v/>
      </c>
      <c r="HV79" s="886" t="str">
        <f t="shared" si="586"/>
        <v/>
      </c>
      <c r="HW79" s="880" t="str">
        <f t="shared" si="587"/>
        <v/>
      </c>
      <c r="HX79" s="881" t="str">
        <f t="shared" si="588"/>
        <v/>
      </c>
      <c r="HY79" s="880" t="str">
        <f t="shared" si="589"/>
        <v/>
      </c>
      <c r="HZ79" s="882" t="str">
        <f t="shared" si="590"/>
        <v/>
      </c>
      <c r="IA79" s="883" t="str">
        <f t="shared" si="591"/>
        <v/>
      </c>
      <c r="IB79" s="884" t="str">
        <f t="shared" si="592"/>
        <v/>
      </c>
      <c r="IC79" s="855" t="str">
        <f t="shared" si="593"/>
        <v/>
      </c>
      <c r="ID79" s="351" t="str">
        <f t="shared" si="594"/>
        <v/>
      </c>
      <c r="IE79" s="857" t="str">
        <f t="shared" si="5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2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3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515"/>
        <v/>
      </c>
      <c r="B80" s="578" t="str">
        <f t="shared" si="516"/>
        <v/>
      </c>
      <c r="C80" s="572" t="str">
        <f t="shared" si="517"/>
        <v/>
      </c>
      <c r="D80" s="576" t="str">
        <f t="shared" si="518"/>
        <v/>
      </c>
      <c r="E80" s="580" t="str">
        <f t="shared" si="519"/>
        <v/>
      </c>
      <c r="F80" s="572" t="str">
        <f t="shared" si="520"/>
        <v/>
      </c>
      <c r="G80" s="579" t="str">
        <f t="shared" si="521"/>
        <v/>
      </c>
      <c r="H80" s="580" t="str">
        <f t="shared" si="522"/>
        <v/>
      </c>
      <c r="I80" s="572" t="str">
        <f t="shared" si="523"/>
        <v/>
      </c>
      <c r="J80" s="483" t="str">
        <f t="shared" si="524"/>
        <v/>
      </c>
      <c r="K80" s="806" t="str">
        <f t="shared" si="525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0"/>
        <v/>
      </c>
      <c r="S80" s="577" t="str">
        <f t="shared" si="101"/>
        <v/>
      </c>
      <c r="T80" s="578" t="str">
        <f t="shared" si="102"/>
        <v/>
      </c>
      <c r="U80" s="572" t="str">
        <f t="shared" si="103"/>
        <v/>
      </c>
      <c r="V80" s="579" t="str">
        <f t="shared" si="139"/>
        <v/>
      </c>
      <c r="W80" s="528" t="str">
        <f t="shared" si="735"/>
        <v/>
      </c>
      <c r="X80" s="572" t="str">
        <f t="shared" si="104"/>
        <v/>
      </c>
      <c r="Y80" s="573" t="str">
        <f t="shared" si="734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5"/>
        <v/>
      </c>
      <c r="AD80" s="580" t="str">
        <f t="shared" si="140"/>
        <v/>
      </c>
      <c r="AE80" s="572" t="str">
        <f t="shared" si="106"/>
        <v/>
      </c>
      <c r="AF80" s="576" t="str">
        <f t="shared" si="107"/>
        <v/>
      </c>
      <c r="AG80" s="545" t="str">
        <f t="shared" si="108"/>
        <v/>
      </c>
      <c r="AH80" s="546" t="str">
        <f t="shared" si="109"/>
        <v/>
      </c>
      <c r="AI80" s="528" t="str">
        <f t="shared" si="110"/>
        <v/>
      </c>
      <c r="AJ80" s="529" t="str">
        <f t="shared" si="111"/>
        <v/>
      </c>
      <c r="AK80" s="578" t="str">
        <f t="shared" si="237"/>
        <v/>
      </c>
      <c r="AL80" s="572" t="str">
        <f t="shared" si="112"/>
        <v/>
      </c>
      <c r="AM80" s="577" t="str">
        <f t="shared" si="113"/>
        <v/>
      </c>
      <c r="AN80" s="524" t="str">
        <f t="shared" si="114"/>
        <v/>
      </c>
      <c r="AO80" s="525" t="str">
        <f t="shared" si="514"/>
        <v/>
      </c>
      <c r="AP80" s="528" t="str">
        <f t="shared" si="116"/>
        <v/>
      </c>
      <c r="AQ80" s="529" t="str">
        <f t="shared" si="533"/>
        <v/>
      </c>
      <c r="AS80" s="946" t="str">
        <f t="shared" si="632"/>
        <v/>
      </c>
      <c r="AT80" s="942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636"/>
        <v/>
      </c>
      <c r="BQ80" s="5" t="str">
        <f t="shared" si="637"/>
        <v/>
      </c>
      <c r="BR80" s="6" t="str">
        <f t="shared" si="638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9"/>
        <v/>
      </c>
      <c r="EZ80" s="51" t="str">
        <f t="shared" si="700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1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2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3"/>
        <v/>
      </c>
      <c r="FZ80" s="277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11" t="str">
        <f t="shared" si="716"/>
        <v/>
      </c>
      <c r="GF80" s="341" t="str">
        <f t="shared" si="717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8"/>
        <v/>
      </c>
      <c r="GK80" s="174" t="str">
        <f t="shared" si="567"/>
        <v/>
      </c>
      <c r="GL80" s="174" t="str">
        <f t="shared" si="719"/>
        <v/>
      </c>
      <c r="GM80" s="177" t="str">
        <f t="shared" si="720"/>
        <v/>
      </c>
      <c r="GN80" s="280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71" t="str">
        <f t="shared" si="725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6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7"/>
        <v/>
      </c>
      <c r="HC80" s="343" t="str">
        <f t="shared" si="728"/>
        <v/>
      </c>
      <c r="HD80" s="363" t="str">
        <f t="shared" si="729"/>
        <v/>
      </c>
      <c r="HE80" s="344" t="str">
        <f t="shared" si="576"/>
        <v/>
      </c>
      <c r="HF80" s="5" t="str">
        <f t="shared" si="577"/>
        <v/>
      </c>
      <c r="HG80" s="343" t="str">
        <f t="shared" si="730"/>
        <v/>
      </c>
      <c r="HH80" s="349" t="str">
        <f t="shared" si="731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23" t="str">
        <f t="shared" si="580"/>
        <v/>
      </c>
      <c r="HN80" s="924" t="str">
        <f t="shared" si="581"/>
        <v/>
      </c>
      <c r="HO80" s="925"/>
      <c r="HP80" s="926"/>
      <c r="HQ80" s="924" t="str">
        <f t="shared" si="582"/>
        <v/>
      </c>
      <c r="HR80" s="927" t="str">
        <f t="shared" si="583"/>
        <v/>
      </c>
      <c r="HS80" s="879" t="str">
        <f t="shared" si="631"/>
        <v/>
      </c>
      <c r="HT80" s="889" t="str">
        <f t="shared" si="584"/>
        <v/>
      </c>
      <c r="HU80" s="890" t="str">
        <f t="shared" si="585"/>
        <v/>
      </c>
      <c r="HV80" s="886" t="str">
        <f t="shared" si="586"/>
        <v/>
      </c>
      <c r="HW80" s="880" t="str">
        <f t="shared" si="587"/>
        <v/>
      </c>
      <c r="HX80" s="881" t="str">
        <f t="shared" si="588"/>
        <v/>
      </c>
      <c r="HY80" s="880" t="str">
        <f t="shared" si="589"/>
        <v/>
      </c>
      <c r="HZ80" s="882" t="str">
        <f t="shared" si="590"/>
        <v/>
      </c>
      <c r="IA80" s="883" t="str">
        <f t="shared" si="591"/>
        <v/>
      </c>
      <c r="IB80" s="884" t="str">
        <f t="shared" si="592"/>
        <v/>
      </c>
      <c r="IC80" s="855" t="str">
        <f t="shared" si="593"/>
        <v/>
      </c>
      <c r="ID80" s="351" t="str">
        <f t="shared" si="594"/>
        <v/>
      </c>
      <c r="IE80" s="857" t="str">
        <f t="shared" si="5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2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3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515"/>
        <v/>
      </c>
      <c r="B81" s="578" t="str">
        <f t="shared" si="516"/>
        <v/>
      </c>
      <c r="C81" s="572" t="str">
        <f t="shared" si="517"/>
        <v/>
      </c>
      <c r="D81" s="576" t="str">
        <f t="shared" si="518"/>
        <v/>
      </c>
      <c r="E81" s="580" t="str">
        <f t="shared" si="519"/>
        <v/>
      </c>
      <c r="F81" s="572" t="str">
        <f t="shared" si="520"/>
        <v/>
      </c>
      <c r="G81" s="579" t="str">
        <f t="shared" si="521"/>
        <v/>
      </c>
      <c r="H81" s="580" t="str">
        <f t="shared" si="522"/>
        <v/>
      </c>
      <c r="I81" s="572" t="str">
        <f t="shared" si="523"/>
        <v/>
      </c>
      <c r="J81" s="483" t="str">
        <f t="shared" si="524"/>
        <v/>
      </c>
      <c r="K81" s="806" t="str">
        <f t="shared" si="525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0"/>
        <v/>
      </c>
      <c r="S81" s="577" t="str">
        <f t="shared" si="101"/>
        <v/>
      </c>
      <c r="T81" s="578" t="str">
        <f t="shared" si="102"/>
        <v/>
      </c>
      <c r="U81" s="572" t="str">
        <f t="shared" si="103"/>
        <v/>
      </c>
      <c r="V81" s="579" t="str">
        <f t="shared" si="139"/>
        <v/>
      </c>
      <c r="W81" s="528" t="str">
        <f t="shared" si="735"/>
        <v/>
      </c>
      <c r="X81" s="572" t="str">
        <f t="shared" si="104"/>
        <v/>
      </c>
      <c r="Y81" s="573" t="str">
        <f t="shared" si="734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5"/>
        <v/>
      </c>
      <c r="AD81" s="580" t="str">
        <f t="shared" si="140"/>
        <v/>
      </c>
      <c r="AE81" s="572" t="str">
        <f t="shared" si="106"/>
        <v/>
      </c>
      <c r="AF81" s="576" t="str">
        <f t="shared" si="107"/>
        <v/>
      </c>
      <c r="AG81" s="545" t="str">
        <f t="shared" si="108"/>
        <v/>
      </c>
      <c r="AH81" s="546" t="str">
        <f t="shared" si="109"/>
        <v/>
      </c>
      <c r="AI81" s="528" t="str">
        <f t="shared" si="110"/>
        <v/>
      </c>
      <c r="AJ81" s="529" t="str">
        <f t="shared" si="111"/>
        <v/>
      </c>
      <c r="AK81" s="578" t="str">
        <f t="shared" si="237"/>
        <v/>
      </c>
      <c r="AL81" s="572" t="str">
        <f t="shared" si="112"/>
        <v/>
      </c>
      <c r="AM81" s="577" t="str">
        <f t="shared" si="113"/>
        <v/>
      </c>
      <c r="AN81" s="524" t="str">
        <f t="shared" si="114"/>
        <v/>
      </c>
      <c r="AO81" s="525" t="str">
        <f t="shared" si="514"/>
        <v/>
      </c>
      <c r="AP81" s="528" t="str">
        <f t="shared" si="116"/>
        <v/>
      </c>
      <c r="AQ81" s="529" t="str">
        <f t="shared" si="533"/>
        <v/>
      </c>
      <c r="AS81" s="946" t="str">
        <f t="shared" si="632"/>
        <v/>
      </c>
      <c r="AT81" s="942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636"/>
        <v/>
      </c>
      <c r="BQ81" s="5" t="str">
        <f t="shared" si="637"/>
        <v/>
      </c>
      <c r="BR81" s="6" t="str">
        <f t="shared" si="638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9"/>
        <v/>
      </c>
      <c r="EZ81" s="51" t="str">
        <f t="shared" si="700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1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2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3"/>
        <v/>
      </c>
      <c r="FZ81" s="277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11" t="str">
        <f t="shared" si="716"/>
        <v/>
      </c>
      <c r="GF81" s="341" t="str">
        <f t="shared" si="717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8"/>
        <v/>
      </c>
      <c r="GK81" s="174" t="str">
        <f t="shared" si="567"/>
        <v/>
      </c>
      <c r="GL81" s="174" t="str">
        <f t="shared" si="719"/>
        <v/>
      </c>
      <c r="GM81" s="177" t="str">
        <f t="shared" si="720"/>
        <v/>
      </c>
      <c r="GN81" s="280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71" t="str">
        <f t="shared" si="725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6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7"/>
        <v/>
      </c>
      <c r="HC81" s="343" t="str">
        <f t="shared" si="728"/>
        <v/>
      </c>
      <c r="HD81" s="363" t="str">
        <f t="shared" si="729"/>
        <v/>
      </c>
      <c r="HE81" s="344" t="str">
        <f t="shared" si="576"/>
        <v/>
      </c>
      <c r="HF81" s="5" t="str">
        <f t="shared" si="577"/>
        <v/>
      </c>
      <c r="HG81" s="343" t="str">
        <f t="shared" si="730"/>
        <v/>
      </c>
      <c r="HH81" s="349" t="str">
        <f t="shared" si="731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23" t="str">
        <f t="shared" si="580"/>
        <v/>
      </c>
      <c r="HN81" s="924" t="str">
        <f t="shared" si="581"/>
        <v/>
      </c>
      <c r="HO81" s="925"/>
      <c r="HP81" s="926"/>
      <c r="HQ81" s="924" t="str">
        <f t="shared" si="582"/>
        <v/>
      </c>
      <c r="HR81" s="927" t="str">
        <f t="shared" si="583"/>
        <v/>
      </c>
      <c r="HS81" s="879" t="str">
        <f t="shared" si="631"/>
        <v/>
      </c>
      <c r="HT81" s="889" t="str">
        <f t="shared" si="584"/>
        <v/>
      </c>
      <c r="HU81" s="890" t="str">
        <f t="shared" si="585"/>
        <v/>
      </c>
      <c r="HV81" s="886" t="str">
        <f t="shared" si="586"/>
        <v/>
      </c>
      <c r="HW81" s="880" t="str">
        <f t="shared" si="587"/>
        <v/>
      </c>
      <c r="HX81" s="881" t="str">
        <f t="shared" si="588"/>
        <v/>
      </c>
      <c r="HY81" s="880" t="str">
        <f t="shared" si="589"/>
        <v/>
      </c>
      <c r="HZ81" s="882" t="str">
        <f t="shared" si="590"/>
        <v/>
      </c>
      <c r="IA81" s="883" t="str">
        <f t="shared" si="591"/>
        <v/>
      </c>
      <c r="IB81" s="884" t="str">
        <f t="shared" si="592"/>
        <v/>
      </c>
      <c r="IC81" s="855" t="str">
        <f t="shared" si="593"/>
        <v/>
      </c>
      <c r="ID81" s="351" t="str">
        <f t="shared" si="594"/>
        <v/>
      </c>
      <c r="IE81" s="857" t="str">
        <f t="shared" si="5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2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3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515"/>
        <v/>
      </c>
      <c r="B82" s="578" t="str">
        <f t="shared" si="516"/>
        <v/>
      </c>
      <c r="C82" s="572" t="str">
        <f t="shared" si="517"/>
        <v/>
      </c>
      <c r="D82" s="576" t="str">
        <f t="shared" si="518"/>
        <v/>
      </c>
      <c r="E82" s="580" t="str">
        <f t="shared" si="519"/>
        <v/>
      </c>
      <c r="F82" s="572" t="str">
        <f t="shared" si="520"/>
        <v/>
      </c>
      <c r="G82" s="579" t="str">
        <f t="shared" si="521"/>
        <v/>
      </c>
      <c r="H82" s="580" t="str">
        <f t="shared" si="522"/>
        <v/>
      </c>
      <c r="I82" s="572" t="str">
        <f t="shared" si="523"/>
        <v/>
      </c>
      <c r="J82" s="483" t="str">
        <f t="shared" si="524"/>
        <v/>
      </c>
      <c r="K82" s="806" t="str">
        <f t="shared" si="525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0"/>
        <v/>
      </c>
      <c r="S82" s="577" t="str">
        <f t="shared" si="101"/>
        <v/>
      </c>
      <c r="T82" s="578" t="str">
        <f t="shared" si="102"/>
        <v/>
      </c>
      <c r="U82" s="572" t="str">
        <f t="shared" si="103"/>
        <v/>
      </c>
      <c r="V82" s="579" t="str">
        <f t="shared" si="139"/>
        <v/>
      </c>
      <c r="W82" s="528" t="str">
        <f t="shared" si="735"/>
        <v/>
      </c>
      <c r="X82" s="572" t="str">
        <f t="shared" si="104"/>
        <v/>
      </c>
      <c r="Y82" s="573" t="str">
        <f t="shared" si="734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5"/>
        <v/>
      </c>
      <c r="AD82" s="580" t="str">
        <f t="shared" si="140"/>
        <v/>
      </c>
      <c r="AE82" s="572" t="str">
        <f t="shared" si="106"/>
        <v/>
      </c>
      <c r="AF82" s="576" t="str">
        <f t="shared" si="107"/>
        <v/>
      </c>
      <c r="AG82" s="545" t="str">
        <f t="shared" si="108"/>
        <v/>
      </c>
      <c r="AH82" s="546" t="str">
        <f t="shared" si="109"/>
        <v/>
      </c>
      <c r="AI82" s="528" t="str">
        <f t="shared" si="110"/>
        <v/>
      </c>
      <c r="AJ82" s="529" t="str">
        <f t="shared" si="111"/>
        <v/>
      </c>
      <c r="AK82" s="578" t="str">
        <f t="shared" si="237"/>
        <v/>
      </c>
      <c r="AL82" s="572" t="str">
        <f t="shared" si="112"/>
        <v/>
      </c>
      <c r="AM82" s="577" t="str">
        <f t="shared" si="113"/>
        <v/>
      </c>
      <c r="AN82" s="524" t="str">
        <f t="shared" si="114"/>
        <v/>
      </c>
      <c r="AO82" s="525" t="str">
        <f t="shared" si="514"/>
        <v/>
      </c>
      <c r="AP82" s="528" t="str">
        <f t="shared" si="116"/>
        <v/>
      </c>
      <c r="AQ82" s="529" t="str">
        <f t="shared" si="533"/>
        <v/>
      </c>
      <c r="AS82" s="946" t="str">
        <f t="shared" si="632"/>
        <v/>
      </c>
      <c r="AT82" s="942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636"/>
        <v/>
      </c>
      <c r="BQ82" s="5" t="str">
        <f t="shared" si="637"/>
        <v/>
      </c>
      <c r="BR82" s="6" t="str">
        <f t="shared" si="638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9"/>
        <v/>
      </c>
      <c r="EZ82" s="51" t="str">
        <f t="shared" si="700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1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2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3"/>
        <v/>
      </c>
      <c r="FZ82" s="277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11" t="str">
        <f t="shared" si="716"/>
        <v/>
      </c>
      <c r="GF82" s="341" t="str">
        <f t="shared" si="717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8"/>
        <v/>
      </c>
      <c r="GK82" s="174" t="str">
        <f t="shared" si="567"/>
        <v/>
      </c>
      <c r="GL82" s="174" t="str">
        <f t="shared" si="719"/>
        <v/>
      </c>
      <c r="GM82" s="177" t="str">
        <f t="shared" si="720"/>
        <v/>
      </c>
      <c r="GN82" s="280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71" t="str">
        <f t="shared" si="725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6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7"/>
        <v/>
      </c>
      <c r="HC82" s="343" t="str">
        <f t="shared" si="728"/>
        <v/>
      </c>
      <c r="HD82" s="363" t="str">
        <f t="shared" si="729"/>
        <v/>
      </c>
      <c r="HE82" s="344" t="str">
        <f t="shared" si="576"/>
        <v/>
      </c>
      <c r="HF82" s="5" t="str">
        <f t="shared" si="577"/>
        <v/>
      </c>
      <c r="HG82" s="343" t="str">
        <f t="shared" si="730"/>
        <v/>
      </c>
      <c r="HH82" s="349" t="str">
        <f t="shared" si="731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23" t="str">
        <f t="shared" si="580"/>
        <v/>
      </c>
      <c r="HN82" s="924" t="str">
        <f t="shared" si="581"/>
        <v/>
      </c>
      <c r="HO82" s="925"/>
      <c r="HP82" s="926"/>
      <c r="HQ82" s="924" t="str">
        <f t="shared" si="582"/>
        <v/>
      </c>
      <c r="HR82" s="927" t="str">
        <f t="shared" si="583"/>
        <v/>
      </c>
      <c r="HS82" s="879" t="str">
        <f t="shared" si="631"/>
        <v/>
      </c>
      <c r="HT82" s="889" t="str">
        <f t="shared" si="584"/>
        <v/>
      </c>
      <c r="HU82" s="890" t="str">
        <f t="shared" si="585"/>
        <v/>
      </c>
      <c r="HV82" s="886" t="str">
        <f t="shared" si="586"/>
        <v/>
      </c>
      <c r="HW82" s="880" t="str">
        <f t="shared" si="587"/>
        <v/>
      </c>
      <c r="HX82" s="881" t="str">
        <f t="shared" si="588"/>
        <v/>
      </c>
      <c r="HY82" s="880" t="str">
        <f t="shared" si="589"/>
        <v/>
      </c>
      <c r="HZ82" s="882" t="str">
        <f t="shared" si="590"/>
        <v/>
      </c>
      <c r="IA82" s="883" t="str">
        <f t="shared" si="591"/>
        <v/>
      </c>
      <c r="IB82" s="884" t="str">
        <f t="shared" si="592"/>
        <v/>
      </c>
      <c r="IC82" s="855" t="str">
        <f t="shared" si="593"/>
        <v/>
      </c>
      <c r="ID82" s="351" t="str">
        <f t="shared" si="594"/>
        <v/>
      </c>
      <c r="IE82" s="857" t="str">
        <f t="shared" si="5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2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3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515"/>
        <v/>
      </c>
      <c r="B83" s="578" t="str">
        <f t="shared" si="516"/>
        <v/>
      </c>
      <c r="C83" s="572" t="str">
        <f t="shared" si="517"/>
        <v/>
      </c>
      <c r="D83" s="576" t="str">
        <f t="shared" si="518"/>
        <v/>
      </c>
      <c r="E83" s="580" t="str">
        <f t="shared" si="519"/>
        <v/>
      </c>
      <c r="F83" s="572" t="str">
        <f t="shared" si="520"/>
        <v/>
      </c>
      <c r="G83" s="579" t="str">
        <f t="shared" si="521"/>
        <v/>
      </c>
      <c r="H83" s="580" t="str">
        <f t="shared" si="522"/>
        <v/>
      </c>
      <c r="I83" s="572" t="str">
        <f t="shared" si="523"/>
        <v/>
      </c>
      <c r="J83" s="483" t="str">
        <f t="shared" si="524"/>
        <v/>
      </c>
      <c r="K83" s="806" t="str">
        <f t="shared" si="525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0"/>
        <v/>
      </c>
      <c r="S83" s="577" t="str">
        <f t="shared" si="101"/>
        <v/>
      </c>
      <c r="T83" s="578" t="str">
        <f t="shared" si="102"/>
        <v/>
      </c>
      <c r="U83" s="572" t="str">
        <f t="shared" si="103"/>
        <v/>
      </c>
      <c r="V83" s="579" t="str">
        <f t="shared" si="139"/>
        <v/>
      </c>
      <c r="W83" s="528" t="str">
        <f t="shared" si="735"/>
        <v/>
      </c>
      <c r="X83" s="572" t="str">
        <f t="shared" si="104"/>
        <v/>
      </c>
      <c r="Y83" s="573" t="str">
        <f t="shared" si="734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5"/>
        <v/>
      </c>
      <c r="AD83" s="580" t="str">
        <f t="shared" si="140"/>
        <v/>
      </c>
      <c r="AE83" s="572" t="str">
        <f t="shared" si="106"/>
        <v/>
      </c>
      <c r="AF83" s="576" t="str">
        <f t="shared" si="107"/>
        <v/>
      </c>
      <c r="AG83" s="545" t="str">
        <f t="shared" si="108"/>
        <v/>
      </c>
      <c r="AH83" s="546" t="str">
        <f t="shared" si="109"/>
        <v/>
      </c>
      <c r="AI83" s="528" t="str">
        <f t="shared" si="110"/>
        <v/>
      </c>
      <c r="AJ83" s="529" t="str">
        <f t="shared" si="111"/>
        <v/>
      </c>
      <c r="AK83" s="578" t="str">
        <f t="shared" si="237"/>
        <v/>
      </c>
      <c r="AL83" s="572" t="str">
        <f t="shared" si="112"/>
        <v/>
      </c>
      <c r="AM83" s="577" t="str">
        <f t="shared" si="113"/>
        <v/>
      </c>
      <c r="AN83" s="524" t="str">
        <f t="shared" si="114"/>
        <v/>
      </c>
      <c r="AO83" s="525" t="str">
        <f t="shared" si="514"/>
        <v/>
      </c>
      <c r="AP83" s="528" t="str">
        <f t="shared" si="116"/>
        <v/>
      </c>
      <c r="AQ83" s="529" t="str">
        <f t="shared" si="533"/>
        <v/>
      </c>
      <c r="AS83" s="946" t="str">
        <f t="shared" si="632"/>
        <v/>
      </c>
      <c r="AT83" s="942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636"/>
        <v/>
      </c>
      <c r="BQ83" s="5" t="str">
        <f t="shared" si="637"/>
        <v/>
      </c>
      <c r="BR83" s="6" t="str">
        <f t="shared" si="638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9"/>
        <v/>
      </c>
      <c r="EZ83" s="51" t="str">
        <f t="shared" si="700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1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2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3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8"/>
        <v/>
      </c>
      <c r="GK83" s="174" t="str">
        <f t="shared" si="567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6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6"/>
        <v/>
      </c>
      <c r="HF83" s="5" t="str">
        <f t="shared" si="577"/>
        <v/>
      </c>
      <c r="HG83" s="343" t="str">
        <f t="shared" si="730"/>
        <v/>
      </c>
      <c r="HH83" s="349" t="str">
        <f t="shared" si="731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23" t="str">
        <f t="shared" si="580"/>
        <v/>
      </c>
      <c r="HN83" s="924" t="str">
        <f t="shared" si="581"/>
        <v/>
      </c>
      <c r="HO83" s="925"/>
      <c r="HP83" s="926"/>
      <c r="HQ83" s="924" t="str">
        <f t="shared" si="582"/>
        <v/>
      </c>
      <c r="HR83" s="927" t="str">
        <f t="shared" si="583"/>
        <v/>
      </c>
      <c r="HS83" s="879" t="str">
        <f t="shared" si="631"/>
        <v/>
      </c>
      <c r="HT83" s="889" t="str">
        <f t="shared" si="584"/>
        <v/>
      </c>
      <c r="HU83" s="890" t="str">
        <f t="shared" si="585"/>
        <v/>
      </c>
      <c r="HV83" s="886" t="str">
        <f t="shared" si="586"/>
        <v/>
      </c>
      <c r="HW83" s="880" t="str">
        <f t="shared" si="587"/>
        <v/>
      </c>
      <c r="HX83" s="881" t="str">
        <f t="shared" si="588"/>
        <v/>
      </c>
      <c r="HY83" s="880" t="str">
        <f t="shared" si="589"/>
        <v/>
      </c>
      <c r="HZ83" s="882" t="str">
        <f t="shared" si="590"/>
        <v/>
      </c>
      <c r="IA83" s="883" t="str">
        <f t="shared" si="591"/>
        <v/>
      </c>
      <c r="IB83" s="884" t="str">
        <f t="shared" si="592"/>
        <v/>
      </c>
      <c r="IC83" s="855" t="str">
        <f t="shared" si="593"/>
        <v/>
      </c>
      <c r="ID83" s="351" t="str">
        <f t="shared" si="594"/>
        <v/>
      </c>
      <c r="IE83" s="857" t="str">
        <f t="shared" si="5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2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3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515"/>
        <v/>
      </c>
      <c r="B84" s="578" t="str">
        <f t="shared" si="516"/>
        <v/>
      </c>
      <c r="C84" s="572" t="str">
        <f t="shared" si="517"/>
        <v/>
      </c>
      <c r="D84" s="576" t="str">
        <f t="shared" si="518"/>
        <v/>
      </c>
      <c r="E84" s="580" t="str">
        <f t="shared" si="519"/>
        <v/>
      </c>
      <c r="F84" s="572" t="str">
        <f t="shared" si="520"/>
        <v/>
      </c>
      <c r="G84" s="579" t="str">
        <f t="shared" si="521"/>
        <v/>
      </c>
      <c r="H84" s="580" t="str">
        <f t="shared" si="522"/>
        <v/>
      </c>
      <c r="I84" s="572" t="str">
        <f t="shared" si="523"/>
        <v/>
      </c>
      <c r="J84" s="483" t="str">
        <f t="shared" si="524"/>
        <v/>
      </c>
      <c r="K84" s="806" t="str">
        <f t="shared" si="525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0"/>
        <v/>
      </c>
      <c r="S84" s="577" t="str">
        <f t="shared" si="101"/>
        <v/>
      </c>
      <c r="T84" s="578" t="str">
        <f t="shared" si="102"/>
        <v/>
      </c>
      <c r="U84" s="572" t="str">
        <f t="shared" si="103"/>
        <v/>
      </c>
      <c r="V84" s="579" t="str">
        <f t="shared" si="139"/>
        <v/>
      </c>
      <c r="W84" s="528" t="str">
        <f t="shared" si="735"/>
        <v/>
      </c>
      <c r="X84" s="572" t="str">
        <f t="shared" si="104"/>
        <v/>
      </c>
      <c r="Y84" s="573" t="str">
        <f t="shared" si="734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5"/>
        <v/>
      </c>
      <c r="AD84" s="580" t="str">
        <f t="shared" si="140"/>
        <v/>
      </c>
      <c r="AE84" s="572" t="str">
        <f t="shared" si="106"/>
        <v/>
      </c>
      <c r="AF84" s="576" t="str">
        <f t="shared" si="107"/>
        <v/>
      </c>
      <c r="AG84" s="545" t="str">
        <f t="shared" si="108"/>
        <v/>
      </c>
      <c r="AH84" s="546" t="str">
        <f t="shared" si="109"/>
        <v/>
      </c>
      <c r="AI84" s="528" t="str">
        <f t="shared" si="110"/>
        <v/>
      </c>
      <c r="AJ84" s="529" t="str">
        <f t="shared" si="111"/>
        <v/>
      </c>
      <c r="AK84" s="578" t="str">
        <f t="shared" si="237"/>
        <v/>
      </c>
      <c r="AL84" s="572" t="str">
        <f t="shared" si="112"/>
        <v/>
      </c>
      <c r="AM84" s="577" t="str">
        <f t="shared" si="113"/>
        <v/>
      </c>
      <c r="AN84" s="524" t="str">
        <f t="shared" si="114"/>
        <v/>
      </c>
      <c r="AO84" s="525" t="str">
        <f t="shared" si="514"/>
        <v/>
      </c>
      <c r="AP84" s="528" t="str">
        <f t="shared" si="116"/>
        <v/>
      </c>
      <c r="AQ84" s="529" t="str">
        <f t="shared" si="533"/>
        <v/>
      </c>
      <c r="AS84" s="946" t="str">
        <f t="shared" si="632"/>
        <v/>
      </c>
      <c r="AT84" s="942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636"/>
        <v/>
      </c>
      <c r="BQ84" s="5" t="str">
        <f t="shared" si="637"/>
        <v/>
      </c>
      <c r="BR84" s="6" t="str">
        <f t="shared" si="638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9"/>
        <v/>
      </c>
      <c r="EZ84" s="51" t="str">
        <f t="shared" si="700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1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2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3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8"/>
        <v/>
      </c>
      <c r="GK84" s="174" t="str">
        <f t="shared" si="567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6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6"/>
        <v/>
      </c>
      <c r="HF84" s="5" t="str">
        <f t="shared" si="577"/>
        <v/>
      </c>
      <c r="HG84" s="343" t="str">
        <f t="shared" si="730"/>
        <v/>
      </c>
      <c r="HH84" s="349" t="str">
        <f t="shared" si="731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23" t="str">
        <f t="shared" si="580"/>
        <v/>
      </c>
      <c r="HN84" s="924" t="str">
        <f t="shared" si="581"/>
        <v/>
      </c>
      <c r="HO84" s="925"/>
      <c r="HP84" s="926"/>
      <c r="HQ84" s="924" t="str">
        <f t="shared" si="582"/>
        <v/>
      </c>
      <c r="HR84" s="927" t="str">
        <f t="shared" si="583"/>
        <v/>
      </c>
      <c r="HS84" s="879" t="str">
        <f t="shared" si="631"/>
        <v/>
      </c>
      <c r="HT84" s="889" t="str">
        <f t="shared" si="584"/>
        <v/>
      </c>
      <c r="HU84" s="890" t="str">
        <f t="shared" si="585"/>
        <v/>
      </c>
      <c r="HV84" s="886" t="str">
        <f t="shared" si="586"/>
        <v/>
      </c>
      <c r="HW84" s="880" t="str">
        <f t="shared" si="587"/>
        <v/>
      </c>
      <c r="HX84" s="881" t="str">
        <f t="shared" si="588"/>
        <v/>
      </c>
      <c r="HY84" s="880" t="str">
        <f t="shared" si="589"/>
        <v/>
      </c>
      <c r="HZ84" s="882" t="str">
        <f t="shared" si="590"/>
        <v/>
      </c>
      <c r="IA84" s="883" t="str">
        <f t="shared" si="591"/>
        <v/>
      </c>
      <c r="IB84" s="884" t="str">
        <f t="shared" si="592"/>
        <v/>
      </c>
      <c r="IC84" s="855" t="str">
        <f t="shared" si="593"/>
        <v/>
      </c>
      <c r="ID84" s="351" t="str">
        <f t="shared" si="594"/>
        <v/>
      </c>
      <c r="IE84" s="857" t="str">
        <f t="shared" si="5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2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3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515"/>
        <v/>
      </c>
      <c r="B85" s="578" t="str">
        <f t="shared" si="516"/>
        <v/>
      </c>
      <c r="C85" s="572" t="str">
        <f t="shared" si="517"/>
        <v/>
      </c>
      <c r="D85" s="576" t="str">
        <f t="shared" si="518"/>
        <v/>
      </c>
      <c r="E85" s="580" t="str">
        <f t="shared" si="519"/>
        <v/>
      </c>
      <c r="F85" s="572" t="str">
        <f t="shared" si="520"/>
        <v/>
      </c>
      <c r="G85" s="579" t="str">
        <f t="shared" si="521"/>
        <v/>
      </c>
      <c r="H85" s="580" t="str">
        <f t="shared" si="522"/>
        <v/>
      </c>
      <c r="I85" s="572" t="str">
        <f t="shared" si="523"/>
        <v/>
      </c>
      <c r="J85" s="483" t="str">
        <f t="shared" si="524"/>
        <v/>
      </c>
      <c r="K85" s="806" t="str">
        <f t="shared" si="525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0"/>
        <v/>
      </c>
      <c r="S85" s="577" t="str">
        <f t="shared" si="101"/>
        <v/>
      </c>
      <c r="T85" s="578" t="str">
        <f t="shared" si="102"/>
        <v/>
      </c>
      <c r="U85" s="572" t="str">
        <f t="shared" si="103"/>
        <v/>
      </c>
      <c r="V85" s="579" t="str">
        <f t="shared" si="139"/>
        <v/>
      </c>
      <c r="W85" s="528" t="str">
        <f t="shared" si="735"/>
        <v/>
      </c>
      <c r="X85" s="572" t="str">
        <f t="shared" si="104"/>
        <v/>
      </c>
      <c r="Y85" s="573" t="str">
        <f t="shared" si="734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5"/>
        <v/>
      </c>
      <c r="AD85" s="580" t="str">
        <f t="shared" si="140"/>
        <v/>
      </c>
      <c r="AE85" s="572" t="str">
        <f t="shared" si="106"/>
        <v/>
      </c>
      <c r="AF85" s="576" t="str">
        <f t="shared" si="107"/>
        <v/>
      </c>
      <c r="AG85" s="545" t="str">
        <f t="shared" si="108"/>
        <v/>
      </c>
      <c r="AH85" s="546" t="str">
        <f t="shared" si="109"/>
        <v/>
      </c>
      <c r="AI85" s="528" t="str">
        <f t="shared" si="110"/>
        <v/>
      </c>
      <c r="AJ85" s="529" t="str">
        <f t="shared" si="111"/>
        <v/>
      </c>
      <c r="AK85" s="578" t="str">
        <f t="shared" si="237"/>
        <v/>
      </c>
      <c r="AL85" s="572" t="str">
        <f t="shared" si="112"/>
        <v/>
      </c>
      <c r="AM85" s="577" t="str">
        <f t="shared" si="113"/>
        <v/>
      </c>
      <c r="AN85" s="524" t="str">
        <f t="shared" si="114"/>
        <v/>
      </c>
      <c r="AO85" s="525" t="str">
        <f t="shared" si="514"/>
        <v/>
      </c>
      <c r="AP85" s="528" t="str">
        <f t="shared" si="116"/>
        <v/>
      </c>
      <c r="AQ85" s="529" t="str">
        <f t="shared" si="533"/>
        <v/>
      </c>
      <c r="AS85" s="946" t="str">
        <f t="shared" si="632"/>
        <v/>
      </c>
      <c r="AT85" s="942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636"/>
        <v/>
      </c>
      <c r="BQ85" s="5" t="str">
        <f t="shared" si="637"/>
        <v/>
      </c>
      <c r="BR85" s="6" t="str">
        <f t="shared" si="638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9"/>
        <v/>
      </c>
      <c r="EZ85" s="51" t="str">
        <f t="shared" si="700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1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2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3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8"/>
        <v/>
      </c>
      <c r="GK85" s="174" t="str">
        <f t="shared" si="567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6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6"/>
        <v/>
      </c>
      <c r="HF85" s="5" t="str">
        <f t="shared" si="577"/>
        <v/>
      </c>
      <c r="HG85" s="343" t="str">
        <f t="shared" si="730"/>
        <v/>
      </c>
      <c r="HH85" s="349" t="str">
        <f t="shared" si="731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23" t="str">
        <f t="shared" si="580"/>
        <v/>
      </c>
      <c r="HN85" s="924" t="str">
        <f t="shared" si="581"/>
        <v/>
      </c>
      <c r="HO85" s="925"/>
      <c r="HP85" s="926"/>
      <c r="HQ85" s="924" t="str">
        <f t="shared" si="582"/>
        <v/>
      </c>
      <c r="HR85" s="927" t="str">
        <f t="shared" si="583"/>
        <v/>
      </c>
      <c r="HS85" s="879" t="str">
        <f t="shared" si="631"/>
        <v/>
      </c>
      <c r="HT85" s="889" t="str">
        <f t="shared" si="584"/>
        <v/>
      </c>
      <c r="HU85" s="890" t="str">
        <f t="shared" si="585"/>
        <v/>
      </c>
      <c r="HV85" s="886" t="str">
        <f t="shared" si="586"/>
        <v/>
      </c>
      <c r="HW85" s="880" t="str">
        <f t="shared" si="587"/>
        <v/>
      </c>
      <c r="HX85" s="881" t="str">
        <f t="shared" si="588"/>
        <v/>
      </c>
      <c r="HY85" s="880" t="str">
        <f t="shared" si="589"/>
        <v/>
      </c>
      <c r="HZ85" s="882" t="str">
        <f t="shared" si="590"/>
        <v/>
      </c>
      <c r="IA85" s="883" t="str">
        <f t="shared" si="591"/>
        <v/>
      </c>
      <c r="IB85" s="884" t="str">
        <f t="shared" si="592"/>
        <v/>
      </c>
      <c r="IC85" s="855" t="str">
        <f t="shared" si="593"/>
        <v/>
      </c>
      <c r="ID85" s="351" t="str">
        <f t="shared" si="594"/>
        <v/>
      </c>
      <c r="IE85" s="857" t="str">
        <f t="shared" si="5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2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3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515"/>
        <v/>
      </c>
      <c r="B86" s="578" t="str">
        <f t="shared" si="516"/>
        <v/>
      </c>
      <c r="C86" s="572" t="str">
        <f t="shared" si="517"/>
        <v/>
      </c>
      <c r="D86" s="576" t="str">
        <f t="shared" si="518"/>
        <v/>
      </c>
      <c r="E86" s="580" t="str">
        <f t="shared" si="519"/>
        <v/>
      </c>
      <c r="F86" s="572" t="str">
        <f t="shared" si="520"/>
        <v/>
      </c>
      <c r="G86" s="579" t="str">
        <f t="shared" si="521"/>
        <v/>
      </c>
      <c r="H86" s="580" t="str">
        <f t="shared" si="522"/>
        <v/>
      </c>
      <c r="I86" s="572" t="str">
        <f t="shared" si="523"/>
        <v/>
      </c>
      <c r="J86" s="483" t="str">
        <f t="shared" si="524"/>
        <v/>
      </c>
      <c r="K86" s="806" t="str">
        <f t="shared" si="525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0"/>
        <v/>
      </c>
      <c r="S86" s="577" t="str">
        <f t="shared" si="101"/>
        <v/>
      </c>
      <c r="T86" s="578" t="str">
        <f t="shared" si="102"/>
        <v/>
      </c>
      <c r="U86" s="572" t="str">
        <f t="shared" si="103"/>
        <v/>
      </c>
      <c r="V86" s="579" t="str">
        <f t="shared" si="139"/>
        <v/>
      </c>
      <c r="W86" s="528" t="str">
        <f t="shared" si="735"/>
        <v/>
      </c>
      <c r="X86" s="572" t="str">
        <f t="shared" si="104"/>
        <v/>
      </c>
      <c r="Y86" s="573" t="str">
        <f t="shared" si="734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5"/>
        <v/>
      </c>
      <c r="AD86" s="580" t="str">
        <f t="shared" si="140"/>
        <v/>
      </c>
      <c r="AE86" s="572" t="str">
        <f t="shared" si="106"/>
        <v/>
      </c>
      <c r="AF86" s="576" t="str">
        <f t="shared" si="107"/>
        <v/>
      </c>
      <c r="AG86" s="545" t="str">
        <f t="shared" si="108"/>
        <v/>
      </c>
      <c r="AH86" s="546" t="str">
        <f t="shared" si="109"/>
        <v/>
      </c>
      <c r="AI86" s="528" t="str">
        <f t="shared" si="110"/>
        <v/>
      </c>
      <c r="AJ86" s="529" t="str">
        <f t="shared" si="111"/>
        <v/>
      </c>
      <c r="AK86" s="578" t="str">
        <f t="shared" si="237"/>
        <v/>
      </c>
      <c r="AL86" s="572" t="str">
        <f t="shared" si="112"/>
        <v/>
      </c>
      <c r="AM86" s="577" t="str">
        <f t="shared" si="113"/>
        <v/>
      </c>
      <c r="AN86" s="524" t="str">
        <f t="shared" si="114"/>
        <v/>
      </c>
      <c r="AO86" s="525" t="str">
        <f t="shared" si="514"/>
        <v/>
      </c>
      <c r="AP86" s="528" t="str">
        <f t="shared" si="116"/>
        <v/>
      </c>
      <c r="AQ86" s="529" t="str">
        <f t="shared" si="533"/>
        <v/>
      </c>
      <c r="AS86" s="946" t="str">
        <f t="shared" si="632"/>
        <v/>
      </c>
      <c r="AT86" s="942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636"/>
        <v/>
      </c>
      <c r="BQ86" s="5" t="str">
        <f t="shared" si="637"/>
        <v/>
      </c>
      <c r="BR86" s="6" t="str">
        <f t="shared" si="638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9"/>
        <v/>
      </c>
      <c r="EZ86" s="51" t="str">
        <f t="shared" si="700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1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2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3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8"/>
        <v/>
      </c>
      <c r="GK86" s="174" t="str">
        <f t="shared" si="567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6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6"/>
        <v/>
      </c>
      <c r="HF86" s="5" t="str">
        <f t="shared" si="577"/>
        <v/>
      </c>
      <c r="HG86" s="343" t="str">
        <f t="shared" si="730"/>
        <v/>
      </c>
      <c r="HH86" s="349" t="str">
        <f t="shared" si="731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23" t="str">
        <f t="shared" si="580"/>
        <v/>
      </c>
      <c r="HN86" s="924" t="str">
        <f t="shared" si="581"/>
        <v/>
      </c>
      <c r="HO86" s="925"/>
      <c r="HP86" s="926"/>
      <c r="HQ86" s="924" t="str">
        <f t="shared" si="582"/>
        <v/>
      </c>
      <c r="HR86" s="927" t="str">
        <f t="shared" si="583"/>
        <v/>
      </c>
      <c r="HS86" s="879" t="str">
        <f t="shared" si="631"/>
        <v/>
      </c>
      <c r="HT86" s="889" t="str">
        <f t="shared" si="584"/>
        <v/>
      </c>
      <c r="HU86" s="890" t="str">
        <f t="shared" si="585"/>
        <v/>
      </c>
      <c r="HV86" s="886" t="str">
        <f t="shared" si="586"/>
        <v/>
      </c>
      <c r="HW86" s="880" t="str">
        <f t="shared" si="587"/>
        <v/>
      </c>
      <c r="HX86" s="881" t="str">
        <f t="shared" si="588"/>
        <v/>
      </c>
      <c r="HY86" s="880" t="str">
        <f t="shared" si="589"/>
        <v/>
      </c>
      <c r="HZ86" s="882" t="str">
        <f t="shared" si="590"/>
        <v/>
      </c>
      <c r="IA86" s="883" t="str">
        <f t="shared" si="591"/>
        <v/>
      </c>
      <c r="IB86" s="884" t="str">
        <f t="shared" si="592"/>
        <v/>
      </c>
      <c r="IC86" s="855" t="str">
        <f t="shared" si="593"/>
        <v/>
      </c>
      <c r="ID86" s="351" t="str">
        <f t="shared" si="594"/>
        <v/>
      </c>
      <c r="IE86" s="857" t="str">
        <f t="shared" si="5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2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3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515"/>
        <v/>
      </c>
      <c r="B87" s="578" t="str">
        <f t="shared" si="516"/>
        <v/>
      </c>
      <c r="C87" s="572" t="str">
        <f t="shared" si="517"/>
        <v/>
      </c>
      <c r="D87" s="576" t="str">
        <f t="shared" si="518"/>
        <v/>
      </c>
      <c r="E87" s="580" t="str">
        <f t="shared" si="519"/>
        <v/>
      </c>
      <c r="F87" s="572" t="str">
        <f t="shared" si="520"/>
        <v/>
      </c>
      <c r="G87" s="579" t="str">
        <f t="shared" si="521"/>
        <v/>
      </c>
      <c r="H87" s="580" t="str">
        <f t="shared" si="522"/>
        <v/>
      </c>
      <c r="I87" s="572" t="str">
        <f t="shared" si="523"/>
        <v/>
      </c>
      <c r="J87" s="483" t="str">
        <f t="shared" si="524"/>
        <v/>
      </c>
      <c r="K87" s="806" t="str">
        <f t="shared" si="525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0"/>
        <v/>
      </c>
      <c r="S87" s="577" t="str">
        <f t="shared" si="101"/>
        <v/>
      </c>
      <c r="T87" s="578" t="str">
        <f t="shared" si="102"/>
        <v/>
      </c>
      <c r="U87" s="572" t="str">
        <f t="shared" si="103"/>
        <v/>
      </c>
      <c r="V87" s="579" t="str">
        <f t="shared" si="139"/>
        <v/>
      </c>
      <c r="W87" s="528" t="str">
        <f t="shared" si="735"/>
        <v/>
      </c>
      <c r="X87" s="572" t="str">
        <f t="shared" si="104"/>
        <v/>
      </c>
      <c r="Y87" s="573" t="str">
        <f t="shared" si="734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5"/>
        <v/>
      </c>
      <c r="AD87" s="580" t="str">
        <f t="shared" si="140"/>
        <v/>
      </c>
      <c r="AE87" s="572" t="str">
        <f t="shared" si="106"/>
        <v/>
      </c>
      <c r="AF87" s="576" t="str">
        <f t="shared" si="107"/>
        <v/>
      </c>
      <c r="AG87" s="545" t="str">
        <f t="shared" si="108"/>
        <v/>
      </c>
      <c r="AH87" s="546" t="str">
        <f t="shared" si="109"/>
        <v/>
      </c>
      <c r="AI87" s="528" t="str">
        <f t="shared" si="110"/>
        <v/>
      </c>
      <c r="AJ87" s="529" t="str">
        <f t="shared" si="111"/>
        <v/>
      </c>
      <c r="AK87" s="578" t="str">
        <f t="shared" si="237"/>
        <v/>
      </c>
      <c r="AL87" s="572" t="str">
        <f t="shared" si="112"/>
        <v/>
      </c>
      <c r="AM87" s="577" t="str">
        <f t="shared" si="113"/>
        <v/>
      </c>
      <c r="AN87" s="524" t="str">
        <f t="shared" si="114"/>
        <v/>
      </c>
      <c r="AO87" s="525" t="str">
        <f t="shared" si="514"/>
        <v/>
      </c>
      <c r="AP87" s="528" t="str">
        <f t="shared" si="116"/>
        <v/>
      </c>
      <c r="AQ87" s="529" t="str">
        <f t="shared" si="533"/>
        <v/>
      </c>
      <c r="AS87" s="946" t="str">
        <f t="shared" si="632"/>
        <v/>
      </c>
      <c r="AT87" s="942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636"/>
        <v/>
      </c>
      <c r="BQ87" s="5" t="str">
        <f t="shared" si="637"/>
        <v/>
      </c>
      <c r="BR87" s="6" t="str">
        <f t="shared" si="638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9"/>
        <v/>
      </c>
      <c r="EZ87" s="51" t="str">
        <f t="shared" si="700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1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2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3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8"/>
        <v/>
      </c>
      <c r="GK87" s="174" t="str">
        <f t="shared" si="567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6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6"/>
        <v/>
      </c>
      <c r="HF87" s="5" t="str">
        <f t="shared" si="577"/>
        <v/>
      </c>
      <c r="HG87" s="343" t="str">
        <f t="shared" si="730"/>
        <v/>
      </c>
      <c r="HH87" s="349" t="str">
        <f t="shared" si="731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23" t="str">
        <f t="shared" si="580"/>
        <v/>
      </c>
      <c r="HN87" s="924" t="str">
        <f t="shared" si="581"/>
        <v/>
      </c>
      <c r="HO87" s="925"/>
      <c r="HP87" s="926"/>
      <c r="HQ87" s="924" t="str">
        <f t="shared" si="582"/>
        <v/>
      </c>
      <c r="HR87" s="927" t="str">
        <f t="shared" si="583"/>
        <v/>
      </c>
      <c r="HS87" s="879" t="str">
        <f t="shared" si="631"/>
        <v/>
      </c>
      <c r="HT87" s="889" t="str">
        <f t="shared" si="584"/>
        <v/>
      </c>
      <c r="HU87" s="890" t="str">
        <f t="shared" si="585"/>
        <v/>
      </c>
      <c r="HV87" s="886" t="str">
        <f t="shared" si="586"/>
        <v/>
      </c>
      <c r="HW87" s="880" t="str">
        <f t="shared" si="587"/>
        <v/>
      </c>
      <c r="HX87" s="881" t="str">
        <f t="shared" si="588"/>
        <v/>
      </c>
      <c r="HY87" s="880" t="str">
        <f t="shared" si="589"/>
        <v/>
      </c>
      <c r="HZ87" s="882" t="str">
        <f t="shared" si="590"/>
        <v/>
      </c>
      <c r="IA87" s="883" t="str">
        <f t="shared" si="591"/>
        <v/>
      </c>
      <c r="IB87" s="884" t="str">
        <f t="shared" si="592"/>
        <v/>
      </c>
      <c r="IC87" s="855" t="str">
        <f t="shared" si="593"/>
        <v/>
      </c>
      <c r="ID87" s="351" t="str">
        <f t="shared" si="594"/>
        <v/>
      </c>
      <c r="IE87" s="857" t="str">
        <f t="shared" si="5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2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3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515"/>
        <v/>
      </c>
      <c r="B88" s="578" t="str">
        <f t="shared" si="516"/>
        <v/>
      </c>
      <c r="C88" s="572" t="str">
        <f t="shared" si="517"/>
        <v/>
      </c>
      <c r="D88" s="576" t="str">
        <f t="shared" si="518"/>
        <v/>
      </c>
      <c r="E88" s="580" t="str">
        <f t="shared" si="519"/>
        <v/>
      </c>
      <c r="F88" s="572" t="str">
        <f t="shared" si="520"/>
        <v/>
      </c>
      <c r="G88" s="579" t="str">
        <f t="shared" si="521"/>
        <v/>
      </c>
      <c r="H88" s="580" t="str">
        <f t="shared" si="522"/>
        <v/>
      </c>
      <c r="I88" s="572" t="str">
        <f t="shared" si="523"/>
        <v/>
      </c>
      <c r="J88" s="483" t="str">
        <f t="shared" si="524"/>
        <v/>
      </c>
      <c r="K88" s="806" t="str">
        <f t="shared" si="525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0"/>
        <v/>
      </c>
      <c r="S88" s="577" t="str">
        <f t="shared" si="101"/>
        <v/>
      </c>
      <c r="T88" s="578" t="str">
        <f t="shared" si="102"/>
        <v/>
      </c>
      <c r="U88" s="572" t="str">
        <f t="shared" si="103"/>
        <v/>
      </c>
      <c r="V88" s="579" t="str">
        <f t="shared" si="139"/>
        <v/>
      </c>
      <c r="W88" s="528" t="str">
        <f t="shared" si="735"/>
        <v/>
      </c>
      <c r="X88" s="572" t="str">
        <f t="shared" si="104"/>
        <v/>
      </c>
      <c r="Y88" s="573" t="str">
        <f t="shared" si="734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5"/>
        <v/>
      </c>
      <c r="AD88" s="580" t="str">
        <f t="shared" si="140"/>
        <v/>
      </c>
      <c r="AE88" s="572" t="str">
        <f t="shared" si="106"/>
        <v/>
      </c>
      <c r="AF88" s="576" t="str">
        <f t="shared" si="107"/>
        <v/>
      </c>
      <c r="AG88" s="545" t="str">
        <f t="shared" si="108"/>
        <v/>
      </c>
      <c r="AH88" s="546" t="str">
        <f t="shared" si="109"/>
        <v/>
      </c>
      <c r="AI88" s="528" t="str">
        <f t="shared" si="110"/>
        <v/>
      </c>
      <c r="AJ88" s="529" t="str">
        <f t="shared" si="111"/>
        <v/>
      </c>
      <c r="AK88" s="578" t="str">
        <f t="shared" si="237"/>
        <v/>
      </c>
      <c r="AL88" s="572" t="str">
        <f t="shared" si="112"/>
        <v/>
      </c>
      <c r="AM88" s="577" t="str">
        <f t="shared" si="113"/>
        <v/>
      </c>
      <c r="AN88" s="524" t="str">
        <f t="shared" si="114"/>
        <v/>
      </c>
      <c r="AO88" s="525" t="str">
        <f t="shared" si="514"/>
        <v/>
      </c>
      <c r="AP88" s="528" t="str">
        <f t="shared" si="116"/>
        <v/>
      </c>
      <c r="AQ88" s="529" t="str">
        <f t="shared" si="533"/>
        <v/>
      </c>
      <c r="AS88" s="946" t="str">
        <f t="shared" si="632"/>
        <v/>
      </c>
      <c r="AT88" s="942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636"/>
        <v/>
      </c>
      <c r="BQ88" s="5" t="str">
        <f t="shared" si="637"/>
        <v/>
      </c>
      <c r="BR88" s="6" t="str">
        <f t="shared" si="638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9"/>
        <v/>
      </c>
      <c r="EZ88" s="51" t="str">
        <f t="shared" si="700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1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2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3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8"/>
        <v/>
      </c>
      <c r="GK88" s="174" t="str">
        <f t="shared" si="567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6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6"/>
        <v/>
      </c>
      <c r="HF88" s="5" t="str">
        <f t="shared" si="577"/>
        <v/>
      </c>
      <c r="HG88" s="343" t="str">
        <f t="shared" si="730"/>
        <v/>
      </c>
      <c r="HH88" s="349" t="str">
        <f t="shared" si="731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23" t="str">
        <f t="shared" si="580"/>
        <v/>
      </c>
      <c r="HN88" s="924" t="str">
        <f t="shared" si="581"/>
        <v/>
      </c>
      <c r="HO88" s="925"/>
      <c r="HP88" s="926"/>
      <c r="HQ88" s="924" t="str">
        <f t="shared" si="582"/>
        <v/>
      </c>
      <c r="HR88" s="927" t="str">
        <f t="shared" si="583"/>
        <v/>
      </c>
      <c r="HS88" s="879" t="str">
        <f t="shared" si="631"/>
        <v/>
      </c>
      <c r="HT88" s="889" t="str">
        <f t="shared" si="584"/>
        <v/>
      </c>
      <c r="HU88" s="890" t="str">
        <f t="shared" si="585"/>
        <v/>
      </c>
      <c r="HV88" s="886" t="str">
        <f t="shared" si="586"/>
        <v/>
      </c>
      <c r="HW88" s="880" t="str">
        <f t="shared" si="587"/>
        <v/>
      </c>
      <c r="HX88" s="881" t="str">
        <f t="shared" si="588"/>
        <v/>
      </c>
      <c r="HY88" s="880" t="str">
        <f t="shared" si="589"/>
        <v/>
      </c>
      <c r="HZ88" s="882" t="str">
        <f t="shared" si="590"/>
        <v/>
      </c>
      <c r="IA88" s="883" t="str">
        <f t="shared" si="591"/>
        <v/>
      </c>
      <c r="IB88" s="884" t="str">
        <f t="shared" si="592"/>
        <v/>
      </c>
      <c r="IC88" s="855" t="str">
        <f t="shared" si="593"/>
        <v/>
      </c>
      <c r="ID88" s="351" t="str">
        <f t="shared" si="594"/>
        <v/>
      </c>
      <c r="IE88" s="857" t="str">
        <f t="shared" si="5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2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3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515"/>
        <v/>
      </c>
      <c r="B89" s="578" t="str">
        <f t="shared" si="516"/>
        <v/>
      </c>
      <c r="C89" s="572" t="str">
        <f t="shared" si="517"/>
        <v/>
      </c>
      <c r="D89" s="576" t="str">
        <f t="shared" si="518"/>
        <v/>
      </c>
      <c r="E89" s="580" t="str">
        <f t="shared" si="519"/>
        <v/>
      </c>
      <c r="F89" s="572" t="str">
        <f t="shared" si="520"/>
        <v/>
      </c>
      <c r="G89" s="579" t="str">
        <f t="shared" si="521"/>
        <v/>
      </c>
      <c r="H89" s="580" t="str">
        <f t="shared" si="522"/>
        <v/>
      </c>
      <c r="I89" s="572" t="str">
        <f t="shared" si="523"/>
        <v/>
      </c>
      <c r="J89" s="483" t="str">
        <f t="shared" si="524"/>
        <v/>
      </c>
      <c r="K89" s="806" t="str">
        <f t="shared" si="525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0"/>
        <v/>
      </c>
      <c r="S89" s="577" t="str">
        <f t="shared" si="101"/>
        <v/>
      </c>
      <c r="T89" s="578" t="str">
        <f t="shared" si="102"/>
        <v/>
      </c>
      <c r="U89" s="572" t="str">
        <f t="shared" si="103"/>
        <v/>
      </c>
      <c r="V89" s="579" t="str">
        <f t="shared" si="139"/>
        <v/>
      </c>
      <c r="W89" s="528" t="str">
        <f t="shared" si="735"/>
        <v/>
      </c>
      <c r="X89" s="572" t="str">
        <f t="shared" si="104"/>
        <v/>
      </c>
      <c r="Y89" s="573" t="str">
        <f t="shared" si="734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5"/>
        <v/>
      </c>
      <c r="AD89" s="580" t="str">
        <f t="shared" si="140"/>
        <v/>
      </c>
      <c r="AE89" s="572" t="str">
        <f t="shared" si="106"/>
        <v/>
      </c>
      <c r="AF89" s="576" t="str">
        <f t="shared" si="107"/>
        <v/>
      </c>
      <c r="AG89" s="545" t="str">
        <f t="shared" si="108"/>
        <v/>
      </c>
      <c r="AH89" s="546" t="str">
        <f t="shared" si="109"/>
        <v/>
      </c>
      <c r="AI89" s="528" t="str">
        <f t="shared" si="110"/>
        <v/>
      </c>
      <c r="AJ89" s="529" t="str">
        <f t="shared" si="111"/>
        <v/>
      </c>
      <c r="AK89" s="578" t="str">
        <f t="shared" si="237"/>
        <v/>
      </c>
      <c r="AL89" s="572" t="str">
        <f t="shared" si="112"/>
        <v/>
      </c>
      <c r="AM89" s="577" t="str">
        <f t="shared" si="113"/>
        <v/>
      </c>
      <c r="AN89" s="524" t="str">
        <f t="shared" si="114"/>
        <v/>
      </c>
      <c r="AO89" s="525" t="str">
        <f t="shared" si="514"/>
        <v/>
      </c>
      <c r="AP89" s="528" t="str">
        <f t="shared" si="116"/>
        <v/>
      </c>
      <c r="AQ89" s="529" t="str">
        <f t="shared" si="533"/>
        <v/>
      </c>
      <c r="AS89" s="946" t="str">
        <f t="shared" si="632"/>
        <v/>
      </c>
      <c r="AT89" s="942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636"/>
        <v/>
      </c>
      <c r="BQ89" s="5" t="str">
        <f t="shared" si="637"/>
        <v/>
      </c>
      <c r="BR89" s="6" t="str">
        <f t="shared" si="638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9"/>
        <v/>
      </c>
      <c r="EZ89" s="51" t="str">
        <f t="shared" si="700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1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2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3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8"/>
        <v/>
      </c>
      <c r="GK89" s="174" t="str">
        <f t="shared" si="567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6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6"/>
        <v/>
      </c>
      <c r="HF89" s="5" t="str">
        <f t="shared" si="577"/>
        <v/>
      </c>
      <c r="HG89" s="343" t="str">
        <f t="shared" si="730"/>
        <v/>
      </c>
      <c r="HH89" s="349" t="str">
        <f t="shared" si="731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23" t="str">
        <f t="shared" si="580"/>
        <v/>
      </c>
      <c r="HN89" s="924" t="str">
        <f t="shared" si="581"/>
        <v/>
      </c>
      <c r="HO89" s="925"/>
      <c r="HP89" s="926"/>
      <c r="HQ89" s="924" t="str">
        <f t="shared" si="582"/>
        <v/>
      </c>
      <c r="HR89" s="927" t="str">
        <f t="shared" si="583"/>
        <v/>
      </c>
      <c r="HS89" s="879" t="str">
        <f t="shared" si="631"/>
        <v/>
      </c>
      <c r="HT89" s="889" t="str">
        <f t="shared" si="584"/>
        <v/>
      </c>
      <c r="HU89" s="890" t="str">
        <f t="shared" si="585"/>
        <v/>
      </c>
      <c r="HV89" s="886" t="str">
        <f t="shared" si="586"/>
        <v/>
      </c>
      <c r="HW89" s="880" t="str">
        <f t="shared" si="587"/>
        <v/>
      </c>
      <c r="HX89" s="881" t="str">
        <f t="shared" si="588"/>
        <v/>
      </c>
      <c r="HY89" s="880" t="str">
        <f t="shared" si="589"/>
        <v/>
      </c>
      <c r="HZ89" s="882" t="str">
        <f t="shared" si="590"/>
        <v/>
      </c>
      <c r="IA89" s="883" t="str">
        <f t="shared" si="591"/>
        <v/>
      </c>
      <c r="IB89" s="884" t="str">
        <f t="shared" si="592"/>
        <v/>
      </c>
      <c r="IC89" s="855" t="str">
        <f t="shared" si="593"/>
        <v/>
      </c>
      <c r="ID89" s="351" t="str">
        <f t="shared" si="594"/>
        <v/>
      </c>
      <c r="IE89" s="857" t="str">
        <f t="shared" si="5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2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3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515"/>
        <v/>
      </c>
      <c r="B90" s="578" t="str">
        <f t="shared" si="516"/>
        <v/>
      </c>
      <c r="C90" s="572" t="str">
        <f t="shared" si="517"/>
        <v/>
      </c>
      <c r="D90" s="576" t="str">
        <f t="shared" si="518"/>
        <v/>
      </c>
      <c r="E90" s="580" t="str">
        <f t="shared" si="519"/>
        <v/>
      </c>
      <c r="F90" s="572" t="str">
        <f t="shared" si="520"/>
        <v/>
      </c>
      <c r="G90" s="579" t="str">
        <f t="shared" si="521"/>
        <v/>
      </c>
      <c r="H90" s="580" t="str">
        <f t="shared" si="522"/>
        <v/>
      </c>
      <c r="I90" s="572" t="str">
        <f t="shared" si="523"/>
        <v/>
      </c>
      <c r="J90" s="483" t="str">
        <f t="shared" si="524"/>
        <v/>
      </c>
      <c r="K90" s="806" t="str">
        <f t="shared" si="525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0"/>
        <v/>
      </c>
      <c r="S90" s="577" t="str">
        <f t="shared" si="101"/>
        <v/>
      </c>
      <c r="T90" s="578" t="str">
        <f t="shared" si="102"/>
        <v/>
      </c>
      <c r="U90" s="572" t="str">
        <f t="shared" si="103"/>
        <v/>
      </c>
      <c r="V90" s="579" t="str">
        <f t="shared" si="139"/>
        <v/>
      </c>
      <c r="W90" s="528" t="str">
        <f t="shared" si="735"/>
        <v/>
      </c>
      <c r="X90" s="572" t="str">
        <f t="shared" si="104"/>
        <v/>
      </c>
      <c r="Y90" s="573" t="str">
        <f t="shared" si="734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5"/>
        <v/>
      </c>
      <c r="AD90" s="580" t="str">
        <f t="shared" si="140"/>
        <v/>
      </c>
      <c r="AE90" s="572" t="str">
        <f t="shared" si="106"/>
        <v/>
      </c>
      <c r="AF90" s="576" t="str">
        <f t="shared" si="107"/>
        <v/>
      </c>
      <c r="AG90" s="545" t="str">
        <f t="shared" si="108"/>
        <v/>
      </c>
      <c r="AH90" s="546" t="str">
        <f t="shared" si="109"/>
        <v/>
      </c>
      <c r="AI90" s="528" t="str">
        <f t="shared" si="110"/>
        <v/>
      </c>
      <c r="AJ90" s="529" t="str">
        <f t="shared" si="111"/>
        <v/>
      </c>
      <c r="AK90" s="578" t="str">
        <f t="shared" si="237"/>
        <v/>
      </c>
      <c r="AL90" s="572" t="str">
        <f t="shared" si="112"/>
        <v/>
      </c>
      <c r="AM90" s="577" t="str">
        <f t="shared" si="113"/>
        <v/>
      </c>
      <c r="AN90" s="524" t="str">
        <f t="shared" si="114"/>
        <v/>
      </c>
      <c r="AO90" s="525" t="str">
        <f t="shared" si="514"/>
        <v/>
      </c>
      <c r="AP90" s="528" t="str">
        <f t="shared" si="116"/>
        <v/>
      </c>
      <c r="AQ90" s="529" t="str">
        <f t="shared" si="533"/>
        <v/>
      </c>
      <c r="AS90" s="946" t="str">
        <f t="shared" si="632"/>
        <v/>
      </c>
      <c r="AT90" s="942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636"/>
        <v/>
      </c>
      <c r="BQ90" s="5" t="str">
        <f t="shared" si="637"/>
        <v/>
      </c>
      <c r="BR90" s="6" t="str">
        <f t="shared" si="638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9"/>
        <v/>
      </c>
      <c r="EZ90" s="51" t="str">
        <f t="shared" si="700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1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2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3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8"/>
        <v/>
      </c>
      <c r="GK90" s="174" t="str">
        <f t="shared" si="567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6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6"/>
        <v/>
      </c>
      <c r="HF90" s="5" t="str">
        <f t="shared" si="577"/>
        <v/>
      </c>
      <c r="HG90" s="343" t="str">
        <f t="shared" si="730"/>
        <v/>
      </c>
      <c r="HH90" s="349" t="str">
        <f t="shared" si="731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23" t="str">
        <f t="shared" si="580"/>
        <v/>
      </c>
      <c r="HN90" s="924" t="str">
        <f t="shared" si="581"/>
        <v/>
      </c>
      <c r="HO90" s="925"/>
      <c r="HP90" s="926"/>
      <c r="HQ90" s="924" t="str">
        <f t="shared" si="582"/>
        <v/>
      </c>
      <c r="HR90" s="927" t="str">
        <f t="shared" si="583"/>
        <v/>
      </c>
      <c r="HS90" s="879" t="str">
        <f t="shared" si="631"/>
        <v/>
      </c>
      <c r="HT90" s="889" t="str">
        <f t="shared" si="584"/>
        <v/>
      </c>
      <c r="HU90" s="890" t="str">
        <f t="shared" si="585"/>
        <v/>
      </c>
      <c r="HV90" s="886" t="str">
        <f t="shared" si="586"/>
        <v/>
      </c>
      <c r="HW90" s="880" t="str">
        <f t="shared" si="587"/>
        <v/>
      </c>
      <c r="HX90" s="881" t="str">
        <f t="shared" si="588"/>
        <v/>
      </c>
      <c r="HY90" s="880" t="str">
        <f t="shared" si="589"/>
        <v/>
      </c>
      <c r="HZ90" s="882" t="str">
        <f t="shared" si="590"/>
        <v/>
      </c>
      <c r="IA90" s="883" t="str">
        <f t="shared" si="591"/>
        <v/>
      </c>
      <c r="IB90" s="884" t="str">
        <f t="shared" si="592"/>
        <v/>
      </c>
      <c r="IC90" s="855" t="str">
        <f t="shared" si="593"/>
        <v/>
      </c>
      <c r="ID90" s="351" t="str">
        <f t="shared" si="594"/>
        <v/>
      </c>
      <c r="IE90" s="857" t="str">
        <f t="shared" si="5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2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3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515"/>
        <v/>
      </c>
      <c r="B91" s="578" t="str">
        <f t="shared" si="516"/>
        <v/>
      </c>
      <c r="C91" s="572" t="str">
        <f t="shared" si="517"/>
        <v/>
      </c>
      <c r="D91" s="576" t="str">
        <f t="shared" si="518"/>
        <v/>
      </c>
      <c r="E91" s="580" t="str">
        <f t="shared" si="519"/>
        <v/>
      </c>
      <c r="F91" s="572" t="str">
        <f t="shared" si="520"/>
        <v/>
      </c>
      <c r="G91" s="579" t="str">
        <f t="shared" si="521"/>
        <v/>
      </c>
      <c r="H91" s="580" t="str">
        <f t="shared" si="522"/>
        <v/>
      </c>
      <c r="I91" s="572" t="str">
        <f t="shared" si="523"/>
        <v/>
      </c>
      <c r="J91" s="483" t="str">
        <f t="shared" si="524"/>
        <v/>
      </c>
      <c r="K91" s="806" t="str">
        <f t="shared" si="525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0"/>
        <v/>
      </c>
      <c r="S91" s="577" t="str">
        <f t="shared" si="101"/>
        <v/>
      </c>
      <c r="T91" s="578" t="str">
        <f t="shared" si="102"/>
        <v/>
      </c>
      <c r="U91" s="572" t="str">
        <f t="shared" si="103"/>
        <v/>
      </c>
      <c r="V91" s="579" t="str">
        <f t="shared" si="139"/>
        <v/>
      </c>
      <c r="W91" s="528" t="str">
        <f t="shared" si="735"/>
        <v/>
      </c>
      <c r="X91" s="572" t="str">
        <f t="shared" si="104"/>
        <v/>
      </c>
      <c r="Y91" s="573" t="str">
        <f t="shared" si="734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5"/>
        <v/>
      </c>
      <c r="AD91" s="580" t="str">
        <f t="shared" si="140"/>
        <v/>
      </c>
      <c r="AE91" s="572" t="str">
        <f t="shared" si="106"/>
        <v/>
      </c>
      <c r="AF91" s="576" t="str">
        <f t="shared" si="107"/>
        <v/>
      </c>
      <c r="AG91" s="545" t="str">
        <f t="shared" si="108"/>
        <v/>
      </c>
      <c r="AH91" s="546" t="str">
        <f t="shared" si="109"/>
        <v/>
      </c>
      <c r="AI91" s="528" t="str">
        <f t="shared" si="110"/>
        <v/>
      </c>
      <c r="AJ91" s="529" t="str">
        <f t="shared" si="111"/>
        <v/>
      </c>
      <c r="AK91" s="578" t="str">
        <f t="shared" si="237"/>
        <v/>
      </c>
      <c r="AL91" s="572" t="str">
        <f t="shared" si="112"/>
        <v/>
      </c>
      <c r="AM91" s="577" t="str">
        <f t="shared" si="113"/>
        <v/>
      </c>
      <c r="AN91" s="524" t="str">
        <f t="shared" si="114"/>
        <v/>
      </c>
      <c r="AO91" s="525" t="str">
        <f t="shared" si="514"/>
        <v/>
      </c>
      <c r="AP91" s="528" t="str">
        <f t="shared" si="116"/>
        <v/>
      </c>
      <c r="AQ91" s="529" t="str">
        <f t="shared" si="533"/>
        <v/>
      </c>
      <c r="AS91" s="946" t="str">
        <f t="shared" si="632"/>
        <v/>
      </c>
      <c r="AT91" s="942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636"/>
        <v/>
      </c>
      <c r="BQ91" s="5" t="str">
        <f t="shared" si="637"/>
        <v/>
      </c>
      <c r="BR91" s="6" t="str">
        <f t="shared" si="638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9"/>
        <v/>
      </c>
      <c r="EZ91" s="51" t="str">
        <f t="shared" si="700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1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2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3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8"/>
        <v/>
      </c>
      <c r="GK91" s="174" t="str">
        <f t="shared" si="567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6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6"/>
        <v/>
      </c>
      <c r="HF91" s="5" t="str">
        <f t="shared" si="577"/>
        <v/>
      </c>
      <c r="HG91" s="343" t="str">
        <f t="shared" si="730"/>
        <v/>
      </c>
      <c r="HH91" s="349" t="str">
        <f t="shared" si="731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23" t="str">
        <f t="shared" si="580"/>
        <v/>
      </c>
      <c r="HN91" s="924" t="str">
        <f t="shared" si="581"/>
        <v/>
      </c>
      <c r="HO91" s="925"/>
      <c r="HP91" s="926"/>
      <c r="HQ91" s="924" t="str">
        <f t="shared" si="582"/>
        <v/>
      </c>
      <c r="HR91" s="927" t="str">
        <f t="shared" si="583"/>
        <v/>
      </c>
      <c r="HS91" s="879" t="str">
        <f t="shared" si="631"/>
        <v/>
      </c>
      <c r="HT91" s="889" t="str">
        <f t="shared" si="584"/>
        <v/>
      </c>
      <c r="HU91" s="890" t="str">
        <f t="shared" si="585"/>
        <v/>
      </c>
      <c r="HV91" s="886" t="str">
        <f t="shared" si="586"/>
        <v/>
      </c>
      <c r="HW91" s="880" t="str">
        <f t="shared" si="587"/>
        <v/>
      </c>
      <c r="HX91" s="881" t="str">
        <f t="shared" si="588"/>
        <v/>
      </c>
      <c r="HY91" s="880" t="str">
        <f t="shared" si="589"/>
        <v/>
      </c>
      <c r="HZ91" s="882" t="str">
        <f t="shared" si="590"/>
        <v/>
      </c>
      <c r="IA91" s="883" t="str">
        <f t="shared" si="591"/>
        <v/>
      </c>
      <c r="IB91" s="884" t="str">
        <f t="shared" si="592"/>
        <v/>
      </c>
      <c r="IC91" s="855" t="str">
        <f t="shared" si="593"/>
        <v/>
      </c>
      <c r="ID91" s="351" t="str">
        <f t="shared" si="594"/>
        <v/>
      </c>
      <c r="IE91" s="857" t="str">
        <f t="shared" si="5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2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3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515"/>
        <v/>
      </c>
      <c r="B92" s="578" t="str">
        <f t="shared" si="516"/>
        <v/>
      </c>
      <c r="C92" s="572" t="str">
        <f t="shared" si="517"/>
        <v/>
      </c>
      <c r="D92" s="576" t="str">
        <f t="shared" si="518"/>
        <v/>
      </c>
      <c r="E92" s="580" t="str">
        <f t="shared" si="519"/>
        <v/>
      </c>
      <c r="F92" s="572" t="str">
        <f t="shared" si="520"/>
        <v/>
      </c>
      <c r="G92" s="579" t="str">
        <f t="shared" si="521"/>
        <v/>
      </c>
      <c r="H92" s="580" t="str">
        <f t="shared" si="522"/>
        <v/>
      </c>
      <c r="I92" s="572" t="str">
        <f t="shared" si="523"/>
        <v/>
      </c>
      <c r="J92" s="483" t="str">
        <f t="shared" si="524"/>
        <v/>
      </c>
      <c r="K92" s="806" t="str">
        <f t="shared" si="525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0"/>
        <v/>
      </c>
      <c r="S92" s="577" t="str">
        <f t="shared" si="101"/>
        <v/>
      </c>
      <c r="T92" s="578" t="str">
        <f t="shared" si="102"/>
        <v/>
      </c>
      <c r="U92" s="572" t="str">
        <f t="shared" si="103"/>
        <v/>
      </c>
      <c r="V92" s="579" t="str">
        <f t="shared" si="139"/>
        <v/>
      </c>
      <c r="W92" s="528" t="str">
        <f t="shared" si="735"/>
        <v/>
      </c>
      <c r="X92" s="572" t="str">
        <f t="shared" si="104"/>
        <v/>
      </c>
      <c r="Y92" s="573" t="str">
        <f t="shared" si="734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5"/>
        <v/>
      </c>
      <c r="AD92" s="580" t="str">
        <f t="shared" si="140"/>
        <v/>
      </c>
      <c r="AE92" s="572" t="str">
        <f t="shared" si="106"/>
        <v/>
      </c>
      <c r="AF92" s="576" t="str">
        <f t="shared" si="107"/>
        <v/>
      </c>
      <c r="AG92" s="545" t="str">
        <f t="shared" si="108"/>
        <v/>
      </c>
      <c r="AH92" s="546" t="str">
        <f t="shared" si="109"/>
        <v/>
      </c>
      <c r="AI92" s="528" t="str">
        <f t="shared" si="110"/>
        <v/>
      </c>
      <c r="AJ92" s="529" t="str">
        <f t="shared" si="111"/>
        <v/>
      </c>
      <c r="AK92" s="578" t="str">
        <f t="shared" si="237"/>
        <v/>
      </c>
      <c r="AL92" s="572" t="str">
        <f t="shared" si="112"/>
        <v/>
      </c>
      <c r="AM92" s="577" t="str">
        <f t="shared" si="113"/>
        <v/>
      </c>
      <c r="AN92" s="524" t="str">
        <f t="shared" si="114"/>
        <v/>
      </c>
      <c r="AO92" s="525" t="str">
        <f t="shared" si="514"/>
        <v/>
      </c>
      <c r="AP92" s="528" t="str">
        <f t="shared" si="116"/>
        <v/>
      </c>
      <c r="AQ92" s="529" t="str">
        <f t="shared" si="533"/>
        <v/>
      </c>
      <c r="AS92" s="946" t="str">
        <f t="shared" si="632"/>
        <v/>
      </c>
      <c r="AT92" s="942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636"/>
        <v/>
      </c>
      <c r="BQ92" s="5" t="str">
        <f t="shared" si="637"/>
        <v/>
      </c>
      <c r="BR92" s="6" t="str">
        <f t="shared" si="638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9"/>
        <v/>
      </c>
      <c r="EZ92" s="51" t="str">
        <f t="shared" si="700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1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2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3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8"/>
        <v/>
      </c>
      <c r="GK92" s="174" t="str">
        <f t="shared" si="567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6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6"/>
        <v/>
      </c>
      <c r="HF92" s="5" t="str">
        <f t="shared" si="577"/>
        <v/>
      </c>
      <c r="HG92" s="343" t="str">
        <f t="shared" si="730"/>
        <v/>
      </c>
      <c r="HH92" s="349" t="str">
        <f t="shared" si="731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23" t="str">
        <f t="shared" si="580"/>
        <v/>
      </c>
      <c r="HN92" s="924" t="str">
        <f t="shared" si="581"/>
        <v/>
      </c>
      <c r="HO92" s="925"/>
      <c r="HP92" s="926"/>
      <c r="HQ92" s="924" t="str">
        <f t="shared" si="582"/>
        <v/>
      </c>
      <c r="HR92" s="927" t="str">
        <f t="shared" si="583"/>
        <v/>
      </c>
      <c r="HS92" s="879" t="str">
        <f t="shared" si="631"/>
        <v/>
      </c>
      <c r="HT92" s="889" t="str">
        <f t="shared" si="584"/>
        <v/>
      </c>
      <c r="HU92" s="890" t="str">
        <f t="shared" si="585"/>
        <v/>
      </c>
      <c r="HV92" s="886" t="str">
        <f t="shared" si="586"/>
        <v/>
      </c>
      <c r="HW92" s="880" t="str">
        <f t="shared" si="587"/>
        <v/>
      </c>
      <c r="HX92" s="881" t="str">
        <f t="shared" si="588"/>
        <v/>
      </c>
      <c r="HY92" s="880" t="str">
        <f t="shared" si="589"/>
        <v/>
      </c>
      <c r="HZ92" s="882" t="str">
        <f t="shared" si="590"/>
        <v/>
      </c>
      <c r="IA92" s="883" t="str">
        <f t="shared" si="591"/>
        <v/>
      </c>
      <c r="IB92" s="884" t="str">
        <f t="shared" si="592"/>
        <v/>
      </c>
      <c r="IC92" s="855" t="str">
        <f t="shared" si="593"/>
        <v/>
      </c>
      <c r="ID92" s="351" t="str">
        <f t="shared" si="594"/>
        <v/>
      </c>
      <c r="IE92" s="857" t="str">
        <f t="shared" si="5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2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3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515"/>
        <v/>
      </c>
      <c r="B93" s="578" t="str">
        <f t="shared" si="516"/>
        <v/>
      </c>
      <c r="C93" s="572" t="str">
        <f t="shared" si="517"/>
        <v/>
      </c>
      <c r="D93" s="576" t="str">
        <f t="shared" si="518"/>
        <v/>
      </c>
      <c r="E93" s="580" t="str">
        <f t="shared" si="519"/>
        <v/>
      </c>
      <c r="F93" s="572" t="str">
        <f t="shared" si="520"/>
        <v/>
      </c>
      <c r="G93" s="579" t="str">
        <f t="shared" si="521"/>
        <v/>
      </c>
      <c r="H93" s="580" t="str">
        <f t="shared" si="522"/>
        <v/>
      </c>
      <c r="I93" s="572" t="str">
        <f t="shared" si="523"/>
        <v/>
      </c>
      <c r="J93" s="483" t="str">
        <f t="shared" si="524"/>
        <v/>
      </c>
      <c r="K93" s="806" t="str">
        <f t="shared" si="525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0"/>
        <v/>
      </c>
      <c r="S93" s="577" t="str">
        <f t="shared" si="101"/>
        <v/>
      </c>
      <c r="T93" s="578" t="str">
        <f t="shared" si="102"/>
        <v/>
      </c>
      <c r="U93" s="572" t="str">
        <f t="shared" si="103"/>
        <v/>
      </c>
      <c r="V93" s="579" t="str">
        <f t="shared" si="139"/>
        <v/>
      </c>
      <c r="W93" s="528" t="str">
        <f t="shared" si="735"/>
        <v/>
      </c>
      <c r="X93" s="572" t="str">
        <f t="shared" si="104"/>
        <v/>
      </c>
      <c r="Y93" s="573" t="str">
        <f t="shared" si="734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5"/>
        <v/>
      </c>
      <c r="AD93" s="580" t="str">
        <f t="shared" si="140"/>
        <v/>
      </c>
      <c r="AE93" s="572" t="str">
        <f t="shared" si="106"/>
        <v/>
      </c>
      <c r="AF93" s="576" t="str">
        <f t="shared" si="107"/>
        <v/>
      </c>
      <c r="AG93" s="545" t="str">
        <f t="shared" si="108"/>
        <v/>
      </c>
      <c r="AH93" s="546" t="str">
        <f t="shared" si="109"/>
        <v/>
      </c>
      <c r="AI93" s="528" t="str">
        <f t="shared" si="110"/>
        <v/>
      </c>
      <c r="AJ93" s="529" t="str">
        <f t="shared" si="111"/>
        <v/>
      </c>
      <c r="AK93" s="578" t="str">
        <f t="shared" si="237"/>
        <v/>
      </c>
      <c r="AL93" s="572" t="str">
        <f t="shared" si="112"/>
        <v/>
      </c>
      <c r="AM93" s="577" t="str">
        <f t="shared" si="113"/>
        <v/>
      </c>
      <c r="AN93" s="524" t="str">
        <f t="shared" si="114"/>
        <v/>
      </c>
      <c r="AO93" s="525" t="str">
        <f t="shared" si="514"/>
        <v/>
      </c>
      <c r="AP93" s="528" t="str">
        <f t="shared" si="116"/>
        <v/>
      </c>
      <c r="AQ93" s="529" t="str">
        <f t="shared" si="533"/>
        <v/>
      </c>
      <c r="AS93" s="946" t="str">
        <f t="shared" si="632"/>
        <v/>
      </c>
      <c r="AT93" s="942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636"/>
        <v/>
      </c>
      <c r="BQ93" s="5" t="str">
        <f t="shared" si="637"/>
        <v/>
      </c>
      <c r="BR93" s="6" t="str">
        <f t="shared" si="638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9"/>
        <v/>
      </c>
      <c r="EZ93" s="51" t="str">
        <f t="shared" si="700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1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2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3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8"/>
        <v/>
      </c>
      <c r="GK93" s="174" t="str">
        <f t="shared" si="567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6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6"/>
        <v/>
      </c>
      <c r="HF93" s="5" t="str">
        <f t="shared" si="577"/>
        <v/>
      </c>
      <c r="HG93" s="343" t="str">
        <f t="shared" si="730"/>
        <v/>
      </c>
      <c r="HH93" s="349" t="str">
        <f t="shared" si="731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23" t="str">
        <f t="shared" si="580"/>
        <v/>
      </c>
      <c r="HN93" s="924" t="str">
        <f t="shared" si="581"/>
        <v/>
      </c>
      <c r="HO93" s="925"/>
      <c r="HP93" s="926"/>
      <c r="HQ93" s="924" t="str">
        <f t="shared" si="582"/>
        <v/>
      </c>
      <c r="HR93" s="927" t="str">
        <f t="shared" si="583"/>
        <v/>
      </c>
      <c r="HS93" s="879" t="str">
        <f t="shared" si="631"/>
        <v/>
      </c>
      <c r="HT93" s="889" t="str">
        <f t="shared" si="584"/>
        <v/>
      </c>
      <c r="HU93" s="890" t="str">
        <f t="shared" si="585"/>
        <v/>
      </c>
      <c r="HV93" s="886" t="str">
        <f t="shared" si="586"/>
        <v/>
      </c>
      <c r="HW93" s="880" t="str">
        <f t="shared" si="587"/>
        <v/>
      </c>
      <c r="HX93" s="881" t="str">
        <f t="shared" si="588"/>
        <v/>
      </c>
      <c r="HY93" s="880" t="str">
        <f t="shared" si="589"/>
        <v/>
      </c>
      <c r="HZ93" s="882" t="str">
        <f t="shared" si="590"/>
        <v/>
      </c>
      <c r="IA93" s="883" t="str">
        <f t="shared" si="591"/>
        <v/>
      </c>
      <c r="IB93" s="884" t="str">
        <f t="shared" si="592"/>
        <v/>
      </c>
      <c r="IC93" s="855" t="str">
        <f t="shared" si="593"/>
        <v/>
      </c>
      <c r="ID93" s="351" t="str">
        <f t="shared" si="594"/>
        <v/>
      </c>
      <c r="IE93" s="857" t="str">
        <f t="shared" si="5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2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3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515"/>
        <v/>
      </c>
      <c r="B94" s="578" t="str">
        <f t="shared" si="516"/>
        <v/>
      </c>
      <c r="C94" s="572" t="str">
        <f t="shared" si="517"/>
        <v/>
      </c>
      <c r="D94" s="576" t="str">
        <f t="shared" si="518"/>
        <v/>
      </c>
      <c r="E94" s="580" t="str">
        <f t="shared" si="519"/>
        <v/>
      </c>
      <c r="F94" s="572" t="str">
        <f t="shared" si="520"/>
        <v/>
      </c>
      <c r="G94" s="579" t="str">
        <f t="shared" si="521"/>
        <v/>
      </c>
      <c r="H94" s="580" t="str">
        <f t="shared" si="522"/>
        <v/>
      </c>
      <c r="I94" s="572" t="str">
        <f t="shared" si="523"/>
        <v/>
      </c>
      <c r="J94" s="483" t="str">
        <f t="shared" si="524"/>
        <v/>
      </c>
      <c r="K94" s="806" t="str">
        <f t="shared" si="525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0"/>
        <v/>
      </c>
      <c r="S94" s="577" t="str">
        <f t="shared" si="101"/>
        <v/>
      </c>
      <c r="T94" s="578" t="str">
        <f t="shared" si="102"/>
        <v/>
      </c>
      <c r="U94" s="572" t="str">
        <f t="shared" si="103"/>
        <v/>
      </c>
      <c r="V94" s="579" t="str">
        <f t="shared" si="139"/>
        <v/>
      </c>
      <c r="W94" s="528" t="str">
        <f t="shared" si="735"/>
        <v/>
      </c>
      <c r="X94" s="572" t="str">
        <f t="shared" si="104"/>
        <v/>
      </c>
      <c r="Y94" s="573" t="str">
        <f t="shared" si="734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5"/>
        <v/>
      </c>
      <c r="AD94" s="580" t="str">
        <f t="shared" si="140"/>
        <v/>
      </c>
      <c r="AE94" s="572" t="str">
        <f t="shared" si="106"/>
        <v/>
      </c>
      <c r="AF94" s="576" t="str">
        <f t="shared" si="107"/>
        <v/>
      </c>
      <c r="AG94" s="545" t="str">
        <f t="shared" si="108"/>
        <v/>
      </c>
      <c r="AH94" s="546" t="str">
        <f t="shared" si="109"/>
        <v/>
      </c>
      <c r="AI94" s="528" t="str">
        <f t="shared" si="110"/>
        <v/>
      </c>
      <c r="AJ94" s="529" t="str">
        <f t="shared" si="111"/>
        <v/>
      </c>
      <c r="AK94" s="578" t="str">
        <f t="shared" si="237"/>
        <v/>
      </c>
      <c r="AL94" s="572" t="str">
        <f t="shared" si="112"/>
        <v/>
      </c>
      <c r="AM94" s="577" t="str">
        <f t="shared" si="113"/>
        <v/>
      </c>
      <c r="AN94" s="524" t="str">
        <f t="shared" si="114"/>
        <v/>
      </c>
      <c r="AO94" s="525" t="str">
        <f t="shared" si="514"/>
        <v/>
      </c>
      <c r="AP94" s="528" t="str">
        <f t="shared" si="116"/>
        <v/>
      </c>
      <c r="AQ94" s="529" t="str">
        <f t="shared" si="533"/>
        <v/>
      </c>
      <c r="AS94" s="946" t="str">
        <f t="shared" si="632"/>
        <v/>
      </c>
      <c r="AT94" s="942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636"/>
        <v/>
      </c>
      <c r="BQ94" s="5" t="str">
        <f t="shared" si="637"/>
        <v/>
      </c>
      <c r="BR94" s="6" t="str">
        <f t="shared" si="638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9"/>
        <v/>
      </c>
      <c r="EZ94" s="51" t="str">
        <f t="shared" si="700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1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2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3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8"/>
        <v/>
      </c>
      <c r="GK94" s="174" t="str">
        <f t="shared" si="567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6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6"/>
        <v/>
      </c>
      <c r="HF94" s="5" t="str">
        <f t="shared" si="577"/>
        <v/>
      </c>
      <c r="HG94" s="343" t="str">
        <f t="shared" si="730"/>
        <v/>
      </c>
      <c r="HH94" s="349" t="str">
        <f t="shared" si="731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23" t="str">
        <f t="shared" si="580"/>
        <v/>
      </c>
      <c r="HN94" s="924" t="str">
        <f t="shared" si="581"/>
        <v/>
      </c>
      <c r="HO94" s="925"/>
      <c r="HP94" s="926"/>
      <c r="HQ94" s="924" t="str">
        <f t="shared" si="582"/>
        <v/>
      </c>
      <c r="HR94" s="927" t="str">
        <f t="shared" si="583"/>
        <v/>
      </c>
      <c r="HS94" s="879" t="str">
        <f t="shared" si="631"/>
        <v/>
      </c>
      <c r="HT94" s="889" t="str">
        <f t="shared" si="584"/>
        <v/>
      </c>
      <c r="HU94" s="890" t="str">
        <f t="shared" si="585"/>
        <v/>
      </c>
      <c r="HV94" s="886" t="str">
        <f t="shared" si="586"/>
        <v/>
      </c>
      <c r="HW94" s="880" t="str">
        <f t="shared" si="587"/>
        <v/>
      </c>
      <c r="HX94" s="881" t="str">
        <f t="shared" si="588"/>
        <v/>
      </c>
      <c r="HY94" s="880" t="str">
        <f t="shared" si="589"/>
        <v/>
      </c>
      <c r="HZ94" s="882" t="str">
        <f t="shared" si="590"/>
        <v/>
      </c>
      <c r="IA94" s="883" t="str">
        <f t="shared" si="591"/>
        <v/>
      </c>
      <c r="IB94" s="884" t="str">
        <f t="shared" si="592"/>
        <v/>
      </c>
      <c r="IC94" s="855" t="str">
        <f t="shared" si="593"/>
        <v/>
      </c>
      <c r="ID94" s="351" t="str">
        <f t="shared" si="594"/>
        <v/>
      </c>
      <c r="IE94" s="857" t="str">
        <f t="shared" si="5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2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3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515"/>
        <v/>
      </c>
      <c r="B95" s="578" t="str">
        <f t="shared" si="516"/>
        <v/>
      </c>
      <c r="C95" s="572" t="str">
        <f t="shared" si="517"/>
        <v/>
      </c>
      <c r="D95" s="576" t="str">
        <f t="shared" si="518"/>
        <v/>
      </c>
      <c r="E95" s="580" t="str">
        <f t="shared" si="519"/>
        <v/>
      </c>
      <c r="F95" s="572" t="str">
        <f t="shared" si="520"/>
        <v/>
      </c>
      <c r="G95" s="579" t="str">
        <f t="shared" si="521"/>
        <v/>
      </c>
      <c r="H95" s="580" t="str">
        <f t="shared" si="522"/>
        <v/>
      </c>
      <c r="I95" s="572" t="str">
        <f t="shared" si="523"/>
        <v/>
      </c>
      <c r="J95" s="483" t="str">
        <f t="shared" si="524"/>
        <v/>
      </c>
      <c r="K95" s="806" t="str">
        <f t="shared" si="525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0"/>
        <v/>
      </c>
      <c r="S95" s="577" t="str">
        <f t="shared" si="101"/>
        <v/>
      </c>
      <c r="T95" s="578" t="str">
        <f t="shared" si="102"/>
        <v/>
      </c>
      <c r="U95" s="572" t="str">
        <f t="shared" si="103"/>
        <v/>
      </c>
      <c r="V95" s="579" t="str">
        <f t="shared" si="139"/>
        <v/>
      </c>
      <c r="W95" s="528" t="str">
        <f t="shared" si="735"/>
        <v/>
      </c>
      <c r="X95" s="572" t="str">
        <f t="shared" si="104"/>
        <v/>
      </c>
      <c r="Y95" s="573" t="str">
        <f t="shared" si="734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5"/>
        <v/>
      </c>
      <c r="AD95" s="580" t="str">
        <f t="shared" si="140"/>
        <v/>
      </c>
      <c r="AE95" s="572" t="str">
        <f t="shared" si="106"/>
        <v/>
      </c>
      <c r="AF95" s="576" t="str">
        <f t="shared" si="107"/>
        <v/>
      </c>
      <c r="AG95" s="545" t="str">
        <f t="shared" si="108"/>
        <v/>
      </c>
      <c r="AH95" s="546" t="str">
        <f t="shared" si="109"/>
        <v/>
      </c>
      <c r="AI95" s="528" t="str">
        <f t="shared" si="110"/>
        <v/>
      </c>
      <c r="AJ95" s="529" t="str">
        <f t="shared" si="111"/>
        <v/>
      </c>
      <c r="AK95" s="578" t="str">
        <f t="shared" si="237"/>
        <v/>
      </c>
      <c r="AL95" s="572" t="str">
        <f t="shared" si="112"/>
        <v/>
      </c>
      <c r="AM95" s="577" t="str">
        <f t="shared" si="113"/>
        <v/>
      </c>
      <c r="AN95" s="524" t="str">
        <f t="shared" si="114"/>
        <v/>
      </c>
      <c r="AO95" s="525" t="str">
        <f t="shared" si="514"/>
        <v/>
      </c>
      <c r="AP95" s="528" t="str">
        <f t="shared" si="116"/>
        <v/>
      </c>
      <c r="AQ95" s="529" t="str">
        <f t="shared" si="533"/>
        <v/>
      </c>
      <c r="AS95" s="946" t="str">
        <f t="shared" si="632"/>
        <v/>
      </c>
      <c r="AT95" s="942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636"/>
        <v/>
      </c>
      <c r="BQ95" s="5" t="str">
        <f t="shared" si="637"/>
        <v/>
      </c>
      <c r="BR95" s="6" t="str">
        <f t="shared" si="638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9"/>
        <v/>
      </c>
      <c r="EZ95" s="51" t="str">
        <f t="shared" si="700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1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2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3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8"/>
        <v/>
      </c>
      <c r="GK95" s="174" t="str">
        <f t="shared" si="567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6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6"/>
        <v/>
      </c>
      <c r="HF95" s="5" t="str">
        <f t="shared" si="577"/>
        <v/>
      </c>
      <c r="HG95" s="343" t="str">
        <f t="shared" si="730"/>
        <v/>
      </c>
      <c r="HH95" s="349" t="str">
        <f t="shared" si="731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23" t="str">
        <f t="shared" si="580"/>
        <v/>
      </c>
      <c r="HN95" s="924" t="str">
        <f t="shared" si="581"/>
        <v/>
      </c>
      <c r="HO95" s="925"/>
      <c r="HP95" s="926"/>
      <c r="HQ95" s="924" t="str">
        <f t="shared" si="582"/>
        <v/>
      </c>
      <c r="HR95" s="927" t="str">
        <f t="shared" si="583"/>
        <v/>
      </c>
      <c r="HS95" s="879" t="str">
        <f t="shared" si="631"/>
        <v/>
      </c>
      <c r="HT95" s="889" t="str">
        <f t="shared" si="584"/>
        <v/>
      </c>
      <c r="HU95" s="890" t="str">
        <f t="shared" si="585"/>
        <v/>
      </c>
      <c r="HV95" s="886" t="str">
        <f t="shared" si="586"/>
        <v/>
      </c>
      <c r="HW95" s="880" t="str">
        <f t="shared" si="587"/>
        <v/>
      </c>
      <c r="HX95" s="881" t="str">
        <f t="shared" si="588"/>
        <v/>
      </c>
      <c r="HY95" s="880" t="str">
        <f t="shared" si="589"/>
        <v/>
      </c>
      <c r="HZ95" s="882" t="str">
        <f t="shared" si="590"/>
        <v/>
      </c>
      <c r="IA95" s="883" t="str">
        <f t="shared" si="591"/>
        <v/>
      </c>
      <c r="IB95" s="884" t="str">
        <f t="shared" si="592"/>
        <v/>
      </c>
      <c r="IC95" s="855" t="str">
        <f t="shared" si="593"/>
        <v/>
      </c>
      <c r="ID95" s="351" t="str">
        <f t="shared" si="594"/>
        <v/>
      </c>
      <c r="IE95" s="857" t="str">
        <f t="shared" si="5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2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3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515"/>
        <v/>
      </c>
      <c r="B96" s="578" t="str">
        <f t="shared" si="516"/>
        <v/>
      </c>
      <c r="C96" s="572" t="str">
        <f t="shared" si="517"/>
        <v/>
      </c>
      <c r="D96" s="576" t="str">
        <f t="shared" si="518"/>
        <v/>
      </c>
      <c r="E96" s="580" t="str">
        <f t="shared" si="519"/>
        <v/>
      </c>
      <c r="F96" s="572" t="str">
        <f t="shared" si="520"/>
        <v/>
      </c>
      <c r="G96" s="579" t="str">
        <f t="shared" si="521"/>
        <v/>
      </c>
      <c r="H96" s="580" t="str">
        <f t="shared" si="522"/>
        <v/>
      </c>
      <c r="I96" s="572" t="str">
        <f t="shared" si="523"/>
        <v/>
      </c>
      <c r="J96" s="483" t="str">
        <f t="shared" si="524"/>
        <v/>
      </c>
      <c r="K96" s="806" t="str">
        <f t="shared" si="525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0"/>
        <v/>
      </c>
      <c r="S96" s="577" t="str">
        <f t="shared" si="101"/>
        <v/>
      </c>
      <c r="T96" s="578" t="str">
        <f t="shared" si="102"/>
        <v/>
      </c>
      <c r="U96" s="572" t="str">
        <f t="shared" si="103"/>
        <v/>
      </c>
      <c r="V96" s="579" t="str">
        <f t="shared" si="139"/>
        <v/>
      </c>
      <c r="W96" s="528" t="str">
        <f t="shared" si="735"/>
        <v/>
      </c>
      <c r="X96" s="572" t="str">
        <f t="shared" si="104"/>
        <v/>
      </c>
      <c r="Y96" s="573" t="str">
        <f t="shared" si="734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5"/>
        <v/>
      </c>
      <c r="AD96" s="580" t="str">
        <f t="shared" si="140"/>
        <v/>
      </c>
      <c r="AE96" s="572" t="str">
        <f t="shared" si="106"/>
        <v/>
      </c>
      <c r="AF96" s="576" t="str">
        <f t="shared" si="107"/>
        <v/>
      </c>
      <c r="AG96" s="545" t="str">
        <f t="shared" si="108"/>
        <v/>
      </c>
      <c r="AH96" s="546" t="str">
        <f t="shared" si="109"/>
        <v/>
      </c>
      <c r="AI96" s="528" t="str">
        <f t="shared" si="110"/>
        <v/>
      </c>
      <c r="AJ96" s="529" t="str">
        <f t="shared" si="111"/>
        <v/>
      </c>
      <c r="AK96" s="578" t="str">
        <f t="shared" si="237"/>
        <v/>
      </c>
      <c r="AL96" s="572" t="str">
        <f t="shared" si="112"/>
        <v/>
      </c>
      <c r="AM96" s="577" t="str">
        <f t="shared" si="113"/>
        <v/>
      </c>
      <c r="AN96" s="524" t="str">
        <f t="shared" si="114"/>
        <v/>
      </c>
      <c r="AO96" s="525" t="str">
        <f t="shared" si="514"/>
        <v/>
      </c>
      <c r="AP96" s="528" t="str">
        <f t="shared" si="116"/>
        <v/>
      </c>
      <c r="AQ96" s="529" t="str">
        <f t="shared" si="533"/>
        <v/>
      </c>
      <c r="AS96" s="946" t="str">
        <f t="shared" si="632"/>
        <v/>
      </c>
      <c r="AT96" s="942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636"/>
        <v/>
      </c>
      <c r="BQ96" s="5" t="str">
        <f t="shared" si="637"/>
        <v/>
      </c>
      <c r="BR96" s="6" t="str">
        <f t="shared" si="638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9"/>
        <v/>
      </c>
      <c r="EZ96" s="51" t="str">
        <f t="shared" si="700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1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2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3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8"/>
        <v/>
      </c>
      <c r="GK96" s="174" t="str">
        <f t="shared" si="567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6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6"/>
        <v/>
      </c>
      <c r="HF96" s="5" t="str">
        <f t="shared" si="577"/>
        <v/>
      </c>
      <c r="HG96" s="343" t="str">
        <f t="shared" si="730"/>
        <v/>
      </c>
      <c r="HH96" s="349" t="str">
        <f t="shared" si="731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23" t="str">
        <f t="shared" si="580"/>
        <v/>
      </c>
      <c r="HN96" s="924" t="str">
        <f t="shared" si="581"/>
        <v/>
      </c>
      <c r="HO96" s="925"/>
      <c r="HP96" s="926"/>
      <c r="HQ96" s="924" t="str">
        <f t="shared" si="582"/>
        <v/>
      </c>
      <c r="HR96" s="927" t="str">
        <f t="shared" si="583"/>
        <v/>
      </c>
      <c r="HS96" s="879" t="str">
        <f t="shared" si="631"/>
        <v/>
      </c>
      <c r="HT96" s="889" t="str">
        <f t="shared" si="584"/>
        <v/>
      </c>
      <c r="HU96" s="890" t="str">
        <f t="shared" si="585"/>
        <v/>
      </c>
      <c r="HV96" s="886" t="str">
        <f t="shared" si="586"/>
        <v/>
      </c>
      <c r="HW96" s="880" t="str">
        <f t="shared" si="587"/>
        <v/>
      </c>
      <c r="HX96" s="881" t="str">
        <f t="shared" si="588"/>
        <v/>
      </c>
      <c r="HY96" s="880" t="str">
        <f t="shared" si="589"/>
        <v/>
      </c>
      <c r="HZ96" s="882" t="str">
        <f t="shared" si="590"/>
        <v/>
      </c>
      <c r="IA96" s="883" t="str">
        <f t="shared" si="591"/>
        <v/>
      </c>
      <c r="IB96" s="884" t="str">
        <f t="shared" si="592"/>
        <v/>
      </c>
      <c r="IC96" s="855" t="str">
        <f t="shared" si="593"/>
        <v/>
      </c>
      <c r="ID96" s="351" t="str">
        <f t="shared" si="594"/>
        <v/>
      </c>
      <c r="IE96" s="857" t="str">
        <f t="shared" si="5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2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3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515"/>
        <v/>
      </c>
      <c r="B97" s="578" t="str">
        <f t="shared" si="516"/>
        <v/>
      </c>
      <c r="C97" s="572" t="str">
        <f t="shared" si="517"/>
        <v/>
      </c>
      <c r="D97" s="576" t="str">
        <f t="shared" si="518"/>
        <v/>
      </c>
      <c r="E97" s="580" t="str">
        <f t="shared" si="519"/>
        <v/>
      </c>
      <c r="F97" s="572" t="str">
        <f t="shared" si="520"/>
        <v/>
      </c>
      <c r="G97" s="579" t="str">
        <f t="shared" si="521"/>
        <v/>
      </c>
      <c r="H97" s="580" t="str">
        <f t="shared" si="522"/>
        <v/>
      </c>
      <c r="I97" s="572" t="str">
        <f t="shared" si="523"/>
        <v/>
      </c>
      <c r="J97" s="483" t="str">
        <f t="shared" si="524"/>
        <v/>
      </c>
      <c r="K97" s="806" t="str">
        <f t="shared" si="525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0"/>
        <v/>
      </c>
      <c r="S97" s="577" t="str">
        <f t="shared" si="101"/>
        <v/>
      </c>
      <c r="T97" s="578" t="str">
        <f t="shared" si="102"/>
        <v/>
      </c>
      <c r="U97" s="572" t="str">
        <f t="shared" si="103"/>
        <v/>
      </c>
      <c r="V97" s="579" t="str">
        <f t="shared" si="139"/>
        <v/>
      </c>
      <c r="W97" s="528" t="str">
        <f t="shared" si="735"/>
        <v/>
      </c>
      <c r="X97" s="572" t="str">
        <f t="shared" si="104"/>
        <v/>
      </c>
      <c r="Y97" s="573" t="str">
        <f t="shared" si="734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5"/>
        <v/>
      </c>
      <c r="AD97" s="580" t="str">
        <f t="shared" si="140"/>
        <v/>
      </c>
      <c r="AE97" s="572" t="str">
        <f t="shared" si="106"/>
        <v/>
      </c>
      <c r="AF97" s="576" t="str">
        <f t="shared" si="107"/>
        <v/>
      </c>
      <c r="AG97" s="545" t="str">
        <f t="shared" si="108"/>
        <v/>
      </c>
      <c r="AH97" s="546" t="str">
        <f t="shared" si="109"/>
        <v/>
      </c>
      <c r="AI97" s="528" t="str">
        <f t="shared" si="110"/>
        <v/>
      </c>
      <c r="AJ97" s="529" t="str">
        <f t="shared" si="111"/>
        <v/>
      </c>
      <c r="AK97" s="578" t="str">
        <f t="shared" si="237"/>
        <v/>
      </c>
      <c r="AL97" s="572" t="str">
        <f t="shared" si="112"/>
        <v/>
      </c>
      <c r="AM97" s="577" t="str">
        <f t="shared" si="113"/>
        <v/>
      </c>
      <c r="AN97" s="524" t="str">
        <f t="shared" si="114"/>
        <v/>
      </c>
      <c r="AO97" s="525" t="str">
        <f t="shared" si="514"/>
        <v/>
      </c>
      <c r="AP97" s="528" t="str">
        <f t="shared" si="116"/>
        <v/>
      </c>
      <c r="AQ97" s="529" t="str">
        <f t="shared" si="533"/>
        <v/>
      </c>
      <c r="AS97" s="946" t="str">
        <f t="shared" si="632"/>
        <v/>
      </c>
      <c r="AT97" s="942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636"/>
        <v/>
      </c>
      <c r="BQ97" s="5" t="str">
        <f t="shared" si="637"/>
        <v/>
      </c>
      <c r="BR97" s="6" t="str">
        <f t="shared" si="638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9"/>
        <v/>
      </c>
      <c r="EZ97" s="51" t="str">
        <f t="shared" si="700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1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2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3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8"/>
        <v/>
      </c>
      <c r="GK97" s="174" t="str">
        <f t="shared" si="567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6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6"/>
        <v/>
      </c>
      <c r="HF97" s="5" t="str">
        <f t="shared" si="577"/>
        <v/>
      </c>
      <c r="HG97" s="343" t="str">
        <f t="shared" si="730"/>
        <v/>
      </c>
      <c r="HH97" s="349" t="str">
        <f t="shared" si="731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23" t="str">
        <f t="shared" si="580"/>
        <v/>
      </c>
      <c r="HN97" s="924" t="str">
        <f t="shared" si="581"/>
        <v/>
      </c>
      <c r="HO97" s="925"/>
      <c r="HP97" s="926"/>
      <c r="HQ97" s="924" t="str">
        <f t="shared" si="582"/>
        <v/>
      </c>
      <c r="HR97" s="927" t="str">
        <f t="shared" si="583"/>
        <v/>
      </c>
      <c r="HS97" s="879" t="str">
        <f t="shared" si="631"/>
        <v/>
      </c>
      <c r="HT97" s="889" t="str">
        <f t="shared" si="584"/>
        <v/>
      </c>
      <c r="HU97" s="890" t="str">
        <f t="shared" si="585"/>
        <v/>
      </c>
      <c r="HV97" s="886" t="str">
        <f t="shared" si="586"/>
        <v/>
      </c>
      <c r="HW97" s="880" t="str">
        <f t="shared" si="587"/>
        <v/>
      </c>
      <c r="HX97" s="881" t="str">
        <f t="shared" si="588"/>
        <v/>
      </c>
      <c r="HY97" s="880" t="str">
        <f t="shared" si="589"/>
        <v/>
      </c>
      <c r="HZ97" s="882" t="str">
        <f t="shared" si="590"/>
        <v/>
      </c>
      <c r="IA97" s="883" t="str">
        <f t="shared" si="591"/>
        <v/>
      </c>
      <c r="IB97" s="884" t="str">
        <f t="shared" si="592"/>
        <v/>
      </c>
      <c r="IC97" s="855" t="str">
        <f t="shared" si="593"/>
        <v/>
      </c>
      <c r="ID97" s="351" t="str">
        <f t="shared" si="594"/>
        <v/>
      </c>
      <c r="IE97" s="857" t="str">
        <f t="shared" si="5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2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3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515"/>
        <v/>
      </c>
      <c r="B98" s="578" t="str">
        <f t="shared" si="516"/>
        <v/>
      </c>
      <c r="C98" s="572" t="str">
        <f t="shared" si="517"/>
        <v/>
      </c>
      <c r="D98" s="576" t="str">
        <f t="shared" si="518"/>
        <v/>
      </c>
      <c r="E98" s="580" t="str">
        <f t="shared" si="519"/>
        <v/>
      </c>
      <c r="F98" s="572" t="str">
        <f t="shared" si="520"/>
        <v/>
      </c>
      <c r="G98" s="579" t="str">
        <f t="shared" si="521"/>
        <v/>
      </c>
      <c r="H98" s="580" t="str">
        <f t="shared" si="522"/>
        <v/>
      </c>
      <c r="I98" s="572" t="str">
        <f t="shared" si="523"/>
        <v/>
      </c>
      <c r="J98" s="483" t="str">
        <f t="shared" si="524"/>
        <v/>
      </c>
      <c r="K98" s="806" t="str">
        <f t="shared" si="525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0"/>
        <v/>
      </c>
      <c r="S98" s="577" t="str">
        <f t="shared" si="101"/>
        <v/>
      </c>
      <c r="T98" s="578" t="str">
        <f t="shared" si="102"/>
        <v/>
      </c>
      <c r="U98" s="572" t="str">
        <f t="shared" si="103"/>
        <v/>
      </c>
      <c r="V98" s="579" t="str">
        <f t="shared" si="139"/>
        <v/>
      </c>
      <c r="W98" s="528" t="str">
        <f t="shared" si="735"/>
        <v/>
      </c>
      <c r="X98" s="572" t="str">
        <f t="shared" si="104"/>
        <v/>
      </c>
      <c r="Y98" s="573" t="str">
        <f t="shared" si="734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5"/>
        <v/>
      </c>
      <c r="AD98" s="580" t="str">
        <f t="shared" si="140"/>
        <v/>
      </c>
      <c r="AE98" s="572" t="str">
        <f t="shared" si="106"/>
        <v/>
      </c>
      <c r="AF98" s="576" t="str">
        <f t="shared" si="107"/>
        <v/>
      </c>
      <c r="AG98" s="545" t="str">
        <f t="shared" si="108"/>
        <v/>
      </c>
      <c r="AH98" s="546" t="str">
        <f t="shared" si="109"/>
        <v/>
      </c>
      <c r="AI98" s="528" t="str">
        <f t="shared" si="110"/>
        <v/>
      </c>
      <c r="AJ98" s="529" t="str">
        <f t="shared" si="111"/>
        <v/>
      </c>
      <c r="AK98" s="578" t="str">
        <f t="shared" si="237"/>
        <v/>
      </c>
      <c r="AL98" s="572" t="str">
        <f t="shared" si="112"/>
        <v/>
      </c>
      <c r="AM98" s="577" t="str">
        <f t="shared" si="113"/>
        <v/>
      </c>
      <c r="AN98" s="524" t="str">
        <f t="shared" si="114"/>
        <v/>
      </c>
      <c r="AO98" s="525" t="str">
        <f t="shared" si="514"/>
        <v/>
      </c>
      <c r="AP98" s="528" t="str">
        <f t="shared" si="116"/>
        <v/>
      </c>
      <c r="AQ98" s="529" t="str">
        <f t="shared" si="533"/>
        <v/>
      </c>
      <c r="AS98" s="946" t="str">
        <f t="shared" si="632"/>
        <v/>
      </c>
      <c r="AT98" s="942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636"/>
        <v/>
      </c>
      <c r="BQ98" s="5" t="str">
        <f t="shared" si="637"/>
        <v/>
      </c>
      <c r="BR98" s="6" t="str">
        <f t="shared" si="638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9"/>
        <v/>
      </c>
      <c r="EZ98" s="51" t="str">
        <f t="shared" si="700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1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2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3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8"/>
        <v/>
      </c>
      <c r="GK98" s="174" t="str">
        <f t="shared" si="567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6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6"/>
        <v/>
      </c>
      <c r="HF98" s="5" t="str">
        <f t="shared" si="577"/>
        <v/>
      </c>
      <c r="HG98" s="343" t="str">
        <f t="shared" si="730"/>
        <v/>
      </c>
      <c r="HH98" s="349" t="str">
        <f t="shared" si="731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23" t="str">
        <f t="shared" si="580"/>
        <v/>
      </c>
      <c r="HN98" s="924" t="str">
        <f t="shared" si="581"/>
        <v/>
      </c>
      <c r="HO98" s="925"/>
      <c r="HP98" s="926"/>
      <c r="HQ98" s="924" t="str">
        <f t="shared" si="582"/>
        <v/>
      </c>
      <c r="HR98" s="927" t="str">
        <f t="shared" si="583"/>
        <v/>
      </c>
      <c r="HS98" s="879" t="str">
        <f t="shared" si="631"/>
        <v/>
      </c>
      <c r="HT98" s="889" t="str">
        <f t="shared" si="584"/>
        <v/>
      </c>
      <c r="HU98" s="890" t="str">
        <f t="shared" si="585"/>
        <v/>
      </c>
      <c r="HV98" s="886" t="str">
        <f t="shared" si="586"/>
        <v/>
      </c>
      <c r="HW98" s="880" t="str">
        <f t="shared" si="587"/>
        <v/>
      </c>
      <c r="HX98" s="881" t="str">
        <f t="shared" si="588"/>
        <v/>
      </c>
      <c r="HY98" s="880" t="str">
        <f t="shared" si="589"/>
        <v/>
      </c>
      <c r="HZ98" s="882" t="str">
        <f t="shared" si="590"/>
        <v/>
      </c>
      <c r="IA98" s="883" t="str">
        <f t="shared" si="591"/>
        <v/>
      </c>
      <c r="IB98" s="884" t="str">
        <f t="shared" si="592"/>
        <v/>
      </c>
      <c r="IC98" s="855" t="str">
        <f t="shared" si="593"/>
        <v/>
      </c>
      <c r="ID98" s="351" t="str">
        <f t="shared" si="594"/>
        <v/>
      </c>
      <c r="IE98" s="857" t="str">
        <f t="shared" si="5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2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3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515"/>
        <v/>
      </c>
      <c r="B99" s="578" t="str">
        <f t="shared" si="516"/>
        <v/>
      </c>
      <c r="C99" s="572" t="str">
        <f t="shared" si="517"/>
        <v/>
      </c>
      <c r="D99" s="576" t="str">
        <f t="shared" si="518"/>
        <v/>
      </c>
      <c r="E99" s="580" t="str">
        <f t="shared" si="519"/>
        <v/>
      </c>
      <c r="F99" s="572" t="str">
        <f t="shared" si="520"/>
        <v/>
      </c>
      <c r="G99" s="579" t="str">
        <f t="shared" si="521"/>
        <v/>
      </c>
      <c r="H99" s="580" t="str">
        <f t="shared" si="522"/>
        <v/>
      </c>
      <c r="I99" s="572" t="str">
        <f t="shared" si="523"/>
        <v/>
      </c>
      <c r="J99" s="483" t="str">
        <f t="shared" si="524"/>
        <v/>
      </c>
      <c r="K99" s="806" t="str">
        <f t="shared" si="525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0"/>
        <v/>
      </c>
      <c r="S99" s="577" t="str">
        <f t="shared" si="101"/>
        <v/>
      </c>
      <c r="T99" s="578" t="str">
        <f t="shared" si="102"/>
        <v/>
      </c>
      <c r="U99" s="572" t="str">
        <f t="shared" si="103"/>
        <v/>
      </c>
      <c r="V99" s="579" t="str">
        <f t="shared" si="139"/>
        <v/>
      </c>
      <c r="W99" s="528" t="str">
        <f t="shared" si="735"/>
        <v/>
      </c>
      <c r="X99" s="572" t="str">
        <f t="shared" si="104"/>
        <v/>
      </c>
      <c r="Y99" s="573" t="str">
        <f t="shared" si="734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5"/>
        <v/>
      </c>
      <c r="AD99" s="580" t="str">
        <f t="shared" si="140"/>
        <v/>
      </c>
      <c r="AE99" s="572" t="str">
        <f t="shared" si="106"/>
        <v/>
      </c>
      <c r="AF99" s="576" t="str">
        <f t="shared" si="107"/>
        <v/>
      </c>
      <c r="AG99" s="545" t="str">
        <f t="shared" si="108"/>
        <v/>
      </c>
      <c r="AH99" s="546" t="str">
        <f t="shared" si="109"/>
        <v/>
      </c>
      <c r="AI99" s="528" t="str">
        <f t="shared" si="110"/>
        <v/>
      </c>
      <c r="AJ99" s="529" t="str">
        <f t="shared" si="111"/>
        <v/>
      </c>
      <c r="AK99" s="578" t="str">
        <f t="shared" si="237"/>
        <v/>
      </c>
      <c r="AL99" s="572" t="str">
        <f t="shared" si="112"/>
        <v/>
      </c>
      <c r="AM99" s="577" t="str">
        <f t="shared" si="113"/>
        <v/>
      </c>
      <c r="AN99" s="524" t="str">
        <f t="shared" si="114"/>
        <v/>
      </c>
      <c r="AO99" s="525" t="str">
        <f t="shared" si="514"/>
        <v/>
      </c>
      <c r="AP99" s="528" t="str">
        <f t="shared" si="116"/>
        <v/>
      </c>
      <c r="AQ99" s="529" t="str">
        <f t="shared" si="533"/>
        <v/>
      </c>
      <c r="AS99" s="946" t="str">
        <f t="shared" si="632"/>
        <v/>
      </c>
      <c r="AT99" s="942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636"/>
        <v/>
      </c>
      <c r="BQ99" s="5" t="str">
        <f t="shared" si="637"/>
        <v/>
      </c>
      <c r="BR99" s="6" t="str">
        <f t="shared" si="638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9"/>
        <v/>
      </c>
      <c r="EZ99" s="51" t="str">
        <f t="shared" si="700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1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2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3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8"/>
        <v/>
      </c>
      <c r="GK99" s="174" t="str">
        <f t="shared" si="567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6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6"/>
        <v/>
      </c>
      <c r="HF99" s="5" t="str">
        <f t="shared" si="577"/>
        <v/>
      </c>
      <c r="HG99" s="343" t="str">
        <f t="shared" si="730"/>
        <v/>
      </c>
      <c r="HH99" s="349" t="str">
        <f t="shared" si="731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23" t="str">
        <f t="shared" si="580"/>
        <v/>
      </c>
      <c r="HN99" s="924" t="str">
        <f t="shared" si="581"/>
        <v/>
      </c>
      <c r="HO99" s="925"/>
      <c r="HP99" s="926"/>
      <c r="HQ99" s="924" t="str">
        <f t="shared" si="582"/>
        <v/>
      </c>
      <c r="HR99" s="927" t="str">
        <f t="shared" si="583"/>
        <v/>
      </c>
      <c r="HS99" s="879" t="str">
        <f t="shared" si="631"/>
        <v/>
      </c>
      <c r="HT99" s="889" t="str">
        <f t="shared" si="584"/>
        <v/>
      </c>
      <c r="HU99" s="890" t="str">
        <f t="shared" si="585"/>
        <v/>
      </c>
      <c r="HV99" s="886" t="str">
        <f t="shared" si="586"/>
        <v/>
      </c>
      <c r="HW99" s="880" t="str">
        <f t="shared" si="587"/>
        <v/>
      </c>
      <c r="HX99" s="881" t="str">
        <f t="shared" si="588"/>
        <v/>
      </c>
      <c r="HY99" s="880" t="str">
        <f t="shared" si="589"/>
        <v/>
      </c>
      <c r="HZ99" s="882" t="str">
        <f t="shared" si="590"/>
        <v/>
      </c>
      <c r="IA99" s="883" t="str">
        <f t="shared" si="591"/>
        <v/>
      </c>
      <c r="IB99" s="884" t="str">
        <f t="shared" si="592"/>
        <v/>
      </c>
      <c r="IC99" s="855" t="str">
        <f t="shared" si="593"/>
        <v/>
      </c>
      <c r="ID99" s="351" t="str">
        <f t="shared" si="594"/>
        <v/>
      </c>
      <c r="IE99" s="857" t="str">
        <f t="shared" si="5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2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3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515"/>
        <v/>
      </c>
      <c r="B100" s="578" t="str">
        <f t="shared" si="516"/>
        <v/>
      </c>
      <c r="C100" s="572" t="str">
        <f t="shared" si="517"/>
        <v/>
      </c>
      <c r="D100" s="576" t="str">
        <f t="shared" si="518"/>
        <v/>
      </c>
      <c r="E100" s="580" t="str">
        <f t="shared" si="519"/>
        <v/>
      </c>
      <c r="F100" s="572" t="str">
        <f t="shared" si="520"/>
        <v/>
      </c>
      <c r="G100" s="579" t="str">
        <f t="shared" si="521"/>
        <v/>
      </c>
      <c r="H100" s="580" t="str">
        <f t="shared" si="522"/>
        <v/>
      </c>
      <c r="I100" s="572" t="str">
        <f t="shared" si="523"/>
        <v/>
      </c>
      <c r="J100" s="483" t="str">
        <f t="shared" si="524"/>
        <v/>
      </c>
      <c r="K100" s="806" t="str">
        <f t="shared" si="525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0"/>
        <v/>
      </c>
      <c r="S100" s="577" t="str">
        <f t="shared" si="101"/>
        <v/>
      </c>
      <c r="T100" s="578" t="str">
        <f t="shared" si="102"/>
        <v/>
      </c>
      <c r="U100" s="572" t="str">
        <f t="shared" si="103"/>
        <v/>
      </c>
      <c r="V100" s="579" t="str">
        <f t="shared" si="139"/>
        <v/>
      </c>
      <c r="W100" s="528" t="str">
        <f t="shared" si="735"/>
        <v/>
      </c>
      <c r="X100" s="572" t="str">
        <f t="shared" si="104"/>
        <v/>
      </c>
      <c r="Y100" s="573" t="str">
        <f t="shared" si="734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5"/>
        <v/>
      </c>
      <c r="AD100" s="580" t="str">
        <f t="shared" si="140"/>
        <v/>
      </c>
      <c r="AE100" s="572" t="str">
        <f t="shared" si="106"/>
        <v/>
      </c>
      <c r="AF100" s="576" t="str">
        <f t="shared" si="107"/>
        <v/>
      </c>
      <c r="AG100" s="545" t="str">
        <f t="shared" si="108"/>
        <v/>
      </c>
      <c r="AH100" s="546" t="str">
        <f t="shared" si="109"/>
        <v/>
      </c>
      <c r="AI100" s="528" t="str">
        <f t="shared" si="110"/>
        <v/>
      </c>
      <c r="AJ100" s="529" t="str">
        <f t="shared" si="111"/>
        <v/>
      </c>
      <c r="AK100" s="578" t="str">
        <f t="shared" si="237"/>
        <v/>
      </c>
      <c r="AL100" s="572" t="str">
        <f t="shared" si="112"/>
        <v/>
      </c>
      <c r="AM100" s="577" t="str">
        <f t="shared" si="113"/>
        <v/>
      </c>
      <c r="AN100" s="524" t="str">
        <f t="shared" si="114"/>
        <v/>
      </c>
      <c r="AO100" s="525" t="str">
        <f t="shared" si="514"/>
        <v/>
      </c>
      <c r="AP100" s="528" t="str">
        <f t="shared" si="116"/>
        <v/>
      </c>
      <c r="AQ100" s="529" t="str">
        <f t="shared" si="533"/>
        <v/>
      </c>
      <c r="AS100" s="946" t="str">
        <f t="shared" si="632"/>
        <v/>
      </c>
      <c r="AT100" s="942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636"/>
        <v/>
      </c>
      <c r="BQ100" s="5" t="str">
        <f t="shared" si="637"/>
        <v/>
      </c>
      <c r="BR100" s="6" t="str">
        <f t="shared" si="638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9"/>
        <v/>
      </c>
      <c r="EZ100" s="51" t="str">
        <f t="shared" si="700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1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2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3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8"/>
        <v/>
      </c>
      <c r="GK100" s="174" t="str">
        <f t="shared" si="567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6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6"/>
        <v/>
      </c>
      <c r="HF100" s="5" t="str">
        <f t="shared" si="577"/>
        <v/>
      </c>
      <c r="HG100" s="343" t="str">
        <f t="shared" si="730"/>
        <v/>
      </c>
      <c r="HH100" s="349" t="str">
        <f t="shared" si="731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23" t="str">
        <f t="shared" si="580"/>
        <v/>
      </c>
      <c r="HN100" s="924" t="str">
        <f t="shared" si="581"/>
        <v/>
      </c>
      <c r="HO100" s="925"/>
      <c r="HP100" s="926"/>
      <c r="HQ100" s="924" t="str">
        <f t="shared" si="582"/>
        <v/>
      </c>
      <c r="HR100" s="927" t="str">
        <f t="shared" si="583"/>
        <v/>
      </c>
      <c r="HS100" s="879" t="str">
        <f t="shared" si="631"/>
        <v/>
      </c>
      <c r="HT100" s="889" t="str">
        <f t="shared" si="584"/>
        <v/>
      </c>
      <c r="HU100" s="890" t="str">
        <f t="shared" si="585"/>
        <v/>
      </c>
      <c r="HV100" s="886" t="str">
        <f t="shared" si="586"/>
        <v/>
      </c>
      <c r="HW100" s="880" t="str">
        <f t="shared" si="587"/>
        <v/>
      </c>
      <c r="HX100" s="881" t="str">
        <f t="shared" si="588"/>
        <v/>
      </c>
      <c r="HY100" s="880" t="str">
        <f t="shared" si="589"/>
        <v/>
      </c>
      <c r="HZ100" s="882" t="str">
        <f t="shared" si="590"/>
        <v/>
      </c>
      <c r="IA100" s="883" t="str">
        <f t="shared" si="591"/>
        <v/>
      </c>
      <c r="IB100" s="884" t="str">
        <f t="shared" si="592"/>
        <v/>
      </c>
      <c r="IC100" s="855" t="str">
        <f t="shared" si="593"/>
        <v/>
      </c>
      <c r="ID100" s="351" t="str">
        <f t="shared" si="594"/>
        <v/>
      </c>
      <c r="IE100" s="857" t="str">
        <f t="shared" si="5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2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3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515"/>
        <v/>
      </c>
      <c r="B101" s="578" t="str">
        <f t="shared" si="516"/>
        <v/>
      </c>
      <c r="C101" s="572" t="str">
        <f t="shared" si="517"/>
        <v/>
      </c>
      <c r="D101" s="576" t="str">
        <f t="shared" si="518"/>
        <v/>
      </c>
      <c r="E101" s="580" t="str">
        <f t="shared" si="519"/>
        <v/>
      </c>
      <c r="F101" s="572" t="str">
        <f t="shared" si="520"/>
        <v/>
      </c>
      <c r="G101" s="579" t="str">
        <f t="shared" si="521"/>
        <v/>
      </c>
      <c r="H101" s="580" t="str">
        <f t="shared" si="522"/>
        <v/>
      </c>
      <c r="I101" s="572" t="str">
        <f t="shared" si="523"/>
        <v/>
      </c>
      <c r="J101" s="483" t="str">
        <f t="shared" si="524"/>
        <v/>
      </c>
      <c r="K101" s="806" t="str">
        <f t="shared" si="525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0"/>
        <v/>
      </c>
      <c r="S101" s="577" t="str">
        <f t="shared" si="101"/>
        <v/>
      </c>
      <c r="T101" s="578" t="str">
        <f t="shared" si="102"/>
        <v/>
      </c>
      <c r="U101" s="572" t="str">
        <f t="shared" si="103"/>
        <v/>
      </c>
      <c r="V101" s="579" t="str">
        <f t="shared" si="139"/>
        <v/>
      </c>
      <c r="W101" s="528" t="str">
        <f t="shared" si="735"/>
        <v/>
      </c>
      <c r="X101" s="572" t="str">
        <f t="shared" si="104"/>
        <v/>
      </c>
      <c r="Y101" s="573" t="str">
        <f t="shared" si="734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5"/>
        <v/>
      </c>
      <c r="AD101" s="580" t="str">
        <f t="shared" si="140"/>
        <v/>
      </c>
      <c r="AE101" s="572" t="str">
        <f t="shared" si="106"/>
        <v/>
      </c>
      <c r="AF101" s="576" t="str">
        <f t="shared" si="107"/>
        <v/>
      </c>
      <c r="AG101" s="545" t="str">
        <f t="shared" si="108"/>
        <v/>
      </c>
      <c r="AH101" s="546" t="str">
        <f t="shared" si="109"/>
        <v/>
      </c>
      <c r="AI101" s="528" t="str">
        <f t="shared" si="110"/>
        <v/>
      </c>
      <c r="AJ101" s="529" t="str">
        <f t="shared" si="111"/>
        <v/>
      </c>
      <c r="AK101" s="578" t="str">
        <f t="shared" si="237"/>
        <v/>
      </c>
      <c r="AL101" s="572" t="str">
        <f t="shared" si="112"/>
        <v/>
      </c>
      <c r="AM101" s="577" t="str">
        <f t="shared" si="113"/>
        <v/>
      </c>
      <c r="AN101" s="524" t="str">
        <f t="shared" si="114"/>
        <v/>
      </c>
      <c r="AO101" s="525" t="str">
        <f t="shared" si="514"/>
        <v/>
      </c>
      <c r="AP101" s="528" t="str">
        <f t="shared" si="116"/>
        <v/>
      </c>
      <c r="AQ101" s="529" t="str">
        <f t="shared" si="533"/>
        <v/>
      </c>
      <c r="AS101" s="946" t="str">
        <f t="shared" si="632"/>
        <v/>
      </c>
      <c r="AT101" s="942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636"/>
        <v/>
      </c>
      <c r="BQ101" s="5" t="str">
        <f t="shared" si="637"/>
        <v/>
      </c>
      <c r="BR101" s="6" t="str">
        <f t="shared" si="638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9"/>
        <v/>
      </c>
      <c r="EZ101" s="51" t="str">
        <f t="shared" si="700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1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2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3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8"/>
        <v/>
      </c>
      <c r="GK101" s="174" t="str">
        <f t="shared" si="567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6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6"/>
        <v/>
      </c>
      <c r="HF101" s="5" t="str">
        <f t="shared" si="577"/>
        <v/>
      </c>
      <c r="HG101" s="343" t="str">
        <f t="shared" si="730"/>
        <v/>
      </c>
      <c r="HH101" s="349" t="str">
        <f t="shared" si="731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23" t="str">
        <f t="shared" si="580"/>
        <v/>
      </c>
      <c r="HN101" s="924" t="str">
        <f t="shared" si="581"/>
        <v/>
      </c>
      <c r="HO101" s="925"/>
      <c r="HP101" s="926"/>
      <c r="HQ101" s="924" t="str">
        <f t="shared" si="582"/>
        <v/>
      </c>
      <c r="HR101" s="927" t="str">
        <f t="shared" si="583"/>
        <v/>
      </c>
      <c r="HS101" s="879" t="str">
        <f t="shared" si="631"/>
        <v/>
      </c>
      <c r="HT101" s="889" t="str">
        <f t="shared" si="584"/>
        <v/>
      </c>
      <c r="HU101" s="890" t="str">
        <f t="shared" si="585"/>
        <v/>
      </c>
      <c r="HV101" s="886" t="str">
        <f t="shared" si="586"/>
        <v/>
      </c>
      <c r="HW101" s="880" t="str">
        <f t="shared" si="587"/>
        <v/>
      </c>
      <c r="HX101" s="881" t="str">
        <f t="shared" si="588"/>
        <v/>
      </c>
      <c r="HY101" s="880" t="str">
        <f t="shared" si="589"/>
        <v/>
      </c>
      <c r="HZ101" s="882" t="str">
        <f t="shared" si="590"/>
        <v/>
      </c>
      <c r="IA101" s="883" t="str">
        <f t="shared" si="591"/>
        <v/>
      </c>
      <c r="IB101" s="884" t="str">
        <f t="shared" si="592"/>
        <v/>
      </c>
      <c r="IC101" s="855" t="str">
        <f t="shared" si="593"/>
        <v/>
      </c>
      <c r="ID101" s="351" t="str">
        <f t="shared" si="594"/>
        <v/>
      </c>
      <c r="IE101" s="857" t="str">
        <f t="shared" si="5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2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3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515"/>
        <v/>
      </c>
      <c r="B102" s="578" t="str">
        <f t="shared" si="516"/>
        <v/>
      </c>
      <c r="C102" s="572" t="str">
        <f t="shared" si="517"/>
        <v/>
      </c>
      <c r="D102" s="576" t="str">
        <f t="shared" si="518"/>
        <v/>
      </c>
      <c r="E102" s="580" t="str">
        <f t="shared" si="519"/>
        <v/>
      </c>
      <c r="F102" s="572" t="str">
        <f t="shared" si="520"/>
        <v/>
      </c>
      <c r="G102" s="579" t="str">
        <f t="shared" si="521"/>
        <v/>
      </c>
      <c r="H102" s="580" t="str">
        <f t="shared" si="522"/>
        <v/>
      </c>
      <c r="I102" s="572" t="str">
        <f t="shared" si="523"/>
        <v/>
      </c>
      <c r="J102" s="483" t="str">
        <f t="shared" si="524"/>
        <v/>
      </c>
      <c r="K102" s="806" t="str">
        <f t="shared" si="525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0"/>
        <v/>
      </c>
      <c r="S102" s="577" t="str">
        <f t="shared" si="101"/>
        <v/>
      </c>
      <c r="T102" s="578" t="str">
        <f t="shared" si="102"/>
        <v/>
      </c>
      <c r="U102" s="572" t="str">
        <f t="shared" si="103"/>
        <v/>
      </c>
      <c r="V102" s="579" t="str">
        <f t="shared" si="139"/>
        <v/>
      </c>
      <c r="W102" s="528" t="str">
        <f t="shared" si="735"/>
        <v/>
      </c>
      <c r="X102" s="572" t="str">
        <f t="shared" si="104"/>
        <v/>
      </c>
      <c r="Y102" s="573" t="str">
        <f t="shared" si="734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5"/>
        <v/>
      </c>
      <c r="AD102" s="580" t="str">
        <f t="shared" si="140"/>
        <v/>
      </c>
      <c r="AE102" s="572" t="str">
        <f t="shared" si="106"/>
        <v/>
      </c>
      <c r="AF102" s="576" t="str">
        <f t="shared" si="107"/>
        <v/>
      </c>
      <c r="AG102" s="545" t="str">
        <f t="shared" si="108"/>
        <v/>
      </c>
      <c r="AH102" s="546" t="str">
        <f t="shared" si="109"/>
        <v/>
      </c>
      <c r="AI102" s="528" t="str">
        <f t="shared" si="110"/>
        <v/>
      </c>
      <c r="AJ102" s="529" t="str">
        <f t="shared" si="111"/>
        <v/>
      </c>
      <c r="AK102" s="578" t="str">
        <f t="shared" si="237"/>
        <v/>
      </c>
      <c r="AL102" s="572" t="str">
        <f t="shared" si="112"/>
        <v/>
      </c>
      <c r="AM102" s="577" t="str">
        <f t="shared" si="113"/>
        <v/>
      </c>
      <c r="AN102" s="524" t="str">
        <f t="shared" si="114"/>
        <v/>
      </c>
      <c r="AO102" s="525" t="str">
        <f t="shared" si="514"/>
        <v/>
      </c>
      <c r="AP102" s="528" t="str">
        <f t="shared" si="116"/>
        <v/>
      </c>
      <c r="AQ102" s="529" t="str">
        <f t="shared" si="533"/>
        <v/>
      </c>
      <c r="AS102" s="946" t="str">
        <f t="shared" si="632"/>
        <v/>
      </c>
      <c r="AT102" s="942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636"/>
        <v/>
      </c>
      <c r="BQ102" s="5" t="str">
        <f t="shared" si="637"/>
        <v/>
      </c>
      <c r="BR102" s="6" t="str">
        <f t="shared" si="638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9"/>
        <v/>
      </c>
      <c r="EZ102" s="51" t="str">
        <f t="shared" si="700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1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2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3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8"/>
        <v/>
      </c>
      <c r="GK102" s="174" t="str">
        <f t="shared" si="567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6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6"/>
        <v/>
      </c>
      <c r="HF102" s="5" t="str">
        <f t="shared" si="577"/>
        <v/>
      </c>
      <c r="HG102" s="343" t="str">
        <f t="shared" si="730"/>
        <v/>
      </c>
      <c r="HH102" s="349" t="str">
        <f t="shared" si="731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23" t="str">
        <f t="shared" si="580"/>
        <v/>
      </c>
      <c r="HN102" s="924" t="str">
        <f t="shared" si="581"/>
        <v/>
      </c>
      <c r="HO102" s="925"/>
      <c r="HP102" s="926"/>
      <c r="HQ102" s="924" t="str">
        <f t="shared" si="582"/>
        <v/>
      </c>
      <c r="HR102" s="927" t="str">
        <f t="shared" si="583"/>
        <v/>
      </c>
      <c r="HS102" s="879" t="str">
        <f t="shared" si="631"/>
        <v/>
      </c>
      <c r="HT102" s="889" t="str">
        <f t="shared" si="584"/>
        <v/>
      </c>
      <c r="HU102" s="890" t="str">
        <f t="shared" si="585"/>
        <v/>
      </c>
      <c r="HV102" s="886" t="str">
        <f t="shared" si="586"/>
        <v/>
      </c>
      <c r="HW102" s="880" t="str">
        <f t="shared" si="587"/>
        <v/>
      </c>
      <c r="HX102" s="881" t="str">
        <f t="shared" si="588"/>
        <v/>
      </c>
      <c r="HY102" s="880" t="str">
        <f t="shared" si="589"/>
        <v/>
      </c>
      <c r="HZ102" s="882" t="str">
        <f t="shared" si="590"/>
        <v/>
      </c>
      <c r="IA102" s="883" t="str">
        <f t="shared" si="591"/>
        <v/>
      </c>
      <c r="IB102" s="884" t="str">
        <f t="shared" si="592"/>
        <v/>
      </c>
      <c r="IC102" s="855" t="str">
        <f t="shared" si="593"/>
        <v/>
      </c>
      <c r="ID102" s="351" t="str">
        <f t="shared" si="594"/>
        <v/>
      </c>
      <c r="IE102" s="857" t="str">
        <f t="shared" si="5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2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3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515"/>
        <v/>
      </c>
      <c r="B103" s="578" t="str">
        <f t="shared" si="516"/>
        <v/>
      </c>
      <c r="C103" s="572" t="str">
        <f t="shared" si="517"/>
        <v/>
      </c>
      <c r="D103" s="576" t="str">
        <f t="shared" si="518"/>
        <v/>
      </c>
      <c r="E103" s="580" t="str">
        <f t="shared" si="519"/>
        <v/>
      </c>
      <c r="F103" s="572" t="str">
        <f t="shared" si="520"/>
        <v/>
      </c>
      <c r="G103" s="579" t="str">
        <f t="shared" si="521"/>
        <v/>
      </c>
      <c r="H103" s="580" t="str">
        <f t="shared" si="522"/>
        <v/>
      </c>
      <c r="I103" s="572" t="str">
        <f t="shared" si="523"/>
        <v/>
      </c>
      <c r="J103" s="483" t="str">
        <f t="shared" si="524"/>
        <v/>
      </c>
      <c r="K103" s="806" t="str">
        <f t="shared" si="525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0"/>
        <v/>
      </c>
      <c r="S103" s="577" t="str">
        <f t="shared" si="101"/>
        <v/>
      </c>
      <c r="T103" s="578" t="str">
        <f t="shared" si="102"/>
        <v/>
      </c>
      <c r="U103" s="572" t="str">
        <f t="shared" si="103"/>
        <v/>
      </c>
      <c r="V103" s="579" t="str">
        <f t="shared" si="139"/>
        <v/>
      </c>
      <c r="W103" s="528" t="str">
        <f t="shared" si="735"/>
        <v/>
      </c>
      <c r="X103" s="572" t="str">
        <f t="shared" si="104"/>
        <v/>
      </c>
      <c r="Y103" s="573" t="str">
        <f t="shared" si="734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5"/>
        <v/>
      </c>
      <c r="AD103" s="580" t="str">
        <f t="shared" si="140"/>
        <v/>
      </c>
      <c r="AE103" s="572" t="str">
        <f t="shared" si="106"/>
        <v/>
      </c>
      <c r="AF103" s="576" t="str">
        <f t="shared" si="107"/>
        <v/>
      </c>
      <c r="AG103" s="545" t="str">
        <f t="shared" si="108"/>
        <v/>
      </c>
      <c r="AH103" s="546" t="str">
        <f t="shared" si="109"/>
        <v/>
      </c>
      <c r="AI103" s="528" t="str">
        <f t="shared" si="110"/>
        <v/>
      </c>
      <c r="AJ103" s="529" t="str">
        <f t="shared" si="111"/>
        <v/>
      </c>
      <c r="AK103" s="578" t="str">
        <f t="shared" si="237"/>
        <v/>
      </c>
      <c r="AL103" s="572" t="str">
        <f t="shared" si="112"/>
        <v/>
      </c>
      <c r="AM103" s="577" t="str">
        <f t="shared" si="113"/>
        <v/>
      </c>
      <c r="AN103" s="524" t="str">
        <f t="shared" si="114"/>
        <v/>
      </c>
      <c r="AO103" s="525" t="str">
        <f t="shared" si="514"/>
        <v/>
      </c>
      <c r="AP103" s="528" t="str">
        <f t="shared" si="116"/>
        <v/>
      </c>
      <c r="AQ103" s="529" t="str">
        <f t="shared" si="533"/>
        <v/>
      </c>
      <c r="AS103" s="946" t="str">
        <f t="shared" si="632"/>
        <v/>
      </c>
      <c r="AT103" s="942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636"/>
        <v/>
      </c>
      <c r="BQ103" s="5" t="str">
        <f t="shared" si="637"/>
        <v/>
      </c>
      <c r="BR103" s="6" t="str">
        <f t="shared" si="638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9"/>
        <v/>
      </c>
      <c r="EZ103" s="51" t="str">
        <f t="shared" si="700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1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2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3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8"/>
        <v/>
      </c>
      <c r="GK103" s="174" t="str">
        <f t="shared" si="567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6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6"/>
        <v/>
      </c>
      <c r="HF103" s="5" t="str">
        <f t="shared" si="577"/>
        <v/>
      </c>
      <c r="HG103" s="343" t="str">
        <f t="shared" si="730"/>
        <v/>
      </c>
      <c r="HH103" s="349" t="str">
        <f t="shared" si="731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23" t="str">
        <f t="shared" si="580"/>
        <v/>
      </c>
      <c r="HN103" s="924" t="str">
        <f t="shared" si="581"/>
        <v/>
      </c>
      <c r="HO103" s="925"/>
      <c r="HP103" s="926"/>
      <c r="HQ103" s="924" t="str">
        <f t="shared" si="582"/>
        <v/>
      </c>
      <c r="HR103" s="927" t="str">
        <f t="shared" si="583"/>
        <v/>
      </c>
      <c r="HS103" s="879" t="str">
        <f t="shared" si="631"/>
        <v/>
      </c>
      <c r="HT103" s="889" t="str">
        <f t="shared" si="584"/>
        <v/>
      </c>
      <c r="HU103" s="890" t="str">
        <f t="shared" si="585"/>
        <v/>
      </c>
      <c r="HV103" s="886" t="str">
        <f t="shared" si="586"/>
        <v/>
      </c>
      <c r="HW103" s="880" t="str">
        <f t="shared" si="587"/>
        <v/>
      </c>
      <c r="HX103" s="881" t="str">
        <f t="shared" si="588"/>
        <v/>
      </c>
      <c r="HY103" s="880" t="str">
        <f t="shared" si="589"/>
        <v/>
      </c>
      <c r="HZ103" s="882" t="str">
        <f t="shared" si="590"/>
        <v/>
      </c>
      <c r="IA103" s="883" t="str">
        <f t="shared" si="591"/>
        <v/>
      </c>
      <c r="IB103" s="884" t="str">
        <f t="shared" si="592"/>
        <v/>
      </c>
      <c r="IC103" s="855" t="str">
        <f t="shared" si="593"/>
        <v/>
      </c>
      <c r="ID103" s="351" t="str">
        <f t="shared" si="594"/>
        <v/>
      </c>
      <c r="IE103" s="857" t="str">
        <f t="shared" si="5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2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3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515"/>
        <v/>
      </c>
      <c r="B104" s="578" t="str">
        <f t="shared" si="516"/>
        <v/>
      </c>
      <c r="C104" s="572" t="str">
        <f t="shared" si="517"/>
        <v/>
      </c>
      <c r="D104" s="576" t="str">
        <f t="shared" si="518"/>
        <v/>
      </c>
      <c r="E104" s="580" t="str">
        <f t="shared" si="519"/>
        <v/>
      </c>
      <c r="F104" s="572" t="str">
        <f t="shared" si="520"/>
        <v/>
      </c>
      <c r="G104" s="579" t="str">
        <f t="shared" si="521"/>
        <v/>
      </c>
      <c r="H104" s="580" t="str">
        <f t="shared" si="522"/>
        <v/>
      </c>
      <c r="I104" s="572" t="str">
        <f t="shared" si="523"/>
        <v/>
      </c>
      <c r="J104" s="483" t="str">
        <f t="shared" si="524"/>
        <v/>
      </c>
      <c r="K104" s="806" t="str">
        <f t="shared" si="525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0"/>
        <v/>
      </c>
      <c r="S104" s="577" t="str">
        <f t="shared" si="101"/>
        <v/>
      </c>
      <c r="T104" s="578" t="str">
        <f t="shared" si="102"/>
        <v/>
      </c>
      <c r="U104" s="572" t="str">
        <f t="shared" si="103"/>
        <v/>
      </c>
      <c r="V104" s="579" t="str">
        <f t="shared" si="139"/>
        <v/>
      </c>
      <c r="W104" s="528" t="str">
        <f t="shared" si="735"/>
        <v/>
      </c>
      <c r="X104" s="572" t="str">
        <f t="shared" si="104"/>
        <v/>
      </c>
      <c r="Y104" s="573" t="str">
        <f t="shared" si="734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5"/>
        <v/>
      </c>
      <c r="AD104" s="580" t="str">
        <f t="shared" si="140"/>
        <v/>
      </c>
      <c r="AE104" s="572" t="str">
        <f t="shared" si="106"/>
        <v/>
      </c>
      <c r="AF104" s="576" t="str">
        <f t="shared" si="107"/>
        <v/>
      </c>
      <c r="AG104" s="545" t="str">
        <f t="shared" si="108"/>
        <v/>
      </c>
      <c r="AH104" s="546" t="str">
        <f t="shared" si="109"/>
        <v/>
      </c>
      <c r="AI104" s="528" t="str">
        <f t="shared" si="110"/>
        <v/>
      </c>
      <c r="AJ104" s="529" t="str">
        <f t="shared" si="111"/>
        <v/>
      </c>
      <c r="AK104" s="578" t="str">
        <f t="shared" si="237"/>
        <v/>
      </c>
      <c r="AL104" s="572" t="str">
        <f t="shared" si="112"/>
        <v/>
      </c>
      <c r="AM104" s="577" t="str">
        <f t="shared" si="113"/>
        <v/>
      </c>
      <c r="AN104" s="524" t="str">
        <f t="shared" si="114"/>
        <v/>
      </c>
      <c r="AO104" s="525" t="str">
        <f t="shared" si="514"/>
        <v/>
      </c>
      <c r="AP104" s="528" t="str">
        <f t="shared" si="116"/>
        <v/>
      </c>
      <c r="AQ104" s="529" t="str">
        <f t="shared" si="533"/>
        <v/>
      </c>
      <c r="AS104" s="946" t="str">
        <f t="shared" si="632"/>
        <v/>
      </c>
      <c r="AT104" s="942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636"/>
        <v/>
      </c>
      <c r="BQ104" s="5" t="str">
        <f t="shared" si="637"/>
        <v/>
      </c>
      <c r="BR104" s="6" t="str">
        <f t="shared" si="638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9"/>
        <v/>
      </c>
      <c r="EZ104" s="51" t="str">
        <f t="shared" si="700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1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2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3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8"/>
        <v/>
      </c>
      <c r="GK104" s="174" t="str">
        <f t="shared" si="567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6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6"/>
        <v/>
      </c>
      <c r="HF104" s="5" t="str">
        <f t="shared" si="577"/>
        <v/>
      </c>
      <c r="HG104" s="343" t="str">
        <f t="shared" si="730"/>
        <v/>
      </c>
      <c r="HH104" s="349" t="str">
        <f t="shared" si="731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23" t="str">
        <f t="shared" si="580"/>
        <v/>
      </c>
      <c r="HN104" s="924" t="str">
        <f t="shared" si="581"/>
        <v/>
      </c>
      <c r="HO104" s="925"/>
      <c r="HP104" s="926"/>
      <c r="HQ104" s="924" t="str">
        <f t="shared" si="582"/>
        <v/>
      </c>
      <c r="HR104" s="927" t="str">
        <f t="shared" si="583"/>
        <v/>
      </c>
      <c r="HS104" s="879" t="str">
        <f t="shared" si="631"/>
        <v/>
      </c>
      <c r="HT104" s="889" t="str">
        <f t="shared" si="584"/>
        <v/>
      </c>
      <c r="HU104" s="890" t="str">
        <f t="shared" si="585"/>
        <v/>
      </c>
      <c r="HV104" s="886" t="str">
        <f t="shared" si="586"/>
        <v/>
      </c>
      <c r="HW104" s="880" t="str">
        <f t="shared" si="587"/>
        <v/>
      </c>
      <c r="HX104" s="881" t="str">
        <f t="shared" si="588"/>
        <v/>
      </c>
      <c r="HY104" s="880" t="str">
        <f t="shared" si="589"/>
        <v/>
      </c>
      <c r="HZ104" s="882" t="str">
        <f t="shared" si="590"/>
        <v/>
      </c>
      <c r="IA104" s="883" t="str">
        <f t="shared" si="591"/>
        <v/>
      </c>
      <c r="IB104" s="884" t="str">
        <f t="shared" si="592"/>
        <v/>
      </c>
      <c r="IC104" s="855" t="str">
        <f t="shared" si="593"/>
        <v/>
      </c>
      <c r="ID104" s="351" t="str">
        <f t="shared" si="594"/>
        <v/>
      </c>
      <c r="IE104" s="857" t="str">
        <f t="shared" si="5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2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3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36" si="736">IF($K105="","",IF(AND($A$8="Y",ISNUMBER($K105)),$A$5,0))</f>
        <v/>
      </c>
      <c r="B105" s="578" t="str">
        <f t="shared" ref="B105:B136" si="737">IFERROR(Q260+($A105*-E105),"")</f>
        <v/>
      </c>
      <c r="C105" s="572" t="str">
        <f t="shared" ref="C105:C136" si="738">IFERROR(R260+($A105*-F105),"")</f>
        <v/>
      </c>
      <c r="D105" s="576" t="str">
        <f t="shared" ref="D105:D136" si="739">IFERROR(S260+($A105*-G105),"")</f>
        <v/>
      </c>
      <c r="E105" s="580" t="str">
        <f t="shared" ref="E105:E136" si="740">T260</f>
        <v/>
      </c>
      <c r="F105" s="572" t="str">
        <f t="shared" ref="F105:F136" si="741">U260</f>
        <v/>
      </c>
      <c r="G105" s="579" t="str">
        <f t="shared" ref="G105:G136" si="742">V260</f>
        <v/>
      </c>
      <c r="H105" s="580" t="str">
        <f t="shared" ref="H105:H136" si="743">W260</f>
        <v/>
      </c>
      <c r="I105" s="572" t="str">
        <f t="shared" ref="I105:I136" si="744">X260</f>
        <v/>
      </c>
      <c r="J105" s="483" t="str">
        <f t="shared" ref="J105:J136" si="745">IF(Y260=0,"",Y260)</f>
        <v/>
      </c>
      <c r="K105" s="806" t="str">
        <f t="shared" ref="K105:K136" si="746">Z260</f>
        <v/>
      </c>
      <c r="L105" s="309"/>
      <c r="M105" s="164" t="str">
        <f t="shared" ref="M105:M136" si="747">IF(J105="","",VALUE(J105))</f>
        <v/>
      </c>
      <c r="N105" s="575" t="str">
        <f t="shared" ref="N105:N136" si="748">IF(M105="","",B105)</f>
        <v/>
      </c>
      <c r="O105" s="572" t="str">
        <f t="shared" ref="O105:O136" si="749">IF(M105="","",C105)</f>
        <v/>
      </c>
      <c r="P105" s="576" t="str">
        <f t="shared" ref="P105:P136" si="750">IF(M105="","",D105)</f>
        <v/>
      </c>
      <c r="Q105" s="528" t="str">
        <f t="shared" si="609"/>
        <v/>
      </c>
      <c r="R105" s="572" t="str">
        <f t="shared" si="100"/>
        <v/>
      </c>
      <c r="S105" s="577" t="str">
        <f t="shared" si="101"/>
        <v/>
      </c>
      <c r="T105" s="578" t="str">
        <f t="shared" si="102"/>
        <v/>
      </c>
      <c r="U105" s="572" t="str">
        <f t="shared" si="103"/>
        <v/>
      </c>
      <c r="V105" s="579" t="str">
        <f t="shared" si="139"/>
        <v/>
      </c>
      <c r="W105" s="528" t="str">
        <f t="shared" si="735"/>
        <v/>
      </c>
      <c r="X105" s="572" t="str">
        <f t="shared" si="104"/>
        <v/>
      </c>
      <c r="Y105" s="573" t="str">
        <f t="shared" si="734"/>
        <v/>
      </c>
      <c r="Z105" s="575" t="str">
        <f t="shared" ref="Z105:Z136" si="751">IF(M105="","",-E105)</f>
        <v/>
      </c>
      <c r="AA105" s="572" t="str">
        <f t="shared" ref="AA105:AA136" si="752">IF(M105="","",-F105)</f>
        <v/>
      </c>
      <c r="AB105" s="572" t="str">
        <f t="shared" ref="AB105:AB136" si="753">IF(M105="","",-G105)</f>
        <v/>
      </c>
      <c r="AC105" s="579" t="str">
        <f t="shared" si="105"/>
        <v/>
      </c>
      <c r="AD105" s="580" t="str">
        <f t="shared" si="140"/>
        <v/>
      </c>
      <c r="AE105" s="572" t="str">
        <f t="shared" si="106"/>
        <v/>
      </c>
      <c r="AF105" s="576" t="str">
        <f t="shared" si="107"/>
        <v/>
      </c>
      <c r="AG105" s="545" t="str">
        <f t="shared" si="108"/>
        <v/>
      </c>
      <c r="AH105" s="546" t="str">
        <f t="shared" si="109"/>
        <v/>
      </c>
      <c r="AI105" s="528" t="str">
        <f t="shared" si="110"/>
        <v/>
      </c>
      <c r="AJ105" s="529" t="str">
        <f t="shared" si="111"/>
        <v/>
      </c>
      <c r="AK105" s="578" t="str">
        <f t="shared" si="237"/>
        <v/>
      </c>
      <c r="AL105" s="572" t="str">
        <f t="shared" si="112"/>
        <v/>
      </c>
      <c r="AM105" s="577" t="str">
        <f t="shared" si="113"/>
        <v/>
      </c>
      <c r="AN105" s="524" t="str">
        <f t="shared" si="114"/>
        <v/>
      </c>
      <c r="AO105" s="525" t="str">
        <f t="shared" si="514"/>
        <v/>
      </c>
      <c r="AP105" s="528" t="str">
        <f t="shared" si="116"/>
        <v/>
      </c>
      <c r="AQ105" s="529" t="str">
        <f t="shared" ref="AQ105:AQ136" si="754">IF(M105="","",DEGREES(ATAN(($AS$5*SIN(RADIANS(90)))/(($X105*2*PI())-($AS$5*COS(RADIANS(90)))))))</f>
        <v/>
      </c>
      <c r="AS105" s="946" t="str">
        <f t="shared" si="632"/>
        <v/>
      </c>
      <c r="AT105" s="942" t="str">
        <f t="shared" ref="AT105:AT136" si="755">IF(M105="","",Y105+(((AS105-$AS$9)*$AS$6)*-1))</f>
        <v/>
      </c>
      <c r="AU105" s="418"/>
      <c r="AV105" s="164" t="str">
        <f t="shared" ref="AV105:AV136" si="75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5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58">IF(ISNUMBER(AV105),Y105+BB105,"")</f>
        <v/>
      </c>
      <c r="BF105" s="4" t="str">
        <f t="shared" ref="BF105:BF136" si="759">IF(ISNUMBER($AV105),N105,"")</f>
        <v/>
      </c>
      <c r="BG105" s="5" t="str">
        <f t="shared" ref="BG105:BG136" si="760">IF(ISNUMBER($AV105),O105,"")</f>
        <v/>
      </c>
      <c r="BH105" s="10" t="str">
        <f t="shared" ref="BH105:BH136" si="761">IF(ISNUMBER($AV105),P105,"")</f>
        <v/>
      </c>
      <c r="BI105" s="9" t="str">
        <f t="shared" si="634"/>
        <v/>
      </c>
      <c r="BJ105" s="5" t="str">
        <f t="shared" ref="BJ105:BJ136" si="762">IF(ISNUMBER($AV105),BG105+COS(RADIANS($AG105)),"")</f>
        <v/>
      </c>
      <c r="BK105" s="8" t="str">
        <f t="shared" ref="BK105:BK136" si="763">IF(ISNUMBER($AV105),BH105+SIN(RADIANS($AG105)),"")</f>
        <v/>
      </c>
      <c r="BL105" s="173" t="str">
        <f t="shared" ref="BL105:BL136" si="764">IF(ISNUMBER($AV105),BF105+SIN(RADIANS($AH105)),"")</f>
        <v/>
      </c>
      <c r="BM105" s="5" t="str">
        <f t="shared" ref="BM105:BM136" si="765">IF(ISNUMBER($AV105),BG105-SIN(RADIANS($AG105))*COS(RADIANS($AH105)),"")</f>
        <v/>
      </c>
      <c r="BN105" s="6" t="str">
        <f t="shared" ref="BN105:BN136" si="766">IF(ISNUMBER($AV105),BH105+COS(RADIANS($AG105))*COS(RADIANS($AH105)),"")</f>
        <v/>
      </c>
      <c r="BO105" s="4" t="str">
        <f t="shared" si="635"/>
        <v/>
      </c>
      <c r="BP105" s="5" t="str">
        <f t="shared" si="636"/>
        <v/>
      </c>
      <c r="BQ105" s="5" t="str">
        <f t="shared" si="637"/>
        <v/>
      </c>
      <c r="BR105" s="6" t="str">
        <f t="shared" si="638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6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8">IF(ISNUMBER($AV105),AD105,"")</f>
        <v/>
      </c>
      <c r="ET105" s="5" t="str">
        <f t="shared" ref="ET105:ET136" si="769">IF(ISNUMBER($AV105),AE105,"")</f>
        <v/>
      </c>
      <c r="EU105" s="10" t="str">
        <f t="shared" ref="EU105:EU136" si="770">IF(ISNUMBER($AV105),AF105,"")</f>
        <v/>
      </c>
      <c r="EV105" s="174" t="str">
        <f t="shared" ref="EV105:EV129" si="771">IF(ISNUMBER($AV105),IF(($EV$1-EP105)&lt;0,(360+($EV$1-EP105)),($EV$1-EP105)),"")</f>
        <v/>
      </c>
      <c r="EW105" s="9" t="str">
        <f t="shared" ref="EW105:EW129" si="772">IF(ISNUMBER($AV105),(COS(RADIANS($EV105))*ES105)+(-SIN(RADIANS($EV105))*ET105),"")</f>
        <v/>
      </c>
      <c r="EX105" s="5" t="str">
        <f t="shared" ref="EX105:EX129" si="773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4">IF(ISNUMBER($AV105),SIN(RADIANS($EP105))*COS(RADIANS($EZ105)),"")</f>
        <v/>
      </c>
      <c r="FB105" s="5" t="str">
        <f t="shared" ref="FB105:FB150" si="775">IF(ISNUMBER($AV105),-1*COS(RADIANS($EP105))*COS(RADIANS($EZ105)),"")</f>
        <v/>
      </c>
      <c r="FC105" s="6" t="str">
        <f t="shared" ref="FC105:FC150" si="776">IF(ISNUMBER($AV105),-1*SIN(RADIANS($EZ105)),"")</f>
        <v/>
      </c>
      <c r="FD105" s="4" t="str">
        <f t="shared" ref="FD105:FD129" si="777">IF(ISNUMBER($AV105),(COS(RADIANS($EV105))*FA105)+(-SIN(RADIANS($EV105))*FB105),"")</f>
        <v/>
      </c>
      <c r="FE105" s="5" t="str">
        <f t="shared" ref="FE105:FE129" si="778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79">IF(ISNUMBER($AV105),EW105-FD105,"")</f>
        <v/>
      </c>
      <c r="FH105" s="5" t="str">
        <f t="shared" ref="FH105:FH129" si="780">IF(ISNUMBER($AV105),EX105-FE105,"")</f>
        <v/>
      </c>
      <c r="FI105" s="10" t="str">
        <f t="shared" ref="FI105:FI129" si="781">IF(ISNUMBER($AV105),EY105-FF105,"")</f>
        <v/>
      </c>
      <c r="FJ105" s="279" t="str">
        <f t="shared" si="702"/>
        <v/>
      </c>
      <c r="FK105" s="4" t="str">
        <f t="shared" ref="FK105:FK129" si="78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8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4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5">IF(ISNUMBER($AV105),ABS(GB105)/(ABS($GB105)+ABS($GC105)+ABS($GD105)),"")</f>
        <v/>
      </c>
      <c r="GH105" s="286" t="str">
        <f t="shared" ref="GH105:GH129" si="786">IF(ISNUMBER($AV105),ABS(GC105)/(ABS($GB105)+ABS($GC105)+ABS($GD105)),"")</f>
        <v/>
      </c>
      <c r="GI105" s="281" t="str">
        <f t="shared" ref="GI105:GI129" si="787">IF(ISNUMBER($AV105),ABS(GD105)/(ABS($GB105)+ABS($GC105)+ABS($GD105)),"")</f>
        <v/>
      </c>
      <c r="GJ105" s="167" t="str">
        <f t="shared" si="718"/>
        <v/>
      </c>
      <c r="GK105" s="174" t="str">
        <f t="shared" ref="GK105:GK150" si="788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89">IF(ISNUMBER($AV105),GU105/GH105*GG105,"")</f>
        <v/>
      </c>
      <c r="GT105" s="343" t="str">
        <f t="shared" ref="GT105:GT129" si="790">IF(ISNUMBER($AV105),GS105/$GK105,"")</f>
        <v/>
      </c>
      <c r="GU105" s="344" t="str">
        <f t="shared" ref="GU105:GU150" si="791">IF(ISNUMBER($AV105),$GV105*$GK105,"")</f>
        <v/>
      </c>
      <c r="GV105" s="343" t="str">
        <f t="shared" si="726"/>
        <v/>
      </c>
      <c r="GW105" s="345" t="str">
        <f t="shared" ref="GW105:GW150" si="792">IF(ISNUMBER($AV105),$GW$2,"")</f>
        <v/>
      </c>
      <c r="GX105" s="346" t="str">
        <f t="shared" ref="GX105:GX150" si="793">IF(ISNUMBER($AV105),($GJ105/12)*$GV105,"")</f>
        <v/>
      </c>
      <c r="GY105" s="344" t="str">
        <f t="shared" ref="GY105:GY129" si="794">IF(ISNUMBER($AV105),GU105/GH105*GI105,"")</f>
        <v/>
      </c>
      <c r="GZ105" s="345" t="str">
        <f t="shared" ref="GZ105:GZ129" si="795">IF(ISNUMBER($AV105),GY105/$GK105,"")</f>
        <v/>
      </c>
      <c r="HA105" s="342" t="str">
        <f t="shared" ref="HA105:HA150" si="796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7">IF(ISNUMBER($AV105),$FY105*$GV105,"")</f>
        <v/>
      </c>
      <c r="HF105" s="5" t="str">
        <f t="shared" ref="HF105:HF150" si="798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799">IF(ISNUMBER($AV105),$M105,"")</f>
        <v/>
      </c>
      <c r="HK105" s="310" t="str">
        <f t="shared" si="630"/>
        <v/>
      </c>
      <c r="HL105" s="348" t="str">
        <f t="shared" ref="HL105:HL136" si="800">IF(ISNUMBER($HS105),INDEX(HI$9:HI$150,MATCH($HS105,$GJ$9:$GJ$150,0)),"")</f>
        <v/>
      </c>
      <c r="HM105" s="923" t="str">
        <f t="shared" ref="HM105:HM136" si="801">IF(ISNUMBER($HL105),INDEX(GO$9:GO$150,MATCH($HL105,$AV$9:$AV$150,0)),"")</f>
        <v/>
      </c>
      <c r="HN105" s="924" t="str">
        <f t="shared" ref="HN105:HN136" si="802">IF(ISNUMBER($HL105),INDEX(AO$9:AO$150,MATCH($HL105,$AV$9:$AV$150,0)),"")</f>
        <v/>
      </c>
      <c r="HO105" s="925"/>
      <c r="HP105" s="926"/>
      <c r="HQ105" s="924" t="str">
        <f t="shared" ref="HQ105:HQ136" si="803">IF(ISNUMBER($HL105),INDEX(GQ$9:GQ$150,MATCH($HL105,$AV$9:$AV$150,0)),"")</f>
        <v/>
      </c>
      <c r="HR105" s="927" t="str">
        <f t="shared" ref="HR105:HR136" si="804">IF(ISNUMBER($HL105),INDEX(GP$9:GP$150,MATCH($HL105,$AV$9:$AV$150,0)),"")</f>
        <v/>
      </c>
      <c r="HS105" s="879" t="str">
        <f t="shared" si="631"/>
        <v/>
      </c>
      <c r="HT105" s="889" t="str">
        <f t="shared" ref="HT105:HT136" si="805">IF(ISNUMBER($HL105),INDEX(GL$9:GL$150,MATCH($HL105,$AV$9:$AV$150,0)),"")</f>
        <v/>
      </c>
      <c r="HU105" s="890" t="str">
        <f t="shared" ref="HU105:HU136" si="806">IF(ISNUMBER($HL105),INDEX(GM$9:GM$150,MATCH($HL105,$AV$9:$AV$150,0)),"")</f>
        <v/>
      </c>
      <c r="HV105" s="886" t="str">
        <f t="shared" ref="HV105:HV136" si="807">IF(ISNUMBER($HL105),INDEX(GN$9:GN$150,MATCH($HL105,$AV$9:$AV$150,0)),"")</f>
        <v/>
      </c>
      <c r="HW105" s="880" t="str">
        <f t="shared" ref="HW105:HW136" si="808">IF(ISNUMBER($HL105),INDEX(GW$9:GW$150,MATCH($HL105,$AV$9:$AV$150,0)),"")</f>
        <v/>
      </c>
      <c r="HX105" s="881" t="str">
        <f t="shared" ref="HX105:HX136" si="809">IF(ISNUMBER($HL105),INDEX(GX$9:GX$150,MATCH($HL105,$AV$9:$AV$150,0)),"")</f>
        <v/>
      </c>
      <c r="HY105" s="880" t="str">
        <f t="shared" ref="HY105:HY136" si="810">IF(ISNUMBER($HL105),INDEX(GS$9:GS$150,MATCH($HL105,$AV$9:$AV$150,0)),"")</f>
        <v/>
      </c>
      <c r="HZ105" s="882" t="str">
        <f t="shared" ref="HZ105:HZ136" si="811">IF(ISNUMBER($HL105),INDEX(GU$9:GU$150,MATCH($HL105,$AV$9:$AV$150,0)),"")</f>
        <v/>
      </c>
      <c r="IA105" s="883" t="str">
        <f t="shared" ref="IA105:IA136" si="812">IF(ISNUMBER($HL105),INDEX(GY$9:GY$150,MATCH($HL105,$AV$9:$AV$150,0)),"")</f>
        <v/>
      </c>
      <c r="IB105" s="884" t="str">
        <f t="shared" ref="IB105:IB136" si="813">IF(ISNUMBER($HL105),INDEX(GR$9:GR$150,MATCH($HL105,$AV$9:$AV$150,0)),"")</f>
        <v/>
      </c>
      <c r="IC105" s="855" t="str">
        <f t="shared" ref="IC105:IC136" si="814">IF(ISNUMBER($HL105),INDEX(GT$9:GT$150,MATCH($HL105,$AV$9:$AV$150,0)),"")</f>
        <v/>
      </c>
      <c r="ID105" s="351" t="str">
        <f t="shared" ref="ID105:ID136" si="815">IF(ISNUMBER($HL105),INDEX(GV$9:GV$150,MATCH($HL105,$AV$9:$AV$150,0)),"")</f>
        <v/>
      </c>
      <c r="IE105" s="857" t="str">
        <f t="shared" ref="IE105:IE136" si="816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2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17">IF(ISNUMBER($IK105),INDEX($K$9:$K$150,MATCH($IK105,$M$9:$M$150,0)),$K105)</f>
        <v/>
      </c>
      <c r="IM105" s="482" t="str">
        <f t="shared" si="733"/>
        <v/>
      </c>
      <c r="IN105" s="670" t="str">
        <f t="shared" ref="IN105:IN136" si="81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19">IF(ISNUMBER($IK105),(($IQ105*12)/60)/$AS$3,"")</f>
        <v/>
      </c>
      <c r="IQ105" s="714"/>
      <c r="IR105" s="9" t="str">
        <f t="shared" ref="IR105:IR136" si="820">IF(ISNUMBER($IK105),(INDEX($X$9:$X$150,MATCH($IK105,$M$9:$M$150,0))*-1),"")</f>
        <v/>
      </c>
      <c r="IS105" s="5" t="str">
        <f t="shared" ref="IS105:IS136" si="821">IF(ISNUMBER($IK105),INDEX($Y$9:$Y$150,MATCH($IK105,$M$9:$M$150,0)),"")</f>
        <v/>
      </c>
      <c r="IT105" s="5" t="str">
        <f t="shared" ref="IT105:IT136" si="822">IF(ISNUMBER($IK105),INDEX($H$9:$H$150,MATCH($IK105,$M$9:$M$150,0)),"")</f>
        <v/>
      </c>
      <c r="IU105" s="5" t="str">
        <f t="shared" ref="IU105:IU136" si="823">IF(ISNUMBER($IK105),$IT105*COS(RADIANS(INDEX($AO$9:$AO$150,MATCH($IK105,$M$9:$M$150,0)))),"")</f>
        <v/>
      </c>
      <c r="IV105" s="670" t="str">
        <f t="shared" ref="IV105:IV136" si="824">IF(ISNUMBER($IK105),(-1*INDEX($AN$9:$AN$150,MATCH($IK105,$M$9:$M$150,0))),"")</f>
        <v/>
      </c>
      <c r="IW105" s="9" t="str">
        <f t="shared" ref="IW105:IW136" si="825">IF(ISNUMBER($IK105),-$X105,"")</f>
        <v/>
      </c>
      <c r="IX105" s="5" t="str">
        <f t="shared" ref="IX105:IX136" si="826">IF(ISNUMBER($IK105),$Y105,"")</f>
        <v/>
      </c>
      <c r="IY105" s="5" t="str">
        <f t="shared" ref="IY105:IY136" si="827">IF(ISNUMBER($IK105),$H105,"")</f>
        <v/>
      </c>
      <c r="IZ105" s="5" t="str">
        <f t="shared" ref="IZ105:IZ136" si="828">IF(ISNUMBER($IK105),$IY105*COS(RADIANS($AO105)),"")</f>
        <v/>
      </c>
      <c r="JA105" s="705" t="str">
        <f t="shared" ref="JA105:JA136" si="82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737"/>
        <v/>
      </c>
      <c r="C106" s="572" t="str">
        <f t="shared" si="738"/>
        <v/>
      </c>
      <c r="D106" s="576" t="str">
        <f t="shared" si="739"/>
        <v/>
      </c>
      <c r="E106" s="580" t="str">
        <f t="shared" si="740"/>
        <v/>
      </c>
      <c r="F106" s="572" t="str">
        <f t="shared" si="741"/>
        <v/>
      </c>
      <c r="G106" s="579" t="str">
        <f t="shared" si="742"/>
        <v/>
      </c>
      <c r="H106" s="580" t="str">
        <f t="shared" si="743"/>
        <v/>
      </c>
      <c r="I106" s="572" t="str">
        <f t="shared" si="744"/>
        <v/>
      </c>
      <c r="J106" s="483" t="str">
        <f t="shared" si="745"/>
        <v/>
      </c>
      <c r="K106" s="806" t="str">
        <f t="shared" si="746"/>
        <v/>
      </c>
      <c r="L106" s="309"/>
      <c r="M106" s="164" t="str">
        <f t="shared" si="747"/>
        <v/>
      </c>
      <c r="N106" s="575" t="str">
        <f t="shared" si="748"/>
        <v/>
      </c>
      <c r="O106" s="572" t="str">
        <f t="shared" si="749"/>
        <v/>
      </c>
      <c r="P106" s="576" t="str">
        <f t="shared" si="750"/>
        <v/>
      </c>
      <c r="Q106" s="528" t="str">
        <f t="shared" si="609"/>
        <v/>
      </c>
      <c r="R106" s="572" t="str">
        <f t="shared" ref="R106:R129" si="830">IF(M106="","",SQRT(N106^2+O106^2))</f>
        <v/>
      </c>
      <c r="S106" s="577" t="str">
        <f t="shared" ref="S106:S129" si="831">IF(M106="","",P106)</f>
        <v/>
      </c>
      <c r="T106" s="578" t="str">
        <f t="shared" ref="T106:T129" si="832">IF(M106="","",X106*COS(RADIANS(W106)))</f>
        <v/>
      </c>
      <c r="U106" s="572" t="str">
        <f t="shared" ref="U106:U129" si="833">IF(M106="","",X106*SIN(RADIANS(W106)))</f>
        <v/>
      </c>
      <c r="V106" s="579" t="str">
        <f t="shared" ref="V106:V129" si="834">IF(M106="","",Y106)</f>
        <v/>
      </c>
      <c r="W106" s="528" t="str">
        <f t="shared" si="735"/>
        <v/>
      </c>
      <c r="X106" s="572" t="str">
        <f t="shared" ref="X106:X129" si="835">IF(M106="","",R106)</f>
        <v/>
      </c>
      <c r="Y106" s="573" t="str">
        <f t="shared" si="734"/>
        <v/>
      </c>
      <c r="Z106" s="575" t="str">
        <f t="shared" si="751"/>
        <v/>
      </c>
      <c r="AA106" s="572" t="str">
        <f t="shared" si="752"/>
        <v/>
      </c>
      <c r="AB106" s="572" t="str">
        <f t="shared" si="753"/>
        <v/>
      </c>
      <c r="AC106" s="579" t="str">
        <f t="shared" ref="AC106:AC129" si="836">IF(M106="","",SQRT(Z106^2+AA106^2+AB106^2))</f>
        <v/>
      </c>
      <c r="AD106" s="580" t="str">
        <f t="shared" ref="AD106:AD129" si="837">IF(M106="","",Z106*(1/SQRT(Z106^2+AA106^2+AB106^2)))</f>
        <v/>
      </c>
      <c r="AE106" s="572" t="str">
        <f t="shared" ref="AE106:AE129" si="838">IF(M106="","",AA106*(1/SQRT(Z106^2+AA106^2+AB106^2)))</f>
        <v/>
      </c>
      <c r="AF106" s="576" t="str">
        <f t="shared" ref="AF106:AF129" si="839">IF(M106="","",AB106*(1/SQRT(Z106^2+AA106^2+AB106^2)))</f>
        <v/>
      </c>
      <c r="AG106" s="545" t="str">
        <f t="shared" ref="AG106:AG129" si="840">IF(M106="","",DEGREES(ATAN2(-AF106,AE106)))</f>
        <v/>
      </c>
      <c r="AH106" s="546" t="str">
        <f t="shared" ref="AH106:AH129" si="841">IF(M106="","",DEGREES(ACOS(AD106)))</f>
        <v/>
      </c>
      <c r="AI106" s="528" t="str">
        <f t="shared" ref="AI106:AI129" si="842">IF(M106="","",DEGREES(-ACOS(-AF106)))</f>
        <v/>
      </c>
      <c r="AJ106" s="529" t="str">
        <f t="shared" ref="AJ106:AJ129" si="843">IF(M106="","",DEGREES(ATAN2(-AE106,AD106)))</f>
        <v/>
      </c>
      <c r="AK106" s="578" t="str">
        <f t="shared" ref="AK106:AK129" si="844">IF(M106="","",(COS(RADIANS((90-$Q$8)-W106))*AD106)+(-SIN(RADIANS((90-$Q$8)-W106))*AE106))</f>
        <v/>
      </c>
      <c r="AL106" s="572" t="str">
        <f t="shared" ref="AL106:AL129" si="845">IF(M106="","",(SIN(RADIANS((90-$Q$8)-W106))*AD106)+(COS(RADIANS((90-$Q$8)-W106))*AE106))</f>
        <v/>
      </c>
      <c r="AM106" s="577" t="str">
        <f t="shared" ref="AM106:AM129" si="846">IF(M106="","",AF106)</f>
        <v/>
      </c>
      <c r="AN106" s="524" t="str">
        <f t="shared" ref="AN106:AN129" si="847">IF(M106="","",DEGREES(ATAN2(-AM106,AL106)))</f>
        <v/>
      </c>
      <c r="AO106" s="525" t="str">
        <f t="shared" si="514"/>
        <v/>
      </c>
      <c r="AP106" s="528" t="str">
        <f t="shared" ref="AP106:AP129" si="848">IF(M106="","",DEGREES(ATAN2(AK106,AL106)))</f>
        <v/>
      </c>
      <c r="AQ106" s="529" t="str">
        <f t="shared" si="754"/>
        <v/>
      </c>
      <c r="AS106" s="946" t="str">
        <f t="shared" si="632"/>
        <v/>
      </c>
      <c r="AT106" s="942" t="str">
        <f t="shared" si="755"/>
        <v/>
      </c>
      <c r="AU106" s="418"/>
      <c r="AV106" s="164" t="str">
        <f t="shared" si="75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5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58"/>
        <v/>
      </c>
      <c r="BF106" s="4" t="str">
        <f t="shared" si="759"/>
        <v/>
      </c>
      <c r="BG106" s="5" t="str">
        <f t="shared" si="760"/>
        <v/>
      </c>
      <c r="BH106" s="10" t="str">
        <f t="shared" si="761"/>
        <v/>
      </c>
      <c r="BI106" s="9" t="str">
        <f t="shared" si="634"/>
        <v/>
      </c>
      <c r="BJ106" s="5" t="str">
        <f t="shared" si="762"/>
        <v/>
      </c>
      <c r="BK106" s="8" t="str">
        <f t="shared" si="763"/>
        <v/>
      </c>
      <c r="BL106" s="173" t="str">
        <f t="shared" si="764"/>
        <v/>
      </c>
      <c r="BM106" s="5" t="str">
        <f t="shared" si="765"/>
        <v/>
      </c>
      <c r="BN106" s="6" t="str">
        <f t="shared" si="766"/>
        <v/>
      </c>
      <c r="BO106" s="4" t="str">
        <f t="shared" si="635"/>
        <v/>
      </c>
      <c r="BP106" s="5" t="str">
        <f t="shared" si="636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49">IF(ISNUMBER($AV106),0,"")</f>
        <v/>
      </c>
      <c r="BT106" s="5" t="str">
        <f t="shared" si="84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67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8"/>
        <v/>
      </c>
      <c r="ET106" s="5" t="str">
        <f t="shared" si="769"/>
        <v/>
      </c>
      <c r="EU106" s="10" t="str">
        <f t="shared" si="770"/>
        <v/>
      </c>
      <c r="EV106" s="174" t="str">
        <f t="shared" si="771"/>
        <v/>
      </c>
      <c r="EW106" s="9" t="str">
        <f t="shared" si="772"/>
        <v/>
      </c>
      <c r="EX106" s="5" t="str">
        <f t="shared" si="773"/>
        <v/>
      </c>
      <c r="EY106" s="6" t="str">
        <f t="shared" si="699"/>
        <v/>
      </c>
      <c r="EZ106" s="51" t="str">
        <f t="shared" si="700"/>
        <v/>
      </c>
      <c r="FA106" s="173" t="str">
        <f t="shared" si="774"/>
        <v/>
      </c>
      <c r="FB106" s="5" t="str">
        <f t="shared" si="775"/>
        <v/>
      </c>
      <c r="FC106" s="6" t="str">
        <f t="shared" si="776"/>
        <v/>
      </c>
      <c r="FD106" s="4" t="str">
        <f t="shared" si="777"/>
        <v/>
      </c>
      <c r="FE106" s="5" t="str">
        <f t="shared" si="778"/>
        <v/>
      </c>
      <c r="FF106" s="7" t="str">
        <f t="shared" si="701"/>
        <v/>
      </c>
      <c r="FG106" s="173" t="str">
        <f t="shared" si="779"/>
        <v/>
      </c>
      <c r="FH106" s="5" t="str">
        <f t="shared" si="780"/>
        <v/>
      </c>
      <c r="FI106" s="10" t="str">
        <f t="shared" si="781"/>
        <v/>
      </c>
      <c r="FJ106" s="279" t="str">
        <f t="shared" si="702"/>
        <v/>
      </c>
      <c r="FK106" s="4" t="str">
        <f t="shared" si="78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83"/>
        <v/>
      </c>
      <c r="FP106" s="277" t="str">
        <f t="shared" si="629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4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5"/>
        <v/>
      </c>
      <c r="GH106" s="286" t="str">
        <f t="shared" si="786"/>
        <v/>
      </c>
      <c r="GI106" s="281" t="str">
        <f t="shared" si="787"/>
        <v/>
      </c>
      <c r="GJ106" s="167" t="str">
        <f t="shared" si="718"/>
        <v/>
      </c>
      <c r="GK106" s="174" t="str">
        <f t="shared" si="788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89"/>
        <v/>
      </c>
      <c r="GT106" s="343" t="str">
        <f t="shared" si="790"/>
        <v/>
      </c>
      <c r="GU106" s="344" t="str">
        <f t="shared" si="791"/>
        <v/>
      </c>
      <c r="GV106" s="343" t="str">
        <f t="shared" si="726"/>
        <v/>
      </c>
      <c r="GW106" s="345" t="str">
        <f t="shared" si="792"/>
        <v/>
      </c>
      <c r="GX106" s="346" t="str">
        <f t="shared" si="793"/>
        <v/>
      </c>
      <c r="GY106" s="344" t="str">
        <f t="shared" si="794"/>
        <v/>
      </c>
      <c r="GZ106" s="345" t="str">
        <f t="shared" si="795"/>
        <v/>
      </c>
      <c r="HA106" s="342" t="str">
        <f t="shared" si="796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7"/>
        <v/>
      </c>
      <c r="HF106" s="5" t="str">
        <f t="shared" si="798"/>
        <v/>
      </c>
      <c r="HG106" s="343" t="str">
        <f t="shared" si="730"/>
        <v/>
      </c>
      <c r="HH106" s="349" t="str">
        <f t="shared" si="731"/>
        <v/>
      </c>
      <c r="HI106" s="317" t="str">
        <f t="shared" si="799"/>
        <v/>
      </c>
      <c r="HK106" s="310" t="str">
        <f t="shared" ref="HK106:HK137" si="850">IF(ISNUMBER(HS106),HK105+1,"")</f>
        <v/>
      </c>
      <c r="HL106" s="348" t="str">
        <f t="shared" si="800"/>
        <v/>
      </c>
      <c r="HM106" s="923" t="str">
        <f t="shared" si="801"/>
        <v/>
      </c>
      <c r="HN106" s="924" t="str">
        <f t="shared" si="802"/>
        <v/>
      </c>
      <c r="HO106" s="925"/>
      <c r="HP106" s="926"/>
      <c r="HQ106" s="924" t="str">
        <f t="shared" si="803"/>
        <v/>
      </c>
      <c r="HR106" s="927" t="str">
        <f t="shared" si="804"/>
        <v/>
      </c>
      <c r="HS106" s="879" t="str">
        <f t="shared" ref="HS106:HS129" si="851">IFERROR(SMALL($GJ$9:$GJ$150,($HK105+1)),"")</f>
        <v/>
      </c>
      <c r="HT106" s="889" t="str">
        <f t="shared" si="805"/>
        <v/>
      </c>
      <c r="HU106" s="890" t="str">
        <f t="shared" si="806"/>
        <v/>
      </c>
      <c r="HV106" s="886" t="str">
        <f t="shared" si="807"/>
        <v/>
      </c>
      <c r="HW106" s="880" t="str">
        <f t="shared" si="808"/>
        <v/>
      </c>
      <c r="HX106" s="881" t="str">
        <f t="shared" si="809"/>
        <v/>
      </c>
      <c r="HY106" s="880" t="str">
        <f t="shared" si="810"/>
        <v/>
      </c>
      <c r="HZ106" s="882" t="str">
        <f t="shared" si="811"/>
        <v/>
      </c>
      <c r="IA106" s="883" t="str">
        <f t="shared" si="812"/>
        <v/>
      </c>
      <c r="IB106" s="884" t="str">
        <f t="shared" si="813"/>
        <v/>
      </c>
      <c r="IC106" s="855" t="str">
        <f t="shared" si="814"/>
        <v/>
      </c>
      <c r="ID106" s="351" t="str">
        <f t="shared" si="815"/>
        <v/>
      </c>
      <c r="IE106" s="857" t="str">
        <f t="shared" si="816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2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17"/>
        <v/>
      </c>
      <c r="IM106" s="482" t="str">
        <f t="shared" si="733"/>
        <v/>
      </c>
      <c r="IN106" s="670" t="str">
        <f t="shared" si="818"/>
        <v/>
      </c>
      <c r="IO106" s="702"/>
      <c r="IP106" s="5" t="str">
        <f t="shared" si="819"/>
        <v/>
      </c>
      <c r="IQ106" s="714"/>
      <c r="IR106" s="9" t="str">
        <f t="shared" si="820"/>
        <v/>
      </c>
      <c r="IS106" s="5" t="str">
        <f t="shared" si="821"/>
        <v/>
      </c>
      <c r="IT106" s="5" t="str">
        <f t="shared" si="822"/>
        <v/>
      </c>
      <c r="IU106" s="5" t="str">
        <f t="shared" si="823"/>
        <v/>
      </c>
      <c r="IV106" s="670" t="str">
        <f t="shared" si="824"/>
        <v/>
      </c>
      <c r="IW106" s="9" t="str">
        <f t="shared" si="825"/>
        <v/>
      </c>
      <c r="IX106" s="5" t="str">
        <f t="shared" si="826"/>
        <v/>
      </c>
      <c r="IY106" s="5" t="str">
        <f t="shared" si="827"/>
        <v/>
      </c>
      <c r="IZ106" s="5" t="str">
        <f t="shared" si="828"/>
        <v/>
      </c>
      <c r="JA106" s="705" t="str">
        <f t="shared" si="829"/>
        <v/>
      </c>
    </row>
    <row r="107" spans="1:261" ht="15" customHeight="1" x14ac:dyDescent="0.25">
      <c r="A107" s="75" t="str">
        <f t="shared" si="736"/>
        <v/>
      </c>
      <c r="B107" s="578" t="str">
        <f t="shared" si="737"/>
        <v/>
      </c>
      <c r="C107" s="572" t="str">
        <f t="shared" si="738"/>
        <v/>
      </c>
      <c r="D107" s="576" t="str">
        <f t="shared" si="739"/>
        <v/>
      </c>
      <c r="E107" s="580" t="str">
        <f t="shared" si="740"/>
        <v/>
      </c>
      <c r="F107" s="572" t="str">
        <f t="shared" si="741"/>
        <v/>
      </c>
      <c r="G107" s="579" t="str">
        <f t="shared" si="742"/>
        <v/>
      </c>
      <c r="H107" s="580" t="str">
        <f t="shared" si="743"/>
        <v/>
      </c>
      <c r="I107" s="572" t="str">
        <f t="shared" si="744"/>
        <v/>
      </c>
      <c r="J107" s="483" t="str">
        <f t="shared" si="745"/>
        <v/>
      </c>
      <c r="K107" s="806" t="str">
        <f t="shared" si="746"/>
        <v/>
      </c>
      <c r="L107" s="309"/>
      <c r="M107" s="164" t="str">
        <f t="shared" si="747"/>
        <v/>
      </c>
      <c r="N107" s="575" t="str">
        <f t="shared" si="748"/>
        <v/>
      </c>
      <c r="O107" s="572" t="str">
        <f t="shared" si="749"/>
        <v/>
      </c>
      <c r="P107" s="576" t="str">
        <f t="shared" si="750"/>
        <v/>
      </c>
      <c r="Q107" s="528" t="str">
        <f t="shared" si="609"/>
        <v/>
      </c>
      <c r="R107" s="572" t="str">
        <f t="shared" si="830"/>
        <v/>
      </c>
      <c r="S107" s="577" t="str">
        <f t="shared" si="831"/>
        <v/>
      </c>
      <c r="T107" s="578" t="str">
        <f t="shared" si="832"/>
        <v/>
      </c>
      <c r="U107" s="572" t="str">
        <f t="shared" si="833"/>
        <v/>
      </c>
      <c r="V107" s="579" t="str">
        <f t="shared" si="834"/>
        <v/>
      </c>
      <c r="W107" s="528" t="str">
        <f t="shared" si="735"/>
        <v/>
      </c>
      <c r="X107" s="572" t="str">
        <f t="shared" si="835"/>
        <v/>
      </c>
      <c r="Y107" s="573" t="str">
        <f t="shared" si="734"/>
        <v/>
      </c>
      <c r="Z107" s="575" t="str">
        <f t="shared" si="751"/>
        <v/>
      </c>
      <c r="AA107" s="572" t="str">
        <f t="shared" si="752"/>
        <v/>
      </c>
      <c r="AB107" s="572" t="str">
        <f t="shared" si="753"/>
        <v/>
      </c>
      <c r="AC107" s="579" t="str">
        <f t="shared" si="836"/>
        <v/>
      </c>
      <c r="AD107" s="580" t="str">
        <f t="shared" si="837"/>
        <v/>
      </c>
      <c r="AE107" s="572" t="str">
        <f t="shared" si="838"/>
        <v/>
      </c>
      <c r="AF107" s="576" t="str">
        <f t="shared" si="839"/>
        <v/>
      </c>
      <c r="AG107" s="545" t="str">
        <f t="shared" si="840"/>
        <v/>
      </c>
      <c r="AH107" s="546" t="str">
        <f t="shared" si="841"/>
        <v/>
      </c>
      <c r="AI107" s="528" t="str">
        <f t="shared" si="842"/>
        <v/>
      </c>
      <c r="AJ107" s="529" t="str">
        <f t="shared" si="843"/>
        <v/>
      </c>
      <c r="AK107" s="578" t="str">
        <f t="shared" si="844"/>
        <v/>
      </c>
      <c r="AL107" s="572" t="str">
        <f t="shared" si="845"/>
        <v/>
      </c>
      <c r="AM107" s="577" t="str">
        <f t="shared" si="846"/>
        <v/>
      </c>
      <c r="AN107" s="524" t="str">
        <f t="shared" si="847"/>
        <v/>
      </c>
      <c r="AO107" s="525" t="str">
        <f t="shared" si="514"/>
        <v/>
      </c>
      <c r="AP107" s="528" t="str">
        <f t="shared" si="848"/>
        <v/>
      </c>
      <c r="AQ107" s="529" t="str">
        <f t="shared" si="754"/>
        <v/>
      </c>
      <c r="AS107" s="946" t="str">
        <f t="shared" ref="AS107:AS138" si="852">IF(G107="","",IF(AND(W107&lt;(AS106+180),W107&gt;(AS106-180)),W107,IF(W107&gt;(AS106+180),W107-360,IF(W107&lt;(AS106-180),W107+360,"Error"))))</f>
        <v/>
      </c>
      <c r="AT107" s="942" t="str">
        <f t="shared" si="755"/>
        <v/>
      </c>
      <c r="AU107" s="418"/>
      <c r="AV107" s="164" t="str">
        <f t="shared" si="75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5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58"/>
        <v/>
      </c>
      <c r="BF107" s="4" t="str">
        <f t="shared" si="759"/>
        <v/>
      </c>
      <c r="BG107" s="5" t="str">
        <f t="shared" si="760"/>
        <v/>
      </c>
      <c r="BH107" s="10" t="str">
        <f t="shared" si="761"/>
        <v/>
      </c>
      <c r="BI107" s="9" t="str">
        <f t="shared" si="634"/>
        <v/>
      </c>
      <c r="BJ107" s="5" t="str">
        <f t="shared" si="762"/>
        <v/>
      </c>
      <c r="BK107" s="8" t="str">
        <f t="shared" si="763"/>
        <v/>
      </c>
      <c r="BL107" s="173" t="str">
        <f t="shared" si="764"/>
        <v/>
      </c>
      <c r="BM107" s="5" t="str">
        <f t="shared" si="765"/>
        <v/>
      </c>
      <c r="BN107" s="6" t="str">
        <f t="shared" si="766"/>
        <v/>
      </c>
      <c r="BO107" s="4" t="str">
        <f t="shared" si="635"/>
        <v/>
      </c>
      <c r="BP107" s="5" t="str">
        <f t="shared" si="636"/>
        <v/>
      </c>
      <c r="BQ107" s="5" t="str">
        <f t="shared" si="637"/>
        <v/>
      </c>
      <c r="BR107" s="6" t="str">
        <f t="shared" si="638"/>
        <v/>
      </c>
      <c r="BS107" s="4" t="str">
        <f t="shared" si="849"/>
        <v/>
      </c>
      <c r="BT107" s="5" t="str">
        <f t="shared" si="84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67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3">IF(ISNUMBER($AV107),0,"")</f>
        <v/>
      </c>
      <c r="DC107" s="5" t="str">
        <f t="shared" si="853"/>
        <v/>
      </c>
      <c r="DD107" s="10" t="str">
        <f t="shared" si="659"/>
        <v/>
      </c>
      <c r="DE107" s="9" t="str">
        <f t="shared" ref="DE107:DF150" si="854">IF(ISNUMBER($AV107),0,"")</f>
        <v/>
      </c>
      <c r="DF107" s="5" t="str">
        <f t="shared" si="854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8"/>
        <v/>
      </c>
      <c r="ET107" s="5" t="str">
        <f t="shared" si="769"/>
        <v/>
      </c>
      <c r="EU107" s="10" t="str">
        <f t="shared" si="770"/>
        <v/>
      </c>
      <c r="EV107" s="174" t="str">
        <f t="shared" si="771"/>
        <v/>
      </c>
      <c r="EW107" s="9" t="str">
        <f t="shared" si="772"/>
        <v/>
      </c>
      <c r="EX107" s="5" t="str">
        <f t="shared" si="773"/>
        <v/>
      </c>
      <c r="EY107" s="6" t="str">
        <f t="shared" si="699"/>
        <v/>
      </c>
      <c r="EZ107" s="51" t="str">
        <f t="shared" si="700"/>
        <v/>
      </c>
      <c r="FA107" s="173" t="str">
        <f t="shared" si="774"/>
        <v/>
      </c>
      <c r="FB107" s="5" t="str">
        <f t="shared" si="775"/>
        <v/>
      </c>
      <c r="FC107" s="6" t="str">
        <f t="shared" si="776"/>
        <v/>
      </c>
      <c r="FD107" s="4" t="str">
        <f t="shared" si="777"/>
        <v/>
      </c>
      <c r="FE107" s="5" t="str">
        <f t="shared" si="778"/>
        <v/>
      </c>
      <c r="FF107" s="7" t="str">
        <f t="shared" si="701"/>
        <v/>
      </c>
      <c r="FG107" s="173" t="str">
        <f t="shared" si="779"/>
        <v/>
      </c>
      <c r="FH107" s="5" t="str">
        <f t="shared" si="780"/>
        <v/>
      </c>
      <c r="FI107" s="10" t="str">
        <f t="shared" si="781"/>
        <v/>
      </c>
      <c r="FJ107" s="279" t="str">
        <f t="shared" si="702"/>
        <v/>
      </c>
      <c r="FK107" s="4" t="str">
        <f t="shared" si="78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83"/>
        <v/>
      </c>
      <c r="FP107" s="277" t="str">
        <f t="shared" si="629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4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5"/>
        <v/>
      </c>
      <c r="GH107" s="286" t="str">
        <f t="shared" si="786"/>
        <v/>
      </c>
      <c r="GI107" s="281" t="str">
        <f t="shared" si="787"/>
        <v/>
      </c>
      <c r="GJ107" s="167" t="str">
        <f t="shared" si="718"/>
        <v/>
      </c>
      <c r="GK107" s="174" t="str">
        <f t="shared" si="788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89"/>
        <v/>
      </c>
      <c r="GT107" s="343" t="str">
        <f t="shared" si="790"/>
        <v/>
      </c>
      <c r="GU107" s="344" t="str">
        <f t="shared" si="791"/>
        <v/>
      </c>
      <c r="GV107" s="343" t="str">
        <f t="shared" si="726"/>
        <v/>
      </c>
      <c r="GW107" s="345" t="str">
        <f t="shared" si="792"/>
        <v/>
      </c>
      <c r="GX107" s="346" t="str">
        <f t="shared" si="793"/>
        <v/>
      </c>
      <c r="GY107" s="344" t="str">
        <f t="shared" si="794"/>
        <v/>
      </c>
      <c r="GZ107" s="345" t="str">
        <f t="shared" si="795"/>
        <v/>
      </c>
      <c r="HA107" s="342" t="str">
        <f t="shared" si="796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7"/>
        <v/>
      </c>
      <c r="HF107" s="5" t="str">
        <f t="shared" si="798"/>
        <v/>
      </c>
      <c r="HG107" s="343" t="str">
        <f t="shared" si="730"/>
        <v/>
      </c>
      <c r="HH107" s="349" t="str">
        <f t="shared" si="731"/>
        <v/>
      </c>
      <c r="HI107" s="317" t="str">
        <f t="shared" si="799"/>
        <v/>
      </c>
      <c r="HK107" s="310" t="str">
        <f t="shared" si="850"/>
        <v/>
      </c>
      <c r="HL107" s="348" t="str">
        <f t="shared" si="800"/>
        <v/>
      </c>
      <c r="HM107" s="923" t="str">
        <f t="shared" si="801"/>
        <v/>
      </c>
      <c r="HN107" s="924" t="str">
        <f t="shared" si="802"/>
        <v/>
      </c>
      <c r="HO107" s="925"/>
      <c r="HP107" s="926"/>
      <c r="HQ107" s="924" t="str">
        <f t="shared" si="803"/>
        <v/>
      </c>
      <c r="HR107" s="927" t="str">
        <f t="shared" si="804"/>
        <v/>
      </c>
      <c r="HS107" s="879" t="str">
        <f t="shared" si="851"/>
        <v/>
      </c>
      <c r="HT107" s="889" t="str">
        <f t="shared" si="805"/>
        <v/>
      </c>
      <c r="HU107" s="890" t="str">
        <f t="shared" si="806"/>
        <v/>
      </c>
      <c r="HV107" s="886" t="str">
        <f t="shared" si="807"/>
        <v/>
      </c>
      <c r="HW107" s="880" t="str">
        <f t="shared" si="808"/>
        <v/>
      </c>
      <c r="HX107" s="881" t="str">
        <f t="shared" si="809"/>
        <v/>
      </c>
      <c r="HY107" s="880" t="str">
        <f t="shared" si="810"/>
        <v/>
      </c>
      <c r="HZ107" s="882" t="str">
        <f t="shared" si="811"/>
        <v/>
      </c>
      <c r="IA107" s="883" t="str">
        <f t="shared" si="812"/>
        <v/>
      </c>
      <c r="IB107" s="884" t="str">
        <f t="shared" si="813"/>
        <v/>
      </c>
      <c r="IC107" s="855" t="str">
        <f t="shared" si="814"/>
        <v/>
      </c>
      <c r="ID107" s="351" t="str">
        <f t="shared" si="815"/>
        <v/>
      </c>
      <c r="IE107" s="857" t="str">
        <f t="shared" si="816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2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17"/>
        <v/>
      </c>
      <c r="IM107" s="482" t="str">
        <f t="shared" si="733"/>
        <v/>
      </c>
      <c r="IN107" s="670" t="str">
        <f t="shared" si="818"/>
        <v/>
      </c>
      <c r="IO107" s="702"/>
      <c r="IP107" s="5" t="str">
        <f t="shared" si="819"/>
        <v/>
      </c>
      <c r="IQ107" s="714"/>
      <c r="IR107" s="9" t="str">
        <f t="shared" si="820"/>
        <v/>
      </c>
      <c r="IS107" s="5" t="str">
        <f t="shared" si="821"/>
        <v/>
      </c>
      <c r="IT107" s="5" t="str">
        <f t="shared" si="822"/>
        <v/>
      </c>
      <c r="IU107" s="5" t="str">
        <f t="shared" si="823"/>
        <v/>
      </c>
      <c r="IV107" s="670" t="str">
        <f t="shared" si="824"/>
        <v/>
      </c>
      <c r="IW107" s="9" t="str">
        <f t="shared" si="825"/>
        <v/>
      </c>
      <c r="IX107" s="5" t="str">
        <f t="shared" si="826"/>
        <v/>
      </c>
      <c r="IY107" s="5" t="str">
        <f t="shared" si="827"/>
        <v/>
      </c>
      <c r="IZ107" s="5" t="str">
        <f t="shared" si="828"/>
        <v/>
      </c>
      <c r="JA107" s="705" t="str">
        <f t="shared" si="829"/>
        <v/>
      </c>
    </row>
    <row r="108" spans="1:261" ht="15" customHeight="1" x14ac:dyDescent="0.25">
      <c r="A108" s="75" t="str">
        <f t="shared" si="736"/>
        <v/>
      </c>
      <c r="B108" s="578" t="str">
        <f t="shared" si="737"/>
        <v/>
      </c>
      <c r="C108" s="572" t="str">
        <f t="shared" si="738"/>
        <v/>
      </c>
      <c r="D108" s="576" t="str">
        <f t="shared" si="739"/>
        <v/>
      </c>
      <c r="E108" s="580" t="str">
        <f t="shared" si="740"/>
        <v/>
      </c>
      <c r="F108" s="572" t="str">
        <f t="shared" si="741"/>
        <v/>
      </c>
      <c r="G108" s="579" t="str">
        <f t="shared" si="742"/>
        <v/>
      </c>
      <c r="H108" s="580" t="str">
        <f t="shared" si="743"/>
        <v/>
      </c>
      <c r="I108" s="572" t="str">
        <f t="shared" si="744"/>
        <v/>
      </c>
      <c r="J108" s="483" t="str">
        <f t="shared" si="745"/>
        <v/>
      </c>
      <c r="K108" s="806" t="str">
        <f t="shared" si="746"/>
        <v/>
      </c>
      <c r="L108" s="309"/>
      <c r="M108" s="164" t="str">
        <f t="shared" si="747"/>
        <v/>
      </c>
      <c r="N108" s="575" t="str">
        <f t="shared" si="748"/>
        <v/>
      </c>
      <c r="O108" s="572" t="str">
        <f t="shared" si="749"/>
        <v/>
      </c>
      <c r="P108" s="576" t="str">
        <f t="shared" si="750"/>
        <v/>
      </c>
      <c r="Q108" s="528" t="str">
        <f t="shared" si="609"/>
        <v/>
      </c>
      <c r="R108" s="572" t="str">
        <f t="shared" si="830"/>
        <v/>
      </c>
      <c r="S108" s="577" t="str">
        <f t="shared" si="831"/>
        <v/>
      </c>
      <c r="T108" s="578" t="str">
        <f t="shared" si="832"/>
        <v/>
      </c>
      <c r="U108" s="572" t="str">
        <f t="shared" si="833"/>
        <v/>
      </c>
      <c r="V108" s="579" t="str">
        <f t="shared" si="834"/>
        <v/>
      </c>
      <c r="W108" s="528" t="str">
        <f t="shared" si="735"/>
        <v/>
      </c>
      <c r="X108" s="572" t="str">
        <f t="shared" si="835"/>
        <v/>
      </c>
      <c r="Y108" s="573" t="str">
        <f t="shared" si="734"/>
        <v/>
      </c>
      <c r="Z108" s="575" t="str">
        <f t="shared" si="751"/>
        <v/>
      </c>
      <c r="AA108" s="572" t="str">
        <f t="shared" si="752"/>
        <v/>
      </c>
      <c r="AB108" s="572" t="str">
        <f t="shared" si="753"/>
        <v/>
      </c>
      <c r="AC108" s="579" t="str">
        <f t="shared" si="836"/>
        <v/>
      </c>
      <c r="AD108" s="580" t="str">
        <f t="shared" si="837"/>
        <v/>
      </c>
      <c r="AE108" s="572" t="str">
        <f t="shared" si="838"/>
        <v/>
      </c>
      <c r="AF108" s="576" t="str">
        <f t="shared" si="839"/>
        <v/>
      </c>
      <c r="AG108" s="545" t="str">
        <f t="shared" si="840"/>
        <v/>
      </c>
      <c r="AH108" s="546" t="str">
        <f t="shared" si="841"/>
        <v/>
      </c>
      <c r="AI108" s="528" t="str">
        <f t="shared" si="842"/>
        <v/>
      </c>
      <c r="AJ108" s="529" t="str">
        <f t="shared" si="843"/>
        <v/>
      </c>
      <c r="AK108" s="578" t="str">
        <f t="shared" si="844"/>
        <v/>
      </c>
      <c r="AL108" s="572" t="str">
        <f t="shared" si="845"/>
        <v/>
      </c>
      <c r="AM108" s="577" t="str">
        <f t="shared" si="846"/>
        <v/>
      </c>
      <c r="AN108" s="524" t="str">
        <f t="shared" si="847"/>
        <v/>
      </c>
      <c r="AO108" s="525" t="str">
        <f t="shared" si="514"/>
        <v/>
      </c>
      <c r="AP108" s="528" t="str">
        <f t="shared" si="848"/>
        <v/>
      </c>
      <c r="AQ108" s="529" t="str">
        <f t="shared" si="754"/>
        <v/>
      </c>
      <c r="AS108" s="946" t="str">
        <f t="shared" si="852"/>
        <v/>
      </c>
      <c r="AT108" s="942" t="str">
        <f t="shared" si="755"/>
        <v/>
      </c>
      <c r="AU108" s="418"/>
      <c r="AV108" s="164" t="str">
        <f t="shared" si="75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5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58"/>
        <v/>
      </c>
      <c r="BF108" s="4" t="str">
        <f t="shared" si="759"/>
        <v/>
      </c>
      <c r="BG108" s="5" t="str">
        <f t="shared" si="760"/>
        <v/>
      </c>
      <c r="BH108" s="10" t="str">
        <f t="shared" si="761"/>
        <v/>
      </c>
      <c r="BI108" s="9" t="str">
        <f t="shared" si="634"/>
        <v/>
      </c>
      <c r="BJ108" s="5" t="str">
        <f t="shared" si="762"/>
        <v/>
      </c>
      <c r="BK108" s="8" t="str">
        <f t="shared" si="763"/>
        <v/>
      </c>
      <c r="BL108" s="173" t="str">
        <f t="shared" si="764"/>
        <v/>
      </c>
      <c r="BM108" s="5" t="str">
        <f t="shared" si="765"/>
        <v/>
      </c>
      <c r="BN108" s="6" t="str">
        <f t="shared" si="766"/>
        <v/>
      </c>
      <c r="BO108" s="4" t="str">
        <f t="shared" si="635"/>
        <v/>
      </c>
      <c r="BP108" s="5" t="str">
        <f t="shared" si="636"/>
        <v/>
      </c>
      <c r="BQ108" s="5" t="str">
        <f t="shared" si="637"/>
        <v/>
      </c>
      <c r="BR108" s="6" t="str">
        <f t="shared" si="638"/>
        <v/>
      </c>
      <c r="BS108" s="4" t="str">
        <f t="shared" si="849"/>
        <v/>
      </c>
      <c r="BT108" s="5" t="str">
        <f t="shared" si="84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67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3"/>
        <v/>
      </c>
      <c r="DC108" s="5" t="str">
        <f t="shared" si="853"/>
        <v/>
      </c>
      <c r="DD108" s="10" t="str">
        <f t="shared" si="659"/>
        <v/>
      </c>
      <c r="DE108" s="9" t="str">
        <f t="shared" si="854"/>
        <v/>
      </c>
      <c r="DF108" s="5" t="str">
        <f t="shared" si="854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8"/>
        <v/>
      </c>
      <c r="ET108" s="5" t="str">
        <f t="shared" si="769"/>
        <v/>
      </c>
      <c r="EU108" s="10" t="str">
        <f t="shared" si="770"/>
        <v/>
      </c>
      <c r="EV108" s="174" t="str">
        <f t="shared" si="771"/>
        <v/>
      </c>
      <c r="EW108" s="9" t="str">
        <f t="shared" si="772"/>
        <v/>
      </c>
      <c r="EX108" s="5" t="str">
        <f t="shared" si="773"/>
        <v/>
      </c>
      <c r="EY108" s="6" t="str">
        <f t="shared" si="699"/>
        <v/>
      </c>
      <c r="EZ108" s="51" t="str">
        <f t="shared" si="700"/>
        <v/>
      </c>
      <c r="FA108" s="173" t="str">
        <f t="shared" si="774"/>
        <v/>
      </c>
      <c r="FB108" s="5" t="str">
        <f t="shared" si="775"/>
        <v/>
      </c>
      <c r="FC108" s="6" t="str">
        <f t="shared" si="776"/>
        <v/>
      </c>
      <c r="FD108" s="4" t="str">
        <f t="shared" si="777"/>
        <v/>
      </c>
      <c r="FE108" s="5" t="str">
        <f t="shared" si="778"/>
        <v/>
      </c>
      <c r="FF108" s="7" t="str">
        <f t="shared" si="701"/>
        <v/>
      </c>
      <c r="FG108" s="173" t="str">
        <f t="shared" si="779"/>
        <v/>
      </c>
      <c r="FH108" s="5" t="str">
        <f t="shared" si="780"/>
        <v/>
      </c>
      <c r="FI108" s="10" t="str">
        <f t="shared" si="781"/>
        <v/>
      </c>
      <c r="FJ108" s="279" t="str">
        <f t="shared" si="702"/>
        <v/>
      </c>
      <c r="FK108" s="4" t="str">
        <f t="shared" si="78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83"/>
        <v/>
      </c>
      <c r="FP108" s="277" t="str">
        <f t="shared" si="629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4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5"/>
        <v/>
      </c>
      <c r="GH108" s="286" t="str">
        <f t="shared" si="786"/>
        <v/>
      </c>
      <c r="GI108" s="281" t="str">
        <f t="shared" si="787"/>
        <v/>
      </c>
      <c r="GJ108" s="167" t="str">
        <f t="shared" si="718"/>
        <v/>
      </c>
      <c r="GK108" s="174" t="str">
        <f t="shared" si="788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89"/>
        <v/>
      </c>
      <c r="GT108" s="343" t="str">
        <f t="shared" si="790"/>
        <v/>
      </c>
      <c r="GU108" s="344" t="str">
        <f t="shared" si="791"/>
        <v/>
      </c>
      <c r="GV108" s="343" t="str">
        <f t="shared" si="726"/>
        <v/>
      </c>
      <c r="GW108" s="345" t="str">
        <f t="shared" si="792"/>
        <v/>
      </c>
      <c r="GX108" s="346" t="str">
        <f t="shared" si="793"/>
        <v/>
      </c>
      <c r="GY108" s="344" t="str">
        <f t="shared" si="794"/>
        <v/>
      </c>
      <c r="GZ108" s="345" t="str">
        <f t="shared" si="795"/>
        <v/>
      </c>
      <c r="HA108" s="342" t="str">
        <f t="shared" si="796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7"/>
        <v/>
      </c>
      <c r="HF108" s="5" t="str">
        <f t="shared" si="798"/>
        <v/>
      </c>
      <c r="HG108" s="343" t="str">
        <f t="shared" si="730"/>
        <v/>
      </c>
      <c r="HH108" s="349" t="str">
        <f t="shared" si="731"/>
        <v/>
      </c>
      <c r="HI108" s="317" t="str">
        <f t="shared" si="799"/>
        <v/>
      </c>
      <c r="HK108" s="310" t="str">
        <f t="shared" si="850"/>
        <v/>
      </c>
      <c r="HL108" s="348" t="str">
        <f t="shared" si="800"/>
        <v/>
      </c>
      <c r="HM108" s="923" t="str">
        <f t="shared" si="801"/>
        <v/>
      </c>
      <c r="HN108" s="924" t="str">
        <f t="shared" si="802"/>
        <v/>
      </c>
      <c r="HO108" s="925"/>
      <c r="HP108" s="926"/>
      <c r="HQ108" s="924" t="str">
        <f t="shared" si="803"/>
        <v/>
      </c>
      <c r="HR108" s="927" t="str">
        <f t="shared" si="804"/>
        <v/>
      </c>
      <c r="HS108" s="879" t="str">
        <f t="shared" si="851"/>
        <v/>
      </c>
      <c r="HT108" s="889" t="str">
        <f t="shared" si="805"/>
        <v/>
      </c>
      <c r="HU108" s="890" t="str">
        <f t="shared" si="806"/>
        <v/>
      </c>
      <c r="HV108" s="886" t="str">
        <f t="shared" si="807"/>
        <v/>
      </c>
      <c r="HW108" s="880" t="str">
        <f t="shared" si="808"/>
        <v/>
      </c>
      <c r="HX108" s="881" t="str">
        <f t="shared" si="809"/>
        <v/>
      </c>
      <c r="HY108" s="880" t="str">
        <f t="shared" si="810"/>
        <v/>
      </c>
      <c r="HZ108" s="882" t="str">
        <f t="shared" si="811"/>
        <v/>
      </c>
      <c r="IA108" s="883" t="str">
        <f t="shared" si="812"/>
        <v/>
      </c>
      <c r="IB108" s="884" t="str">
        <f t="shared" si="813"/>
        <v/>
      </c>
      <c r="IC108" s="855" t="str">
        <f t="shared" si="814"/>
        <v/>
      </c>
      <c r="ID108" s="351" t="str">
        <f t="shared" si="815"/>
        <v/>
      </c>
      <c r="IE108" s="857" t="str">
        <f t="shared" si="816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2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17"/>
        <v/>
      </c>
      <c r="IM108" s="482" t="str">
        <f t="shared" si="733"/>
        <v/>
      </c>
      <c r="IN108" s="670" t="str">
        <f t="shared" si="818"/>
        <v/>
      </c>
      <c r="IO108" s="702"/>
      <c r="IP108" s="5" t="str">
        <f t="shared" si="819"/>
        <v/>
      </c>
      <c r="IQ108" s="714"/>
      <c r="IR108" s="9" t="str">
        <f t="shared" si="820"/>
        <v/>
      </c>
      <c r="IS108" s="5" t="str">
        <f t="shared" si="821"/>
        <v/>
      </c>
      <c r="IT108" s="5" t="str">
        <f t="shared" si="822"/>
        <v/>
      </c>
      <c r="IU108" s="5" t="str">
        <f t="shared" si="823"/>
        <v/>
      </c>
      <c r="IV108" s="670" t="str">
        <f t="shared" si="824"/>
        <v/>
      </c>
      <c r="IW108" s="9" t="str">
        <f t="shared" si="825"/>
        <v/>
      </c>
      <c r="IX108" s="5" t="str">
        <f t="shared" si="826"/>
        <v/>
      </c>
      <c r="IY108" s="5" t="str">
        <f t="shared" si="827"/>
        <v/>
      </c>
      <c r="IZ108" s="5" t="str">
        <f t="shared" si="828"/>
        <v/>
      </c>
      <c r="JA108" s="705" t="str">
        <f t="shared" si="829"/>
        <v/>
      </c>
    </row>
    <row r="109" spans="1:261" ht="15" customHeight="1" x14ac:dyDescent="0.25">
      <c r="A109" s="75" t="str">
        <f t="shared" si="736"/>
        <v/>
      </c>
      <c r="B109" s="578" t="str">
        <f t="shared" si="737"/>
        <v/>
      </c>
      <c r="C109" s="572" t="str">
        <f t="shared" si="738"/>
        <v/>
      </c>
      <c r="D109" s="576" t="str">
        <f t="shared" si="739"/>
        <v/>
      </c>
      <c r="E109" s="580" t="str">
        <f t="shared" si="740"/>
        <v/>
      </c>
      <c r="F109" s="572" t="str">
        <f t="shared" si="741"/>
        <v/>
      </c>
      <c r="G109" s="579" t="str">
        <f t="shared" si="742"/>
        <v/>
      </c>
      <c r="H109" s="580" t="str">
        <f t="shared" si="743"/>
        <v/>
      </c>
      <c r="I109" s="572" t="str">
        <f t="shared" si="744"/>
        <v/>
      </c>
      <c r="J109" s="483" t="str">
        <f t="shared" si="745"/>
        <v/>
      </c>
      <c r="K109" s="806" t="str">
        <f t="shared" si="746"/>
        <v/>
      </c>
      <c r="L109" s="309"/>
      <c r="M109" s="164" t="str">
        <f t="shared" si="747"/>
        <v/>
      </c>
      <c r="N109" s="575" t="str">
        <f t="shared" si="748"/>
        <v/>
      </c>
      <c r="O109" s="572" t="str">
        <f t="shared" si="749"/>
        <v/>
      </c>
      <c r="P109" s="576" t="str">
        <f t="shared" si="750"/>
        <v/>
      </c>
      <c r="Q109" s="528" t="str">
        <f t="shared" si="609"/>
        <v/>
      </c>
      <c r="R109" s="572" t="str">
        <f t="shared" si="830"/>
        <v/>
      </c>
      <c r="S109" s="577" t="str">
        <f t="shared" si="831"/>
        <v/>
      </c>
      <c r="T109" s="578" t="str">
        <f t="shared" si="832"/>
        <v/>
      </c>
      <c r="U109" s="572" t="str">
        <f t="shared" si="833"/>
        <v/>
      </c>
      <c r="V109" s="579" t="str">
        <f t="shared" si="834"/>
        <v/>
      </c>
      <c r="W109" s="528" t="str">
        <f t="shared" si="735"/>
        <v/>
      </c>
      <c r="X109" s="572" t="str">
        <f t="shared" si="835"/>
        <v/>
      </c>
      <c r="Y109" s="573" t="str">
        <f t="shared" si="734"/>
        <v/>
      </c>
      <c r="Z109" s="575" t="str">
        <f t="shared" si="751"/>
        <v/>
      </c>
      <c r="AA109" s="572" t="str">
        <f t="shared" si="752"/>
        <v/>
      </c>
      <c r="AB109" s="572" t="str">
        <f t="shared" si="753"/>
        <v/>
      </c>
      <c r="AC109" s="579" t="str">
        <f t="shared" si="836"/>
        <v/>
      </c>
      <c r="AD109" s="580" t="str">
        <f t="shared" si="837"/>
        <v/>
      </c>
      <c r="AE109" s="572" t="str">
        <f t="shared" si="838"/>
        <v/>
      </c>
      <c r="AF109" s="576" t="str">
        <f t="shared" si="839"/>
        <v/>
      </c>
      <c r="AG109" s="545" t="str">
        <f t="shared" si="840"/>
        <v/>
      </c>
      <c r="AH109" s="546" t="str">
        <f t="shared" si="841"/>
        <v/>
      </c>
      <c r="AI109" s="528" t="str">
        <f t="shared" si="842"/>
        <v/>
      </c>
      <c r="AJ109" s="529" t="str">
        <f t="shared" si="843"/>
        <v/>
      </c>
      <c r="AK109" s="578" t="str">
        <f t="shared" si="844"/>
        <v/>
      </c>
      <c r="AL109" s="572" t="str">
        <f t="shared" si="845"/>
        <v/>
      </c>
      <c r="AM109" s="577" t="str">
        <f t="shared" si="846"/>
        <v/>
      </c>
      <c r="AN109" s="524" t="str">
        <f t="shared" si="847"/>
        <v/>
      </c>
      <c r="AO109" s="525" t="str">
        <f t="shared" si="514"/>
        <v/>
      </c>
      <c r="AP109" s="528" t="str">
        <f t="shared" si="848"/>
        <v/>
      </c>
      <c r="AQ109" s="529" t="str">
        <f t="shared" si="754"/>
        <v/>
      </c>
      <c r="AS109" s="946" t="str">
        <f t="shared" si="852"/>
        <v/>
      </c>
      <c r="AT109" s="942" t="str">
        <f t="shared" si="755"/>
        <v/>
      </c>
      <c r="AU109" s="418"/>
      <c r="AV109" s="164" t="str">
        <f t="shared" si="75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5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58"/>
        <v/>
      </c>
      <c r="BF109" s="4" t="str">
        <f t="shared" si="759"/>
        <v/>
      </c>
      <c r="BG109" s="5" t="str">
        <f t="shared" si="760"/>
        <v/>
      </c>
      <c r="BH109" s="10" t="str">
        <f t="shared" si="761"/>
        <v/>
      </c>
      <c r="BI109" s="9" t="str">
        <f t="shared" si="634"/>
        <v/>
      </c>
      <c r="BJ109" s="5" t="str">
        <f t="shared" si="762"/>
        <v/>
      </c>
      <c r="BK109" s="8" t="str">
        <f t="shared" si="763"/>
        <v/>
      </c>
      <c r="BL109" s="173" t="str">
        <f t="shared" si="764"/>
        <v/>
      </c>
      <c r="BM109" s="5" t="str">
        <f t="shared" si="765"/>
        <v/>
      </c>
      <c r="BN109" s="6" t="str">
        <f t="shared" si="766"/>
        <v/>
      </c>
      <c r="BO109" s="4" t="str">
        <f t="shared" si="635"/>
        <v/>
      </c>
      <c r="BP109" s="5" t="str">
        <f t="shared" si="636"/>
        <v/>
      </c>
      <c r="BQ109" s="5" t="str">
        <f t="shared" si="637"/>
        <v/>
      </c>
      <c r="BR109" s="6" t="str">
        <f t="shared" si="638"/>
        <v/>
      </c>
      <c r="BS109" s="4" t="str">
        <f t="shared" si="849"/>
        <v/>
      </c>
      <c r="BT109" s="5" t="str">
        <f t="shared" si="84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67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3"/>
        <v/>
      </c>
      <c r="DC109" s="5" t="str">
        <f t="shared" si="853"/>
        <v/>
      </c>
      <c r="DD109" s="10" t="str">
        <f t="shared" si="659"/>
        <v/>
      </c>
      <c r="DE109" s="9" t="str">
        <f t="shared" si="854"/>
        <v/>
      </c>
      <c r="DF109" s="5" t="str">
        <f t="shared" si="854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8"/>
        <v/>
      </c>
      <c r="ET109" s="5" t="str">
        <f t="shared" si="769"/>
        <v/>
      </c>
      <c r="EU109" s="10" t="str">
        <f t="shared" si="770"/>
        <v/>
      </c>
      <c r="EV109" s="174" t="str">
        <f t="shared" si="771"/>
        <v/>
      </c>
      <c r="EW109" s="9" t="str">
        <f t="shared" si="772"/>
        <v/>
      </c>
      <c r="EX109" s="5" t="str">
        <f t="shared" si="773"/>
        <v/>
      </c>
      <c r="EY109" s="6" t="str">
        <f t="shared" si="699"/>
        <v/>
      </c>
      <c r="EZ109" s="51" t="str">
        <f t="shared" si="700"/>
        <v/>
      </c>
      <c r="FA109" s="173" t="str">
        <f t="shared" si="774"/>
        <v/>
      </c>
      <c r="FB109" s="5" t="str">
        <f t="shared" si="775"/>
        <v/>
      </c>
      <c r="FC109" s="6" t="str">
        <f t="shared" si="776"/>
        <v/>
      </c>
      <c r="FD109" s="4" t="str">
        <f t="shared" si="777"/>
        <v/>
      </c>
      <c r="FE109" s="5" t="str">
        <f t="shared" si="778"/>
        <v/>
      </c>
      <c r="FF109" s="7" t="str">
        <f t="shared" si="701"/>
        <v/>
      </c>
      <c r="FG109" s="173" t="str">
        <f t="shared" si="779"/>
        <v/>
      </c>
      <c r="FH109" s="5" t="str">
        <f t="shared" si="780"/>
        <v/>
      </c>
      <c r="FI109" s="10" t="str">
        <f t="shared" si="781"/>
        <v/>
      </c>
      <c r="FJ109" s="279" t="str">
        <f t="shared" si="702"/>
        <v/>
      </c>
      <c r="FK109" s="4" t="str">
        <f t="shared" si="78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83"/>
        <v/>
      </c>
      <c r="FP109" s="277" t="str">
        <f t="shared" si="629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4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5"/>
        <v/>
      </c>
      <c r="GH109" s="286" t="str">
        <f t="shared" si="786"/>
        <v/>
      </c>
      <c r="GI109" s="281" t="str">
        <f t="shared" si="787"/>
        <v/>
      </c>
      <c r="GJ109" s="167" t="str">
        <f t="shared" si="718"/>
        <v/>
      </c>
      <c r="GK109" s="174" t="str">
        <f t="shared" si="788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89"/>
        <v/>
      </c>
      <c r="GT109" s="343" t="str">
        <f t="shared" si="790"/>
        <v/>
      </c>
      <c r="GU109" s="344" t="str">
        <f t="shared" si="791"/>
        <v/>
      </c>
      <c r="GV109" s="343" t="str">
        <f t="shared" si="726"/>
        <v/>
      </c>
      <c r="GW109" s="345" t="str">
        <f t="shared" si="792"/>
        <v/>
      </c>
      <c r="GX109" s="346" t="str">
        <f t="shared" si="793"/>
        <v/>
      </c>
      <c r="GY109" s="344" t="str">
        <f t="shared" si="794"/>
        <v/>
      </c>
      <c r="GZ109" s="345" t="str">
        <f t="shared" si="795"/>
        <v/>
      </c>
      <c r="HA109" s="342" t="str">
        <f t="shared" si="796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7"/>
        <v/>
      </c>
      <c r="HF109" s="5" t="str">
        <f t="shared" si="798"/>
        <v/>
      </c>
      <c r="HG109" s="343" t="str">
        <f t="shared" si="730"/>
        <v/>
      </c>
      <c r="HH109" s="349" t="str">
        <f t="shared" si="731"/>
        <v/>
      </c>
      <c r="HI109" s="317" t="str">
        <f t="shared" si="799"/>
        <v/>
      </c>
      <c r="HK109" s="310" t="str">
        <f t="shared" si="850"/>
        <v/>
      </c>
      <c r="HL109" s="348" t="str">
        <f t="shared" si="800"/>
        <v/>
      </c>
      <c r="HM109" s="923" t="str">
        <f t="shared" si="801"/>
        <v/>
      </c>
      <c r="HN109" s="924" t="str">
        <f t="shared" si="802"/>
        <v/>
      </c>
      <c r="HO109" s="925"/>
      <c r="HP109" s="926"/>
      <c r="HQ109" s="924" t="str">
        <f t="shared" si="803"/>
        <v/>
      </c>
      <c r="HR109" s="927" t="str">
        <f t="shared" si="804"/>
        <v/>
      </c>
      <c r="HS109" s="879" t="str">
        <f t="shared" si="851"/>
        <v/>
      </c>
      <c r="HT109" s="889" t="str">
        <f t="shared" si="805"/>
        <v/>
      </c>
      <c r="HU109" s="890" t="str">
        <f t="shared" si="806"/>
        <v/>
      </c>
      <c r="HV109" s="886" t="str">
        <f t="shared" si="807"/>
        <v/>
      </c>
      <c r="HW109" s="880" t="str">
        <f t="shared" si="808"/>
        <v/>
      </c>
      <c r="HX109" s="881" t="str">
        <f t="shared" si="809"/>
        <v/>
      </c>
      <c r="HY109" s="880" t="str">
        <f t="shared" si="810"/>
        <v/>
      </c>
      <c r="HZ109" s="882" t="str">
        <f t="shared" si="811"/>
        <v/>
      </c>
      <c r="IA109" s="883" t="str">
        <f t="shared" si="812"/>
        <v/>
      </c>
      <c r="IB109" s="884" t="str">
        <f t="shared" si="813"/>
        <v/>
      </c>
      <c r="IC109" s="855" t="str">
        <f t="shared" si="814"/>
        <v/>
      </c>
      <c r="ID109" s="351" t="str">
        <f t="shared" si="815"/>
        <v/>
      </c>
      <c r="IE109" s="857" t="str">
        <f t="shared" si="816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2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17"/>
        <v/>
      </c>
      <c r="IM109" s="482" t="str">
        <f t="shared" si="733"/>
        <v/>
      </c>
      <c r="IN109" s="670" t="str">
        <f t="shared" si="818"/>
        <v/>
      </c>
      <c r="IO109" s="702"/>
      <c r="IP109" s="5" t="str">
        <f t="shared" si="819"/>
        <v/>
      </c>
      <c r="IQ109" s="714"/>
      <c r="IR109" s="9" t="str">
        <f t="shared" si="820"/>
        <v/>
      </c>
      <c r="IS109" s="5" t="str">
        <f t="shared" si="821"/>
        <v/>
      </c>
      <c r="IT109" s="5" t="str">
        <f t="shared" si="822"/>
        <v/>
      </c>
      <c r="IU109" s="5" t="str">
        <f t="shared" si="823"/>
        <v/>
      </c>
      <c r="IV109" s="670" t="str">
        <f t="shared" si="824"/>
        <v/>
      </c>
      <c r="IW109" s="9" t="str">
        <f t="shared" si="825"/>
        <v/>
      </c>
      <c r="IX109" s="5" t="str">
        <f t="shared" si="826"/>
        <v/>
      </c>
      <c r="IY109" s="5" t="str">
        <f t="shared" si="827"/>
        <v/>
      </c>
      <c r="IZ109" s="5" t="str">
        <f t="shared" si="828"/>
        <v/>
      </c>
      <c r="JA109" s="705" t="str">
        <f t="shared" si="829"/>
        <v/>
      </c>
    </row>
    <row r="110" spans="1:261" ht="15" customHeight="1" x14ac:dyDescent="0.25">
      <c r="A110" s="75" t="str">
        <f t="shared" si="736"/>
        <v/>
      </c>
      <c r="B110" s="578" t="str">
        <f t="shared" si="737"/>
        <v/>
      </c>
      <c r="C110" s="572" t="str">
        <f t="shared" si="738"/>
        <v/>
      </c>
      <c r="D110" s="576" t="str">
        <f t="shared" si="739"/>
        <v/>
      </c>
      <c r="E110" s="580" t="str">
        <f t="shared" si="740"/>
        <v/>
      </c>
      <c r="F110" s="572" t="str">
        <f t="shared" si="741"/>
        <v/>
      </c>
      <c r="G110" s="579" t="str">
        <f t="shared" si="742"/>
        <v/>
      </c>
      <c r="H110" s="580" t="str">
        <f t="shared" si="743"/>
        <v/>
      </c>
      <c r="I110" s="572" t="str">
        <f t="shared" si="744"/>
        <v/>
      </c>
      <c r="J110" s="483" t="str">
        <f t="shared" si="745"/>
        <v/>
      </c>
      <c r="K110" s="806" t="str">
        <f t="shared" si="746"/>
        <v/>
      </c>
      <c r="L110" s="309"/>
      <c r="M110" s="164" t="str">
        <f t="shared" si="747"/>
        <v/>
      </c>
      <c r="N110" s="575" t="str">
        <f t="shared" si="748"/>
        <v/>
      </c>
      <c r="O110" s="572" t="str">
        <f t="shared" si="749"/>
        <v/>
      </c>
      <c r="P110" s="576" t="str">
        <f t="shared" si="750"/>
        <v/>
      </c>
      <c r="Q110" s="528" t="str">
        <f t="shared" si="609"/>
        <v/>
      </c>
      <c r="R110" s="572" t="str">
        <f t="shared" si="830"/>
        <v/>
      </c>
      <c r="S110" s="577" t="str">
        <f t="shared" si="831"/>
        <v/>
      </c>
      <c r="T110" s="578" t="str">
        <f t="shared" si="832"/>
        <v/>
      </c>
      <c r="U110" s="572" t="str">
        <f t="shared" si="833"/>
        <v/>
      </c>
      <c r="V110" s="579" t="str">
        <f t="shared" si="834"/>
        <v/>
      </c>
      <c r="W110" s="528" t="str">
        <f t="shared" si="735"/>
        <v/>
      </c>
      <c r="X110" s="572" t="str">
        <f t="shared" si="835"/>
        <v/>
      </c>
      <c r="Y110" s="573" t="str">
        <f t="shared" si="734"/>
        <v/>
      </c>
      <c r="Z110" s="575" t="str">
        <f t="shared" si="751"/>
        <v/>
      </c>
      <c r="AA110" s="572" t="str">
        <f t="shared" si="752"/>
        <v/>
      </c>
      <c r="AB110" s="572" t="str">
        <f t="shared" si="753"/>
        <v/>
      </c>
      <c r="AC110" s="579" t="str">
        <f t="shared" si="836"/>
        <v/>
      </c>
      <c r="AD110" s="580" t="str">
        <f t="shared" si="837"/>
        <v/>
      </c>
      <c r="AE110" s="572" t="str">
        <f t="shared" si="838"/>
        <v/>
      </c>
      <c r="AF110" s="576" t="str">
        <f t="shared" si="839"/>
        <v/>
      </c>
      <c r="AG110" s="545" t="str">
        <f t="shared" si="840"/>
        <v/>
      </c>
      <c r="AH110" s="546" t="str">
        <f t="shared" si="841"/>
        <v/>
      </c>
      <c r="AI110" s="528" t="str">
        <f t="shared" si="842"/>
        <v/>
      </c>
      <c r="AJ110" s="529" t="str">
        <f t="shared" si="843"/>
        <v/>
      </c>
      <c r="AK110" s="578" t="str">
        <f t="shared" si="844"/>
        <v/>
      </c>
      <c r="AL110" s="572" t="str">
        <f t="shared" si="845"/>
        <v/>
      </c>
      <c r="AM110" s="577" t="str">
        <f t="shared" si="846"/>
        <v/>
      </c>
      <c r="AN110" s="524" t="str">
        <f t="shared" si="847"/>
        <v/>
      </c>
      <c r="AO110" s="525" t="str">
        <f t="shared" si="514"/>
        <v/>
      </c>
      <c r="AP110" s="528" t="str">
        <f t="shared" si="848"/>
        <v/>
      </c>
      <c r="AQ110" s="529" t="str">
        <f t="shared" si="754"/>
        <v/>
      </c>
      <c r="AS110" s="946" t="str">
        <f t="shared" si="852"/>
        <v/>
      </c>
      <c r="AT110" s="942" t="str">
        <f t="shared" si="755"/>
        <v/>
      </c>
      <c r="AU110" s="418"/>
      <c r="AV110" s="164" t="str">
        <f t="shared" si="75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5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58"/>
        <v/>
      </c>
      <c r="BF110" s="4" t="str">
        <f t="shared" si="759"/>
        <v/>
      </c>
      <c r="BG110" s="5" t="str">
        <f t="shared" si="760"/>
        <v/>
      </c>
      <c r="BH110" s="10" t="str">
        <f t="shared" si="761"/>
        <v/>
      </c>
      <c r="BI110" s="9" t="str">
        <f t="shared" si="634"/>
        <v/>
      </c>
      <c r="BJ110" s="5" t="str">
        <f t="shared" si="762"/>
        <v/>
      </c>
      <c r="BK110" s="8" t="str">
        <f t="shared" si="763"/>
        <v/>
      </c>
      <c r="BL110" s="173" t="str">
        <f t="shared" si="764"/>
        <v/>
      </c>
      <c r="BM110" s="5" t="str">
        <f t="shared" si="765"/>
        <v/>
      </c>
      <c r="BN110" s="6" t="str">
        <f t="shared" si="766"/>
        <v/>
      </c>
      <c r="BO110" s="4" t="str">
        <f t="shared" si="635"/>
        <v/>
      </c>
      <c r="BP110" s="5" t="str">
        <f t="shared" si="636"/>
        <v/>
      </c>
      <c r="BQ110" s="5" t="str">
        <f t="shared" si="637"/>
        <v/>
      </c>
      <c r="BR110" s="6" t="str">
        <f t="shared" si="638"/>
        <v/>
      </c>
      <c r="BS110" s="4" t="str">
        <f t="shared" si="849"/>
        <v/>
      </c>
      <c r="BT110" s="5" t="str">
        <f t="shared" si="84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67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3"/>
        <v/>
      </c>
      <c r="DC110" s="5" t="str">
        <f t="shared" si="853"/>
        <v/>
      </c>
      <c r="DD110" s="10" t="str">
        <f t="shared" si="659"/>
        <v/>
      </c>
      <c r="DE110" s="9" t="str">
        <f t="shared" si="854"/>
        <v/>
      </c>
      <c r="DF110" s="5" t="str">
        <f t="shared" si="854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8"/>
        <v/>
      </c>
      <c r="ET110" s="5" t="str">
        <f t="shared" si="769"/>
        <v/>
      </c>
      <c r="EU110" s="10" t="str">
        <f t="shared" si="770"/>
        <v/>
      </c>
      <c r="EV110" s="174" t="str">
        <f t="shared" si="771"/>
        <v/>
      </c>
      <c r="EW110" s="9" t="str">
        <f t="shared" si="772"/>
        <v/>
      </c>
      <c r="EX110" s="5" t="str">
        <f t="shared" si="773"/>
        <v/>
      </c>
      <c r="EY110" s="6" t="str">
        <f t="shared" si="699"/>
        <v/>
      </c>
      <c r="EZ110" s="51" t="str">
        <f t="shared" si="700"/>
        <v/>
      </c>
      <c r="FA110" s="173" t="str">
        <f t="shared" si="774"/>
        <v/>
      </c>
      <c r="FB110" s="5" t="str">
        <f t="shared" si="775"/>
        <v/>
      </c>
      <c r="FC110" s="6" t="str">
        <f t="shared" si="776"/>
        <v/>
      </c>
      <c r="FD110" s="4" t="str">
        <f t="shared" si="777"/>
        <v/>
      </c>
      <c r="FE110" s="5" t="str">
        <f t="shared" si="778"/>
        <v/>
      </c>
      <c r="FF110" s="7" t="str">
        <f t="shared" si="701"/>
        <v/>
      </c>
      <c r="FG110" s="173" t="str">
        <f t="shared" si="779"/>
        <v/>
      </c>
      <c r="FH110" s="5" t="str">
        <f t="shared" si="780"/>
        <v/>
      </c>
      <c r="FI110" s="10" t="str">
        <f t="shared" si="781"/>
        <v/>
      </c>
      <c r="FJ110" s="279" t="str">
        <f t="shared" si="702"/>
        <v/>
      </c>
      <c r="FK110" s="4" t="str">
        <f t="shared" si="78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83"/>
        <v/>
      </c>
      <c r="FP110" s="277" t="str">
        <f t="shared" si="629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4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5"/>
        <v/>
      </c>
      <c r="GH110" s="286" t="str">
        <f t="shared" si="786"/>
        <v/>
      </c>
      <c r="GI110" s="281" t="str">
        <f t="shared" si="787"/>
        <v/>
      </c>
      <c r="GJ110" s="167" t="str">
        <f t="shared" si="718"/>
        <v/>
      </c>
      <c r="GK110" s="174" t="str">
        <f t="shared" si="788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89"/>
        <v/>
      </c>
      <c r="GT110" s="343" t="str">
        <f t="shared" si="790"/>
        <v/>
      </c>
      <c r="GU110" s="344" t="str">
        <f t="shared" si="791"/>
        <v/>
      </c>
      <c r="GV110" s="343" t="str">
        <f t="shared" si="726"/>
        <v/>
      </c>
      <c r="GW110" s="345" t="str">
        <f t="shared" si="792"/>
        <v/>
      </c>
      <c r="GX110" s="346" t="str">
        <f t="shared" si="793"/>
        <v/>
      </c>
      <c r="GY110" s="344" t="str">
        <f t="shared" si="794"/>
        <v/>
      </c>
      <c r="GZ110" s="345" t="str">
        <f t="shared" si="795"/>
        <v/>
      </c>
      <c r="HA110" s="342" t="str">
        <f t="shared" si="796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7"/>
        <v/>
      </c>
      <c r="HF110" s="5" t="str">
        <f t="shared" si="798"/>
        <v/>
      </c>
      <c r="HG110" s="343" t="str">
        <f t="shared" si="730"/>
        <v/>
      </c>
      <c r="HH110" s="349" t="str">
        <f t="shared" si="731"/>
        <v/>
      </c>
      <c r="HI110" s="317" t="str">
        <f t="shared" si="799"/>
        <v/>
      </c>
      <c r="HK110" s="310" t="str">
        <f t="shared" si="850"/>
        <v/>
      </c>
      <c r="HL110" s="348" t="str">
        <f t="shared" si="800"/>
        <v/>
      </c>
      <c r="HM110" s="923" t="str">
        <f t="shared" si="801"/>
        <v/>
      </c>
      <c r="HN110" s="924" t="str">
        <f t="shared" si="802"/>
        <v/>
      </c>
      <c r="HO110" s="925"/>
      <c r="HP110" s="926"/>
      <c r="HQ110" s="924" t="str">
        <f t="shared" si="803"/>
        <v/>
      </c>
      <c r="HR110" s="927" t="str">
        <f t="shared" si="804"/>
        <v/>
      </c>
      <c r="HS110" s="879" t="str">
        <f t="shared" si="851"/>
        <v/>
      </c>
      <c r="HT110" s="889" t="str">
        <f t="shared" si="805"/>
        <v/>
      </c>
      <c r="HU110" s="890" t="str">
        <f t="shared" si="806"/>
        <v/>
      </c>
      <c r="HV110" s="886" t="str">
        <f t="shared" si="807"/>
        <v/>
      </c>
      <c r="HW110" s="880" t="str">
        <f t="shared" si="808"/>
        <v/>
      </c>
      <c r="HX110" s="881" t="str">
        <f t="shared" si="809"/>
        <v/>
      </c>
      <c r="HY110" s="880" t="str">
        <f t="shared" si="810"/>
        <v/>
      </c>
      <c r="HZ110" s="882" t="str">
        <f t="shared" si="811"/>
        <v/>
      </c>
      <c r="IA110" s="883" t="str">
        <f t="shared" si="812"/>
        <v/>
      </c>
      <c r="IB110" s="884" t="str">
        <f t="shared" si="813"/>
        <v/>
      </c>
      <c r="IC110" s="855" t="str">
        <f t="shared" si="814"/>
        <v/>
      </c>
      <c r="ID110" s="351" t="str">
        <f t="shared" si="815"/>
        <v/>
      </c>
      <c r="IE110" s="857" t="str">
        <f t="shared" si="816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2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17"/>
        <v/>
      </c>
      <c r="IM110" s="482" t="str">
        <f t="shared" si="733"/>
        <v/>
      </c>
      <c r="IN110" s="670" t="str">
        <f t="shared" si="818"/>
        <v/>
      </c>
      <c r="IO110" s="702"/>
      <c r="IP110" s="5" t="str">
        <f t="shared" si="819"/>
        <v/>
      </c>
      <c r="IQ110" s="714"/>
      <c r="IR110" s="9" t="str">
        <f t="shared" si="820"/>
        <v/>
      </c>
      <c r="IS110" s="5" t="str">
        <f t="shared" si="821"/>
        <v/>
      </c>
      <c r="IT110" s="5" t="str">
        <f t="shared" si="822"/>
        <v/>
      </c>
      <c r="IU110" s="5" t="str">
        <f t="shared" si="823"/>
        <v/>
      </c>
      <c r="IV110" s="670" t="str">
        <f t="shared" si="824"/>
        <v/>
      </c>
      <c r="IW110" s="9" t="str">
        <f t="shared" si="825"/>
        <v/>
      </c>
      <c r="IX110" s="5" t="str">
        <f t="shared" si="826"/>
        <v/>
      </c>
      <c r="IY110" s="5" t="str">
        <f t="shared" si="827"/>
        <v/>
      </c>
      <c r="IZ110" s="5" t="str">
        <f t="shared" si="828"/>
        <v/>
      </c>
      <c r="JA110" s="705" t="str">
        <f t="shared" si="829"/>
        <v/>
      </c>
    </row>
    <row r="111" spans="1:261" ht="15" customHeight="1" x14ac:dyDescent="0.25">
      <c r="A111" s="75" t="str">
        <f t="shared" si="736"/>
        <v/>
      </c>
      <c r="B111" s="578" t="str">
        <f t="shared" si="737"/>
        <v/>
      </c>
      <c r="C111" s="572" t="str">
        <f t="shared" si="738"/>
        <v/>
      </c>
      <c r="D111" s="576" t="str">
        <f t="shared" si="739"/>
        <v/>
      </c>
      <c r="E111" s="580" t="str">
        <f t="shared" si="740"/>
        <v/>
      </c>
      <c r="F111" s="572" t="str">
        <f t="shared" si="741"/>
        <v/>
      </c>
      <c r="G111" s="579" t="str">
        <f t="shared" si="742"/>
        <v/>
      </c>
      <c r="H111" s="580" t="str">
        <f t="shared" si="743"/>
        <v/>
      </c>
      <c r="I111" s="572" t="str">
        <f t="shared" si="744"/>
        <v/>
      </c>
      <c r="J111" s="483" t="str">
        <f t="shared" si="745"/>
        <v/>
      </c>
      <c r="K111" s="806" t="str">
        <f t="shared" si="746"/>
        <v/>
      </c>
      <c r="L111" s="309"/>
      <c r="M111" s="164" t="str">
        <f t="shared" si="747"/>
        <v/>
      </c>
      <c r="N111" s="575" t="str">
        <f t="shared" si="748"/>
        <v/>
      </c>
      <c r="O111" s="572" t="str">
        <f t="shared" si="749"/>
        <v/>
      </c>
      <c r="P111" s="576" t="str">
        <f t="shared" si="750"/>
        <v/>
      </c>
      <c r="Q111" s="528" t="str">
        <f t="shared" si="609"/>
        <v/>
      </c>
      <c r="R111" s="572" t="str">
        <f t="shared" si="830"/>
        <v/>
      </c>
      <c r="S111" s="577" t="str">
        <f t="shared" si="831"/>
        <v/>
      </c>
      <c r="T111" s="578" t="str">
        <f t="shared" si="832"/>
        <v/>
      </c>
      <c r="U111" s="572" t="str">
        <f t="shared" si="833"/>
        <v/>
      </c>
      <c r="V111" s="579" t="str">
        <f t="shared" si="834"/>
        <v/>
      </c>
      <c r="W111" s="528" t="str">
        <f t="shared" si="735"/>
        <v/>
      </c>
      <c r="X111" s="572" t="str">
        <f t="shared" si="835"/>
        <v/>
      </c>
      <c r="Y111" s="573" t="str">
        <f t="shared" si="734"/>
        <v/>
      </c>
      <c r="Z111" s="575" t="str">
        <f t="shared" si="751"/>
        <v/>
      </c>
      <c r="AA111" s="572" t="str">
        <f t="shared" si="752"/>
        <v/>
      </c>
      <c r="AB111" s="572" t="str">
        <f t="shared" si="753"/>
        <v/>
      </c>
      <c r="AC111" s="579" t="str">
        <f t="shared" si="836"/>
        <v/>
      </c>
      <c r="AD111" s="580" t="str">
        <f t="shared" si="837"/>
        <v/>
      </c>
      <c r="AE111" s="572" t="str">
        <f t="shared" si="838"/>
        <v/>
      </c>
      <c r="AF111" s="576" t="str">
        <f t="shared" si="839"/>
        <v/>
      </c>
      <c r="AG111" s="545" t="str">
        <f t="shared" si="840"/>
        <v/>
      </c>
      <c r="AH111" s="546" t="str">
        <f t="shared" si="841"/>
        <v/>
      </c>
      <c r="AI111" s="528" t="str">
        <f t="shared" si="842"/>
        <v/>
      </c>
      <c r="AJ111" s="529" t="str">
        <f t="shared" si="843"/>
        <v/>
      </c>
      <c r="AK111" s="578" t="str">
        <f t="shared" si="844"/>
        <v/>
      </c>
      <c r="AL111" s="572" t="str">
        <f t="shared" si="845"/>
        <v/>
      </c>
      <c r="AM111" s="577" t="str">
        <f t="shared" si="846"/>
        <v/>
      </c>
      <c r="AN111" s="524" t="str">
        <f t="shared" si="847"/>
        <v/>
      </c>
      <c r="AO111" s="525" t="str">
        <f t="shared" si="514"/>
        <v/>
      </c>
      <c r="AP111" s="528" t="str">
        <f t="shared" si="848"/>
        <v/>
      </c>
      <c r="AQ111" s="529" t="str">
        <f t="shared" si="754"/>
        <v/>
      </c>
      <c r="AS111" s="946" t="str">
        <f t="shared" si="852"/>
        <v/>
      </c>
      <c r="AT111" s="942" t="str">
        <f t="shared" si="755"/>
        <v/>
      </c>
      <c r="AU111" s="418"/>
      <c r="AV111" s="164" t="str">
        <f t="shared" si="75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5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58"/>
        <v/>
      </c>
      <c r="BF111" s="4" t="str">
        <f t="shared" si="759"/>
        <v/>
      </c>
      <c r="BG111" s="5" t="str">
        <f t="shared" si="760"/>
        <v/>
      </c>
      <c r="BH111" s="10" t="str">
        <f t="shared" si="761"/>
        <v/>
      </c>
      <c r="BI111" s="9" t="str">
        <f t="shared" si="634"/>
        <v/>
      </c>
      <c r="BJ111" s="5" t="str">
        <f t="shared" si="762"/>
        <v/>
      </c>
      <c r="BK111" s="8" t="str">
        <f t="shared" si="763"/>
        <v/>
      </c>
      <c r="BL111" s="173" t="str">
        <f t="shared" si="764"/>
        <v/>
      </c>
      <c r="BM111" s="5" t="str">
        <f t="shared" si="765"/>
        <v/>
      </c>
      <c r="BN111" s="6" t="str">
        <f t="shared" si="766"/>
        <v/>
      </c>
      <c r="BO111" s="4" t="str">
        <f t="shared" si="635"/>
        <v/>
      </c>
      <c r="BP111" s="5" t="str">
        <f t="shared" si="636"/>
        <v/>
      </c>
      <c r="BQ111" s="5" t="str">
        <f t="shared" si="637"/>
        <v/>
      </c>
      <c r="BR111" s="6" t="str">
        <f t="shared" si="638"/>
        <v/>
      </c>
      <c r="BS111" s="4" t="str">
        <f t="shared" si="849"/>
        <v/>
      </c>
      <c r="BT111" s="5" t="str">
        <f t="shared" si="84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67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3"/>
        <v/>
      </c>
      <c r="DC111" s="5" t="str">
        <f t="shared" si="853"/>
        <v/>
      </c>
      <c r="DD111" s="10" t="str">
        <f t="shared" si="659"/>
        <v/>
      </c>
      <c r="DE111" s="9" t="str">
        <f t="shared" si="854"/>
        <v/>
      </c>
      <c r="DF111" s="5" t="str">
        <f t="shared" si="854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8"/>
        <v/>
      </c>
      <c r="ET111" s="5" t="str">
        <f t="shared" si="769"/>
        <v/>
      </c>
      <c r="EU111" s="10" t="str">
        <f t="shared" si="770"/>
        <v/>
      </c>
      <c r="EV111" s="174" t="str">
        <f t="shared" si="771"/>
        <v/>
      </c>
      <c r="EW111" s="9" t="str">
        <f t="shared" si="772"/>
        <v/>
      </c>
      <c r="EX111" s="5" t="str">
        <f t="shared" si="773"/>
        <v/>
      </c>
      <c r="EY111" s="6" t="str">
        <f t="shared" si="699"/>
        <v/>
      </c>
      <c r="EZ111" s="51" t="str">
        <f t="shared" si="700"/>
        <v/>
      </c>
      <c r="FA111" s="173" t="str">
        <f t="shared" si="774"/>
        <v/>
      </c>
      <c r="FB111" s="5" t="str">
        <f t="shared" si="775"/>
        <v/>
      </c>
      <c r="FC111" s="6" t="str">
        <f t="shared" si="776"/>
        <v/>
      </c>
      <c r="FD111" s="4" t="str">
        <f t="shared" si="777"/>
        <v/>
      </c>
      <c r="FE111" s="5" t="str">
        <f t="shared" si="778"/>
        <v/>
      </c>
      <c r="FF111" s="7" t="str">
        <f t="shared" si="701"/>
        <v/>
      </c>
      <c r="FG111" s="173" t="str">
        <f t="shared" si="779"/>
        <v/>
      </c>
      <c r="FH111" s="5" t="str">
        <f t="shared" si="780"/>
        <v/>
      </c>
      <c r="FI111" s="10" t="str">
        <f t="shared" si="781"/>
        <v/>
      </c>
      <c r="FJ111" s="279" t="str">
        <f t="shared" si="702"/>
        <v/>
      </c>
      <c r="FK111" s="4" t="str">
        <f t="shared" si="78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83"/>
        <v/>
      </c>
      <c r="FP111" s="277" t="str">
        <f t="shared" si="629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4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5"/>
        <v/>
      </c>
      <c r="GH111" s="286" t="str">
        <f t="shared" si="786"/>
        <v/>
      </c>
      <c r="GI111" s="281" t="str">
        <f t="shared" si="787"/>
        <v/>
      </c>
      <c r="GJ111" s="167" t="str">
        <f t="shared" si="718"/>
        <v/>
      </c>
      <c r="GK111" s="174" t="str">
        <f t="shared" si="788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89"/>
        <v/>
      </c>
      <c r="GT111" s="343" t="str">
        <f t="shared" si="790"/>
        <v/>
      </c>
      <c r="GU111" s="344" t="str">
        <f t="shared" si="791"/>
        <v/>
      </c>
      <c r="GV111" s="343" t="str">
        <f t="shared" si="726"/>
        <v/>
      </c>
      <c r="GW111" s="345" t="str">
        <f t="shared" si="792"/>
        <v/>
      </c>
      <c r="GX111" s="346" t="str">
        <f t="shared" si="793"/>
        <v/>
      </c>
      <c r="GY111" s="344" t="str">
        <f t="shared" si="794"/>
        <v/>
      </c>
      <c r="GZ111" s="345" t="str">
        <f t="shared" si="795"/>
        <v/>
      </c>
      <c r="HA111" s="342" t="str">
        <f t="shared" si="796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7"/>
        <v/>
      </c>
      <c r="HF111" s="5" t="str">
        <f t="shared" si="798"/>
        <v/>
      </c>
      <c r="HG111" s="343" t="str">
        <f t="shared" si="730"/>
        <v/>
      </c>
      <c r="HH111" s="349" t="str">
        <f t="shared" si="731"/>
        <v/>
      </c>
      <c r="HI111" s="317" t="str">
        <f t="shared" si="799"/>
        <v/>
      </c>
      <c r="HK111" s="310" t="str">
        <f t="shared" si="850"/>
        <v/>
      </c>
      <c r="HL111" s="348" t="str">
        <f t="shared" si="800"/>
        <v/>
      </c>
      <c r="HM111" s="923" t="str">
        <f t="shared" si="801"/>
        <v/>
      </c>
      <c r="HN111" s="924" t="str">
        <f t="shared" si="802"/>
        <v/>
      </c>
      <c r="HO111" s="925"/>
      <c r="HP111" s="926"/>
      <c r="HQ111" s="924" t="str">
        <f t="shared" si="803"/>
        <v/>
      </c>
      <c r="HR111" s="927" t="str">
        <f t="shared" si="804"/>
        <v/>
      </c>
      <c r="HS111" s="879" t="str">
        <f t="shared" si="851"/>
        <v/>
      </c>
      <c r="HT111" s="889" t="str">
        <f t="shared" si="805"/>
        <v/>
      </c>
      <c r="HU111" s="890" t="str">
        <f t="shared" si="806"/>
        <v/>
      </c>
      <c r="HV111" s="886" t="str">
        <f t="shared" si="807"/>
        <v/>
      </c>
      <c r="HW111" s="880" t="str">
        <f t="shared" si="808"/>
        <v/>
      </c>
      <c r="HX111" s="881" t="str">
        <f t="shared" si="809"/>
        <v/>
      </c>
      <c r="HY111" s="880" t="str">
        <f t="shared" si="810"/>
        <v/>
      </c>
      <c r="HZ111" s="882" t="str">
        <f t="shared" si="811"/>
        <v/>
      </c>
      <c r="IA111" s="883" t="str">
        <f t="shared" si="812"/>
        <v/>
      </c>
      <c r="IB111" s="884" t="str">
        <f t="shared" si="813"/>
        <v/>
      </c>
      <c r="IC111" s="855" t="str">
        <f t="shared" si="814"/>
        <v/>
      </c>
      <c r="ID111" s="351" t="str">
        <f t="shared" si="815"/>
        <v/>
      </c>
      <c r="IE111" s="857" t="str">
        <f t="shared" si="816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2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17"/>
        <v/>
      </c>
      <c r="IM111" s="482" t="str">
        <f t="shared" si="733"/>
        <v/>
      </c>
      <c r="IN111" s="670" t="str">
        <f t="shared" si="818"/>
        <v/>
      </c>
      <c r="IO111" s="702"/>
      <c r="IP111" s="5" t="str">
        <f t="shared" si="819"/>
        <v/>
      </c>
      <c r="IQ111" s="714"/>
      <c r="IR111" s="9" t="str">
        <f t="shared" si="820"/>
        <v/>
      </c>
      <c r="IS111" s="5" t="str">
        <f t="shared" si="821"/>
        <v/>
      </c>
      <c r="IT111" s="5" t="str">
        <f t="shared" si="822"/>
        <v/>
      </c>
      <c r="IU111" s="5" t="str">
        <f t="shared" si="823"/>
        <v/>
      </c>
      <c r="IV111" s="670" t="str">
        <f t="shared" si="824"/>
        <v/>
      </c>
      <c r="IW111" s="9" t="str">
        <f t="shared" si="825"/>
        <v/>
      </c>
      <c r="IX111" s="5" t="str">
        <f t="shared" si="826"/>
        <v/>
      </c>
      <c r="IY111" s="5" t="str">
        <f t="shared" si="827"/>
        <v/>
      </c>
      <c r="IZ111" s="5" t="str">
        <f t="shared" si="828"/>
        <v/>
      </c>
      <c r="JA111" s="705" t="str">
        <f t="shared" si="829"/>
        <v/>
      </c>
    </row>
    <row r="112" spans="1:261" ht="15" customHeight="1" x14ac:dyDescent="0.25">
      <c r="A112" s="75" t="str">
        <f t="shared" si="736"/>
        <v/>
      </c>
      <c r="B112" s="578" t="str">
        <f t="shared" si="737"/>
        <v/>
      </c>
      <c r="C112" s="572" t="str">
        <f t="shared" si="738"/>
        <v/>
      </c>
      <c r="D112" s="576" t="str">
        <f t="shared" si="739"/>
        <v/>
      </c>
      <c r="E112" s="580" t="str">
        <f t="shared" si="740"/>
        <v/>
      </c>
      <c r="F112" s="572" t="str">
        <f t="shared" si="741"/>
        <v/>
      </c>
      <c r="G112" s="579" t="str">
        <f t="shared" si="742"/>
        <v/>
      </c>
      <c r="H112" s="580" t="str">
        <f t="shared" si="743"/>
        <v/>
      </c>
      <c r="I112" s="572" t="str">
        <f t="shared" si="744"/>
        <v/>
      </c>
      <c r="J112" s="483" t="str">
        <f t="shared" si="745"/>
        <v/>
      </c>
      <c r="K112" s="806" t="str">
        <f t="shared" si="746"/>
        <v/>
      </c>
      <c r="L112" s="309"/>
      <c r="M112" s="164" t="str">
        <f t="shared" si="747"/>
        <v/>
      </c>
      <c r="N112" s="575" t="str">
        <f t="shared" si="748"/>
        <v/>
      </c>
      <c r="O112" s="572" t="str">
        <f t="shared" si="749"/>
        <v/>
      </c>
      <c r="P112" s="576" t="str">
        <f t="shared" si="750"/>
        <v/>
      </c>
      <c r="Q112" s="528" t="str">
        <f t="shared" si="609"/>
        <v/>
      </c>
      <c r="R112" s="572" t="str">
        <f t="shared" si="830"/>
        <v/>
      </c>
      <c r="S112" s="577" t="str">
        <f t="shared" si="831"/>
        <v/>
      </c>
      <c r="T112" s="578" t="str">
        <f t="shared" si="832"/>
        <v/>
      </c>
      <c r="U112" s="572" t="str">
        <f t="shared" si="833"/>
        <v/>
      </c>
      <c r="V112" s="579" t="str">
        <f t="shared" si="834"/>
        <v/>
      </c>
      <c r="W112" s="528" t="str">
        <f t="shared" si="735"/>
        <v/>
      </c>
      <c r="X112" s="572" t="str">
        <f t="shared" si="835"/>
        <v/>
      </c>
      <c r="Y112" s="573" t="str">
        <f t="shared" si="734"/>
        <v/>
      </c>
      <c r="Z112" s="575" t="str">
        <f t="shared" si="751"/>
        <v/>
      </c>
      <c r="AA112" s="572" t="str">
        <f t="shared" si="752"/>
        <v/>
      </c>
      <c r="AB112" s="572" t="str">
        <f t="shared" si="753"/>
        <v/>
      </c>
      <c r="AC112" s="579" t="str">
        <f t="shared" si="836"/>
        <v/>
      </c>
      <c r="AD112" s="580" t="str">
        <f t="shared" si="837"/>
        <v/>
      </c>
      <c r="AE112" s="572" t="str">
        <f t="shared" si="838"/>
        <v/>
      </c>
      <c r="AF112" s="576" t="str">
        <f t="shared" si="839"/>
        <v/>
      </c>
      <c r="AG112" s="545" t="str">
        <f t="shared" si="840"/>
        <v/>
      </c>
      <c r="AH112" s="546" t="str">
        <f t="shared" si="841"/>
        <v/>
      </c>
      <c r="AI112" s="528" t="str">
        <f t="shared" si="842"/>
        <v/>
      </c>
      <c r="AJ112" s="529" t="str">
        <f t="shared" si="843"/>
        <v/>
      </c>
      <c r="AK112" s="578" t="str">
        <f t="shared" si="844"/>
        <v/>
      </c>
      <c r="AL112" s="572" t="str">
        <f t="shared" si="845"/>
        <v/>
      </c>
      <c r="AM112" s="577" t="str">
        <f t="shared" si="846"/>
        <v/>
      </c>
      <c r="AN112" s="524" t="str">
        <f t="shared" si="847"/>
        <v/>
      </c>
      <c r="AO112" s="525" t="str">
        <f t="shared" si="514"/>
        <v/>
      </c>
      <c r="AP112" s="528" t="str">
        <f t="shared" si="848"/>
        <v/>
      </c>
      <c r="AQ112" s="529" t="str">
        <f t="shared" si="754"/>
        <v/>
      </c>
      <c r="AS112" s="946" t="str">
        <f t="shared" si="852"/>
        <v/>
      </c>
      <c r="AT112" s="942" t="str">
        <f t="shared" si="755"/>
        <v/>
      </c>
      <c r="AU112" s="418"/>
      <c r="AV112" s="164" t="str">
        <f t="shared" si="75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5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58"/>
        <v/>
      </c>
      <c r="BF112" s="4" t="str">
        <f t="shared" si="759"/>
        <v/>
      </c>
      <c r="BG112" s="5" t="str">
        <f t="shared" si="760"/>
        <v/>
      </c>
      <c r="BH112" s="10" t="str">
        <f t="shared" si="761"/>
        <v/>
      </c>
      <c r="BI112" s="9" t="str">
        <f t="shared" si="634"/>
        <v/>
      </c>
      <c r="BJ112" s="5" t="str">
        <f t="shared" si="762"/>
        <v/>
      </c>
      <c r="BK112" s="8" t="str">
        <f t="shared" si="763"/>
        <v/>
      </c>
      <c r="BL112" s="173" t="str">
        <f t="shared" si="764"/>
        <v/>
      </c>
      <c r="BM112" s="5" t="str">
        <f t="shared" si="765"/>
        <v/>
      </c>
      <c r="BN112" s="6" t="str">
        <f t="shared" si="766"/>
        <v/>
      </c>
      <c r="BO112" s="4" t="str">
        <f t="shared" si="635"/>
        <v/>
      </c>
      <c r="BP112" s="5" t="str">
        <f t="shared" si="636"/>
        <v/>
      </c>
      <c r="BQ112" s="5" t="str">
        <f t="shared" si="637"/>
        <v/>
      </c>
      <c r="BR112" s="6" t="str">
        <f t="shared" si="638"/>
        <v/>
      </c>
      <c r="BS112" s="4" t="str">
        <f t="shared" si="849"/>
        <v/>
      </c>
      <c r="BT112" s="5" t="str">
        <f t="shared" si="84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67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3"/>
        <v/>
      </c>
      <c r="DC112" s="5" t="str">
        <f t="shared" si="853"/>
        <v/>
      </c>
      <c r="DD112" s="10" t="str">
        <f t="shared" si="659"/>
        <v/>
      </c>
      <c r="DE112" s="9" t="str">
        <f t="shared" si="854"/>
        <v/>
      </c>
      <c r="DF112" s="5" t="str">
        <f t="shared" si="854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8"/>
        <v/>
      </c>
      <c r="ET112" s="5" t="str">
        <f t="shared" si="769"/>
        <v/>
      </c>
      <c r="EU112" s="10" t="str">
        <f t="shared" si="770"/>
        <v/>
      </c>
      <c r="EV112" s="174" t="str">
        <f t="shared" si="771"/>
        <v/>
      </c>
      <c r="EW112" s="9" t="str">
        <f t="shared" si="772"/>
        <v/>
      </c>
      <c r="EX112" s="5" t="str">
        <f t="shared" si="773"/>
        <v/>
      </c>
      <c r="EY112" s="6" t="str">
        <f t="shared" si="699"/>
        <v/>
      </c>
      <c r="EZ112" s="51" t="str">
        <f t="shared" si="700"/>
        <v/>
      </c>
      <c r="FA112" s="173" t="str">
        <f t="shared" si="774"/>
        <v/>
      </c>
      <c r="FB112" s="5" t="str">
        <f t="shared" si="775"/>
        <v/>
      </c>
      <c r="FC112" s="6" t="str">
        <f t="shared" si="776"/>
        <v/>
      </c>
      <c r="FD112" s="4" t="str">
        <f t="shared" si="777"/>
        <v/>
      </c>
      <c r="FE112" s="5" t="str">
        <f t="shared" si="778"/>
        <v/>
      </c>
      <c r="FF112" s="7" t="str">
        <f t="shared" si="701"/>
        <v/>
      </c>
      <c r="FG112" s="173" t="str">
        <f t="shared" si="779"/>
        <v/>
      </c>
      <c r="FH112" s="5" t="str">
        <f t="shared" si="780"/>
        <v/>
      </c>
      <c r="FI112" s="10" t="str">
        <f t="shared" si="781"/>
        <v/>
      </c>
      <c r="FJ112" s="279" t="str">
        <f t="shared" si="702"/>
        <v/>
      </c>
      <c r="FK112" s="4" t="str">
        <f t="shared" si="78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83"/>
        <v/>
      </c>
      <c r="FP112" s="277" t="str">
        <f t="shared" si="629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4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5"/>
        <v/>
      </c>
      <c r="GH112" s="286" t="str">
        <f t="shared" si="786"/>
        <v/>
      </c>
      <c r="GI112" s="281" t="str">
        <f t="shared" si="787"/>
        <v/>
      </c>
      <c r="GJ112" s="167" t="str">
        <f t="shared" si="718"/>
        <v/>
      </c>
      <c r="GK112" s="174" t="str">
        <f t="shared" si="788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89"/>
        <v/>
      </c>
      <c r="GT112" s="343" t="str">
        <f t="shared" si="790"/>
        <v/>
      </c>
      <c r="GU112" s="344" t="str">
        <f t="shared" si="791"/>
        <v/>
      </c>
      <c r="GV112" s="343" t="str">
        <f t="shared" si="726"/>
        <v/>
      </c>
      <c r="GW112" s="345" t="str">
        <f t="shared" si="792"/>
        <v/>
      </c>
      <c r="GX112" s="346" t="str">
        <f t="shared" si="793"/>
        <v/>
      </c>
      <c r="GY112" s="344" t="str">
        <f t="shared" si="794"/>
        <v/>
      </c>
      <c r="GZ112" s="345" t="str">
        <f t="shared" si="795"/>
        <v/>
      </c>
      <c r="HA112" s="342" t="str">
        <f t="shared" si="796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7"/>
        <v/>
      </c>
      <c r="HF112" s="5" t="str">
        <f t="shared" si="798"/>
        <v/>
      </c>
      <c r="HG112" s="343" t="str">
        <f t="shared" si="730"/>
        <v/>
      </c>
      <c r="HH112" s="349" t="str">
        <f t="shared" si="731"/>
        <v/>
      </c>
      <c r="HI112" s="317" t="str">
        <f t="shared" si="799"/>
        <v/>
      </c>
      <c r="HK112" s="310" t="str">
        <f t="shared" si="850"/>
        <v/>
      </c>
      <c r="HL112" s="348" t="str">
        <f t="shared" si="800"/>
        <v/>
      </c>
      <c r="HM112" s="923" t="str">
        <f t="shared" si="801"/>
        <v/>
      </c>
      <c r="HN112" s="924" t="str">
        <f t="shared" si="802"/>
        <v/>
      </c>
      <c r="HO112" s="925"/>
      <c r="HP112" s="926"/>
      <c r="HQ112" s="924" t="str">
        <f t="shared" si="803"/>
        <v/>
      </c>
      <c r="HR112" s="927" t="str">
        <f t="shared" si="804"/>
        <v/>
      </c>
      <c r="HS112" s="879" t="str">
        <f t="shared" si="851"/>
        <v/>
      </c>
      <c r="HT112" s="889" t="str">
        <f t="shared" si="805"/>
        <v/>
      </c>
      <c r="HU112" s="890" t="str">
        <f t="shared" si="806"/>
        <v/>
      </c>
      <c r="HV112" s="886" t="str">
        <f t="shared" si="807"/>
        <v/>
      </c>
      <c r="HW112" s="880" t="str">
        <f t="shared" si="808"/>
        <v/>
      </c>
      <c r="HX112" s="881" t="str">
        <f t="shared" si="809"/>
        <v/>
      </c>
      <c r="HY112" s="880" t="str">
        <f t="shared" si="810"/>
        <v/>
      </c>
      <c r="HZ112" s="882" t="str">
        <f t="shared" si="811"/>
        <v/>
      </c>
      <c r="IA112" s="883" t="str">
        <f t="shared" si="812"/>
        <v/>
      </c>
      <c r="IB112" s="884" t="str">
        <f t="shared" si="813"/>
        <v/>
      </c>
      <c r="IC112" s="855" t="str">
        <f t="shared" si="814"/>
        <v/>
      </c>
      <c r="ID112" s="351" t="str">
        <f t="shared" si="815"/>
        <v/>
      </c>
      <c r="IE112" s="857" t="str">
        <f t="shared" si="816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2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17"/>
        <v/>
      </c>
      <c r="IM112" s="482" t="str">
        <f t="shared" si="733"/>
        <v/>
      </c>
      <c r="IN112" s="670" t="str">
        <f t="shared" si="818"/>
        <v/>
      </c>
      <c r="IO112" s="702"/>
      <c r="IP112" s="5" t="str">
        <f t="shared" si="819"/>
        <v/>
      </c>
      <c r="IQ112" s="714"/>
      <c r="IR112" s="9" t="str">
        <f t="shared" si="820"/>
        <v/>
      </c>
      <c r="IS112" s="5" t="str">
        <f t="shared" si="821"/>
        <v/>
      </c>
      <c r="IT112" s="5" t="str">
        <f t="shared" si="822"/>
        <v/>
      </c>
      <c r="IU112" s="5" t="str">
        <f t="shared" si="823"/>
        <v/>
      </c>
      <c r="IV112" s="670" t="str">
        <f t="shared" si="824"/>
        <v/>
      </c>
      <c r="IW112" s="9" t="str">
        <f t="shared" si="825"/>
        <v/>
      </c>
      <c r="IX112" s="5" t="str">
        <f t="shared" si="826"/>
        <v/>
      </c>
      <c r="IY112" s="5" t="str">
        <f t="shared" si="827"/>
        <v/>
      </c>
      <c r="IZ112" s="5" t="str">
        <f t="shared" si="828"/>
        <v/>
      </c>
      <c r="JA112" s="705" t="str">
        <f t="shared" si="829"/>
        <v/>
      </c>
    </row>
    <row r="113" spans="1:261" ht="15" customHeight="1" x14ac:dyDescent="0.25">
      <c r="A113" s="75" t="str">
        <f t="shared" si="736"/>
        <v/>
      </c>
      <c r="B113" s="578" t="str">
        <f t="shared" si="737"/>
        <v/>
      </c>
      <c r="C113" s="572" t="str">
        <f t="shared" si="738"/>
        <v/>
      </c>
      <c r="D113" s="576" t="str">
        <f t="shared" si="739"/>
        <v/>
      </c>
      <c r="E113" s="580" t="str">
        <f t="shared" si="740"/>
        <v/>
      </c>
      <c r="F113" s="572" t="str">
        <f t="shared" si="741"/>
        <v/>
      </c>
      <c r="G113" s="579" t="str">
        <f t="shared" si="742"/>
        <v/>
      </c>
      <c r="H113" s="580" t="str">
        <f t="shared" si="743"/>
        <v/>
      </c>
      <c r="I113" s="572" t="str">
        <f t="shared" si="744"/>
        <v/>
      </c>
      <c r="J113" s="483" t="str">
        <f t="shared" si="745"/>
        <v/>
      </c>
      <c r="K113" s="806" t="str">
        <f t="shared" si="746"/>
        <v/>
      </c>
      <c r="L113" s="309"/>
      <c r="M113" s="164" t="str">
        <f t="shared" si="747"/>
        <v/>
      </c>
      <c r="N113" s="575" t="str">
        <f t="shared" si="748"/>
        <v/>
      </c>
      <c r="O113" s="572" t="str">
        <f t="shared" si="749"/>
        <v/>
      </c>
      <c r="P113" s="576" t="str">
        <f t="shared" si="750"/>
        <v/>
      </c>
      <c r="Q113" s="528" t="str">
        <f t="shared" si="609"/>
        <v/>
      </c>
      <c r="R113" s="572" t="str">
        <f t="shared" si="830"/>
        <v/>
      </c>
      <c r="S113" s="577" t="str">
        <f t="shared" si="831"/>
        <v/>
      </c>
      <c r="T113" s="578" t="str">
        <f t="shared" si="832"/>
        <v/>
      </c>
      <c r="U113" s="572" t="str">
        <f t="shared" si="833"/>
        <v/>
      </c>
      <c r="V113" s="579" t="str">
        <f t="shared" si="834"/>
        <v/>
      </c>
      <c r="W113" s="528" t="str">
        <f t="shared" si="735"/>
        <v/>
      </c>
      <c r="X113" s="572" t="str">
        <f t="shared" si="835"/>
        <v/>
      </c>
      <c r="Y113" s="573" t="str">
        <f t="shared" si="734"/>
        <v/>
      </c>
      <c r="Z113" s="575" t="str">
        <f t="shared" si="751"/>
        <v/>
      </c>
      <c r="AA113" s="572" t="str">
        <f t="shared" si="752"/>
        <v/>
      </c>
      <c r="AB113" s="572" t="str">
        <f t="shared" si="753"/>
        <v/>
      </c>
      <c r="AC113" s="579" t="str">
        <f t="shared" si="836"/>
        <v/>
      </c>
      <c r="AD113" s="580" t="str">
        <f t="shared" si="837"/>
        <v/>
      </c>
      <c r="AE113" s="572" t="str">
        <f t="shared" si="838"/>
        <v/>
      </c>
      <c r="AF113" s="576" t="str">
        <f t="shared" si="839"/>
        <v/>
      </c>
      <c r="AG113" s="545" t="str">
        <f t="shared" si="840"/>
        <v/>
      </c>
      <c r="AH113" s="546" t="str">
        <f t="shared" si="841"/>
        <v/>
      </c>
      <c r="AI113" s="528" t="str">
        <f t="shared" si="842"/>
        <v/>
      </c>
      <c r="AJ113" s="529" t="str">
        <f t="shared" si="843"/>
        <v/>
      </c>
      <c r="AK113" s="578" t="str">
        <f t="shared" si="844"/>
        <v/>
      </c>
      <c r="AL113" s="572" t="str">
        <f t="shared" si="845"/>
        <v/>
      </c>
      <c r="AM113" s="577" t="str">
        <f t="shared" si="846"/>
        <v/>
      </c>
      <c r="AN113" s="524" t="str">
        <f t="shared" si="847"/>
        <v/>
      </c>
      <c r="AO113" s="525" t="str">
        <f t="shared" si="514"/>
        <v/>
      </c>
      <c r="AP113" s="528" t="str">
        <f t="shared" si="848"/>
        <v/>
      </c>
      <c r="AQ113" s="529" t="str">
        <f t="shared" si="754"/>
        <v/>
      </c>
      <c r="AS113" s="946" t="str">
        <f t="shared" si="852"/>
        <v/>
      </c>
      <c r="AT113" s="942" t="str">
        <f t="shared" si="755"/>
        <v/>
      </c>
      <c r="AU113" s="418"/>
      <c r="AV113" s="164" t="str">
        <f t="shared" si="75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5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58"/>
        <v/>
      </c>
      <c r="BF113" s="4" t="str">
        <f t="shared" si="759"/>
        <v/>
      </c>
      <c r="BG113" s="5" t="str">
        <f t="shared" si="760"/>
        <v/>
      </c>
      <c r="BH113" s="10" t="str">
        <f t="shared" si="761"/>
        <v/>
      </c>
      <c r="BI113" s="9" t="str">
        <f t="shared" si="634"/>
        <v/>
      </c>
      <c r="BJ113" s="5" t="str">
        <f t="shared" si="762"/>
        <v/>
      </c>
      <c r="BK113" s="8" t="str">
        <f t="shared" si="763"/>
        <v/>
      </c>
      <c r="BL113" s="173" t="str">
        <f t="shared" si="764"/>
        <v/>
      </c>
      <c r="BM113" s="5" t="str">
        <f t="shared" si="765"/>
        <v/>
      </c>
      <c r="BN113" s="6" t="str">
        <f t="shared" si="766"/>
        <v/>
      </c>
      <c r="BO113" s="4" t="str">
        <f t="shared" si="635"/>
        <v/>
      </c>
      <c r="BP113" s="5" t="str">
        <f t="shared" si="636"/>
        <v/>
      </c>
      <c r="BQ113" s="5" t="str">
        <f t="shared" si="637"/>
        <v/>
      </c>
      <c r="BR113" s="6" t="str">
        <f t="shared" si="638"/>
        <v/>
      </c>
      <c r="BS113" s="4" t="str">
        <f t="shared" si="849"/>
        <v/>
      </c>
      <c r="BT113" s="5" t="str">
        <f t="shared" si="84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67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3"/>
        <v/>
      </c>
      <c r="DC113" s="5" t="str">
        <f t="shared" si="853"/>
        <v/>
      </c>
      <c r="DD113" s="10" t="str">
        <f t="shared" si="659"/>
        <v/>
      </c>
      <c r="DE113" s="9" t="str">
        <f t="shared" si="854"/>
        <v/>
      </c>
      <c r="DF113" s="5" t="str">
        <f t="shared" si="854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8"/>
        <v/>
      </c>
      <c r="ET113" s="5" t="str">
        <f t="shared" si="769"/>
        <v/>
      </c>
      <c r="EU113" s="10" t="str">
        <f t="shared" si="770"/>
        <v/>
      </c>
      <c r="EV113" s="174" t="str">
        <f t="shared" si="771"/>
        <v/>
      </c>
      <c r="EW113" s="9" t="str">
        <f t="shared" si="772"/>
        <v/>
      </c>
      <c r="EX113" s="5" t="str">
        <f t="shared" si="773"/>
        <v/>
      </c>
      <c r="EY113" s="6" t="str">
        <f t="shared" si="699"/>
        <v/>
      </c>
      <c r="EZ113" s="51" t="str">
        <f t="shared" si="700"/>
        <v/>
      </c>
      <c r="FA113" s="173" t="str">
        <f t="shared" si="774"/>
        <v/>
      </c>
      <c r="FB113" s="5" t="str">
        <f t="shared" si="775"/>
        <v/>
      </c>
      <c r="FC113" s="6" t="str">
        <f t="shared" si="776"/>
        <v/>
      </c>
      <c r="FD113" s="4" t="str">
        <f t="shared" si="777"/>
        <v/>
      </c>
      <c r="FE113" s="5" t="str">
        <f t="shared" si="778"/>
        <v/>
      </c>
      <c r="FF113" s="7" t="str">
        <f t="shared" si="701"/>
        <v/>
      </c>
      <c r="FG113" s="173" t="str">
        <f t="shared" si="779"/>
        <v/>
      </c>
      <c r="FH113" s="5" t="str">
        <f t="shared" si="780"/>
        <v/>
      </c>
      <c r="FI113" s="10" t="str">
        <f t="shared" si="781"/>
        <v/>
      </c>
      <c r="FJ113" s="279" t="str">
        <f t="shared" si="702"/>
        <v/>
      </c>
      <c r="FK113" s="4" t="str">
        <f t="shared" si="78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83"/>
        <v/>
      </c>
      <c r="FP113" s="277" t="str">
        <f t="shared" si="629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4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5"/>
        <v/>
      </c>
      <c r="GH113" s="286" t="str">
        <f t="shared" si="786"/>
        <v/>
      </c>
      <c r="GI113" s="281" t="str">
        <f t="shared" si="787"/>
        <v/>
      </c>
      <c r="GJ113" s="167" t="str">
        <f t="shared" si="718"/>
        <v/>
      </c>
      <c r="GK113" s="174" t="str">
        <f t="shared" si="788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89"/>
        <v/>
      </c>
      <c r="GT113" s="343" t="str">
        <f t="shared" si="790"/>
        <v/>
      </c>
      <c r="GU113" s="344" t="str">
        <f t="shared" si="791"/>
        <v/>
      </c>
      <c r="GV113" s="343" t="str">
        <f t="shared" si="726"/>
        <v/>
      </c>
      <c r="GW113" s="345" t="str">
        <f t="shared" si="792"/>
        <v/>
      </c>
      <c r="GX113" s="346" t="str">
        <f t="shared" si="793"/>
        <v/>
      </c>
      <c r="GY113" s="344" t="str">
        <f t="shared" si="794"/>
        <v/>
      </c>
      <c r="GZ113" s="345" t="str">
        <f t="shared" si="795"/>
        <v/>
      </c>
      <c r="HA113" s="342" t="str">
        <f t="shared" si="796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7"/>
        <v/>
      </c>
      <c r="HF113" s="5" t="str">
        <f t="shared" si="798"/>
        <v/>
      </c>
      <c r="HG113" s="343" t="str">
        <f t="shared" si="730"/>
        <v/>
      </c>
      <c r="HH113" s="349" t="str">
        <f t="shared" si="731"/>
        <v/>
      </c>
      <c r="HI113" s="317" t="str">
        <f t="shared" si="799"/>
        <v/>
      </c>
      <c r="HK113" s="310" t="str">
        <f t="shared" si="850"/>
        <v/>
      </c>
      <c r="HL113" s="348" t="str">
        <f t="shared" si="800"/>
        <v/>
      </c>
      <c r="HM113" s="923" t="str">
        <f t="shared" si="801"/>
        <v/>
      </c>
      <c r="HN113" s="924" t="str">
        <f t="shared" si="802"/>
        <v/>
      </c>
      <c r="HO113" s="925"/>
      <c r="HP113" s="926"/>
      <c r="HQ113" s="924" t="str">
        <f t="shared" si="803"/>
        <v/>
      </c>
      <c r="HR113" s="927" t="str">
        <f t="shared" si="804"/>
        <v/>
      </c>
      <c r="HS113" s="879" t="str">
        <f t="shared" si="851"/>
        <v/>
      </c>
      <c r="HT113" s="889" t="str">
        <f t="shared" si="805"/>
        <v/>
      </c>
      <c r="HU113" s="890" t="str">
        <f t="shared" si="806"/>
        <v/>
      </c>
      <c r="HV113" s="886" t="str">
        <f t="shared" si="807"/>
        <v/>
      </c>
      <c r="HW113" s="880" t="str">
        <f t="shared" si="808"/>
        <v/>
      </c>
      <c r="HX113" s="881" t="str">
        <f t="shared" si="809"/>
        <v/>
      </c>
      <c r="HY113" s="880" t="str">
        <f t="shared" si="810"/>
        <v/>
      </c>
      <c r="HZ113" s="882" t="str">
        <f t="shared" si="811"/>
        <v/>
      </c>
      <c r="IA113" s="883" t="str">
        <f t="shared" si="812"/>
        <v/>
      </c>
      <c r="IB113" s="884" t="str">
        <f t="shared" si="813"/>
        <v/>
      </c>
      <c r="IC113" s="855" t="str">
        <f t="shared" si="814"/>
        <v/>
      </c>
      <c r="ID113" s="351" t="str">
        <f t="shared" si="815"/>
        <v/>
      </c>
      <c r="IE113" s="857" t="str">
        <f t="shared" si="816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2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17"/>
        <v/>
      </c>
      <c r="IM113" s="482" t="str">
        <f t="shared" si="733"/>
        <v/>
      </c>
      <c r="IN113" s="670" t="str">
        <f t="shared" si="818"/>
        <v/>
      </c>
      <c r="IO113" s="702"/>
      <c r="IP113" s="5" t="str">
        <f t="shared" si="819"/>
        <v/>
      </c>
      <c r="IQ113" s="714"/>
      <c r="IR113" s="9" t="str">
        <f t="shared" si="820"/>
        <v/>
      </c>
      <c r="IS113" s="5" t="str">
        <f t="shared" si="821"/>
        <v/>
      </c>
      <c r="IT113" s="5" t="str">
        <f t="shared" si="822"/>
        <v/>
      </c>
      <c r="IU113" s="5" t="str">
        <f t="shared" si="823"/>
        <v/>
      </c>
      <c r="IV113" s="670" t="str">
        <f t="shared" si="824"/>
        <v/>
      </c>
      <c r="IW113" s="9" t="str">
        <f t="shared" si="825"/>
        <v/>
      </c>
      <c r="IX113" s="5" t="str">
        <f t="shared" si="826"/>
        <v/>
      </c>
      <c r="IY113" s="5" t="str">
        <f t="shared" si="827"/>
        <v/>
      </c>
      <c r="IZ113" s="5" t="str">
        <f t="shared" si="828"/>
        <v/>
      </c>
      <c r="JA113" s="705" t="str">
        <f t="shared" si="829"/>
        <v/>
      </c>
    </row>
    <row r="114" spans="1:261" ht="15" customHeight="1" x14ac:dyDescent="0.25">
      <c r="A114" s="75" t="str">
        <f t="shared" si="736"/>
        <v/>
      </c>
      <c r="B114" s="578" t="str">
        <f t="shared" si="737"/>
        <v/>
      </c>
      <c r="C114" s="572" t="str">
        <f t="shared" si="738"/>
        <v/>
      </c>
      <c r="D114" s="576" t="str">
        <f t="shared" si="739"/>
        <v/>
      </c>
      <c r="E114" s="580" t="str">
        <f t="shared" si="740"/>
        <v/>
      </c>
      <c r="F114" s="572" t="str">
        <f t="shared" si="741"/>
        <v/>
      </c>
      <c r="G114" s="579" t="str">
        <f t="shared" si="742"/>
        <v/>
      </c>
      <c r="H114" s="580" t="str">
        <f t="shared" si="743"/>
        <v/>
      </c>
      <c r="I114" s="572" t="str">
        <f t="shared" si="744"/>
        <v/>
      </c>
      <c r="J114" s="483" t="str">
        <f t="shared" si="745"/>
        <v/>
      </c>
      <c r="K114" s="806" t="str">
        <f t="shared" si="746"/>
        <v/>
      </c>
      <c r="L114" s="309"/>
      <c r="M114" s="164" t="str">
        <f t="shared" si="747"/>
        <v/>
      </c>
      <c r="N114" s="575" t="str">
        <f t="shared" si="748"/>
        <v/>
      </c>
      <c r="O114" s="572" t="str">
        <f t="shared" si="749"/>
        <v/>
      </c>
      <c r="P114" s="576" t="str">
        <f t="shared" si="750"/>
        <v/>
      </c>
      <c r="Q114" s="528" t="str">
        <f t="shared" si="609"/>
        <v/>
      </c>
      <c r="R114" s="572" t="str">
        <f t="shared" si="830"/>
        <v/>
      </c>
      <c r="S114" s="577" t="str">
        <f t="shared" si="831"/>
        <v/>
      </c>
      <c r="T114" s="578" t="str">
        <f t="shared" si="832"/>
        <v/>
      </c>
      <c r="U114" s="572" t="str">
        <f t="shared" si="833"/>
        <v/>
      </c>
      <c r="V114" s="579" t="str">
        <f t="shared" si="834"/>
        <v/>
      </c>
      <c r="W114" s="528" t="str">
        <f t="shared" si="735"/>
        <v/>
      </c>
      <c r="X114" s="572" t="str">
        <f t="shared" si="835"/>
        <v/>
      </c>
      <c r="Y114" s="573" t="str">
        <f t="shared" si="734"/>
        <v/>
      </c>
      <c r="Z114" s="575" t="str">
        <f t="shared" si="751"/>
        <v/>
      </c>
      <c r="AA114" s="572" t="str">
        <f t="shared" si="752"/>
        <v/>
      </c>
      <c r="AB114" s="572" t="str">
        <f t="shared" si="753"/>
        <v/>
      </c>
      <c r="AC114" s="579" t="str">
        <f t="shared" si="836"/>
        <v/>
      </c>
      <c r="AD114" s="580" t="str">
        <f t="shared" si="837"/>
        <v/>
      </c>
      <c r="AE114" s="572" t="str">
        <f t="shared" si="838"/>
        <v/>
      </c>
      <c r="AF114" s="576" t="str">
        <f t="shared" si="839"/>
        <v/>
      </c>
      <c r="AG114" s="545" t="str">
        <f t="shared" si="840"/>
        <v/>
      </c>
      <c r="AH114" s="546" t="str">
        <f t="shared" si="841"/>
        <v/>
      </c>
      <c r="AI114" s="528" t="str">
        <f t="shared" si="842"/>
        <v/>
      </c>
      <c r="AJ114" s="529" t="str">
        <f t="shared" si="843"/>
        <v/>
      </c>
      <c r="AK114" s="578" t="str">
        <f t="shared" si="844"/>
        <v/>
      </c>
      <c r="AL114" s="572" t="str">
        <f t="shared" si="845"/>
        <v/>
      </c>
      <c r="AM114" s="577" t="str">
        <f t="shared" si="846"/>
        <v/>
      </c>
      <c r="AN114" s="524" t="str">
        <f t="shared" si="847"/>
        <v/>
      </c>
      <c r="AO114" s="525" t="str">
        <f t="shared" si="514"/>
        <v/>
      </c>
      <c r="AP114" s="528" t="str">
        <f t="shared" si="848"/>
        <v/>
      </c>
      <c r="AQ114" s="529" t="str">
        <f t="shared" si="754"/>
        <v/>
      </c>
      <c r="AS114" s="946" t="str">
        <f t="shared" si="852"/>
        <v/>
      </c>
      <c r="AT114" s="942" t="str">
        <f t="shared" si="755"/>
        <v/>
      </c>
      <c r="AU114" s="418"/>
      <c r="AV114" s="164" t="str">
        <f t="shared" si="75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5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58"/>
        <v/>
      </c>
      <c r="BF114" s="4" t="str">
        <f t="shared" si="759"/>
        <v/>
      </c>
      <c r="BG114" s="5" t="str">
        <f t="shared" si="760"/>
        <v/>
      </c>
      <c r="BH114" s="10" t="str">
        <f t="shared" si="761"/>
        <v/>
      </c>
      <c r="BI114" s="9" t="str">
        <f t="shared" si="634"/>
        <v/>
      </c>
      <c r="BJ114" s="5" t="str">
        <f t="shared" si="762"/>
        <v/>
      </c>
      <c r="BK114" s="8" t="str">
        <f t="shared" si="763"/>
        <v/>
      </c>
      <c r="BL114" s="173" t="str">
        <f t="shared" si="764"/>
        <v/>
      </c>
      <c r="BM114" s="5" t="str">
        <f t="shared" si="765"/>
        <v/>
      </c>
      <c r="BN114" s="6" t="str">
        <f t="shared" si="766"/>
        <v/>
      </c>
      <c r="BO114" s="4" t="str">
        <f t="shared" si="635"/>
        <v/>
      </c>
      <c r="BP114" s="5" t="str">
        <f t="shared" si="636"/>
        <v/>
      </c>
      <c r="BQ114" s="5" t="str">
        <f t="shared" si="637"/>
        <v/>
      </c>
      <c r="BR114" s="6" t="str">
        <f t="shared" si="638"/>
        <v/>
      </c>
      <c r="BS114" s="4" t="str">
        <f t="shared" si="849"/>
        <v/>
      </c>
      <c r="BT114" s="5" t="str">
        <f t="shared" si="84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67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3"/>
        <v/>
      </c>
      <c r="DC114" s="5" t="str">
        <f t="shared" si="853"/>
        <v/>
      </c>
      <c r="DD114" s="10" t="str">
        <f t="shared" si="659"/>
        <v/>
      </c>
      <c r="DE114" s="9" t="str">
        <f t="shared" si="854"/>
        <v/>
      </c>
      <c r="DF114" s="5" t="str">
        <f t="shared" si="854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8"/>
        <v/>
      </c>
      <c r="ET114" s="5" t="str">
        <f t="shared" si="769"/>
        <v/>
      </c>
      <c r="EU114" s="10" t="str">
        <f t="shared" si="770"/>
        <v/>
      </c>
      <c r="EV114" s="174" t="str">
        <f t="shared" si="771"/>
        <v/>
      </c>
      <c r="EW114" s="9" t="str">
        <f t="shared" si="772"/>
        <v/>
      </c>
      <c r="EX114" s="5" t="str">
        <f t="shared" si="773"/>
        <v/>
      </c>
      <c r="EY114" s="6" t="str">
        <f t="shared" si="699"/>
        <v/>
      </c>
      <c r="EZ114" s="51" t="str">
        <f t="shared" si="700"/>
        <v/>
      </c>
      <c r="FA114" s="173" t="str">
        <f t="shared" si="774"/>
        <v/>
      </c>
      <c r="FB114" s="5" t="str">
        <f t="shared" si="775"/>
        <v/>
      </c>
      <c r="FC114" s="6" t="str">
        <f t="shared" si="776"/>
        <v/>
      </c>
      <c r="FD114" s="4" t="str">
        <f t="shared" si="777"/>
        <v/>
      </c>
      <c r="FE114" s="5" t="str">
        <f t="shared" si="778"/>
        <v/>
      </c>
      <c r="FF114" s="7" t="str">
        <f t="shared" si="701"/>
        <v/>
      </c>
      <c r="FG114" s="173" t="str">
        <f t="shared" si="779"/>
        <v/>
      </c>
      <c r="FH114" s="5" t="str">
        <f t="shared" si="780"/>
        <v/>
      </c>
      <c r="FI114" s="10" t="str">
        <f t="shared" si="781"/>
        <v/>
      </c>
      <c r="FJ114" s="279" t="str">
        <f t="shared" si="702"/>
        <v/>
      </c>
      <c r="FK114" s="4" t="str">
        <f t="shared" si="78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83"/>
        <v/>
      </c>
      <c r="FP114" s="277" t="str">
        <f t="shared" si="629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4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5"/>
        <v/>
      </c>
      <c r="GH114" s="286" t="str">
        <f t="shared" si="786"/>
        <v/>
      </c>
      <c r="GI114" s="281" t="str">
        <f t="shared" si="787"/>
        <v/>
      </c>
      <c r="GJ114" s="167" t="str">
        <f t="shared" si="718"/>
        <v/>
      </c>
      <c r="GK114" s="174" t="str">
        <f t="shared" si="788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89"/>
        <v/>
      </c>
      <c r="GT114" s="343" t="str">
        <f t="shared" si="790"/>
        <v/>
      </c>
      <c r="GU114" s="344" t="str">
        <f t="shared" si="791"/>
        <v/>
      </c>
      <c r="GV114" s="343" t="str">
        <f t="shared" si="726"/>
        <v/>
      </c>
      <c r="GW114" s="345" t="str">
        <f t="shared" si="792"/>
        <v/>
      </c>
      <c r="GX114" s="346" t="str">
        <f t="shared" si="793"/>
        <v/>
      </c>
      <c r="GY114" s="344" t="str">
        <f t="shared" si="794"/>
        <v/>
      </c>
      <c r="GZ114" s="345" t="str">
        <f t="shared" si="795"/>
        <v/>
      </c>
      <c r="HA114" s="342" t="str">
        <f t="shared" si="796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7"/>
        <v/>
      </c>
      <c r="HF114" s="5" t="str">
        <f t="shared" si="798"/>
        <v/>
      </c>
      <c r="HG114" s="343" t="str">
        <f t="shared" si="730"/>
        <v/>
      </c>
      <c r="HH114" s="349" t="str">
        <f t="shared" si="731"/>
        <v/>
      </c>
      <c r="HI114" s="317" t="str">
        <f t="shared" si="799"/>
        <v/>
      </c>
      <c r="HK114" s="310" t="str">
        <f t="shared" si="850"/>
        <v/>
      </c>
      <c r="HL114" s="348" t="str">
        <f t="shared" si="800"/>
        <v/>
      </c>
      <c r="HM114" s="923" t="str">
        <f t="shared" si="801"/>
        <v/>
      </c>
      <c r="HN114" s="924" t="str">
        <f t="shared" si="802"/>
        <v/>
      </c>
      <c r="HO114" s="925"/>
      <c r="HP114" s="926"/>
      <c r="HQ114" s="924" t="str">
        <f t="shared" si="803"/>
        <v/>
      </c>
      <c r="HR114" s="927" t="str">
        <f t="shared" si="804"/>
        <v/>
      </c>
      <c r="HS114" s="879" t="str">
        <f t="shared" si="851"/>
        <v/>
      </c>
      <c r="HT114" s="889" t="str">
        <f t="shared" si="805"/>
        <v/>
      </c>
      <c r="HU114" s="890" t="str">
        <f t="shared" si="806"/>
        <v/>
      </c>
      <c r="HV114" s="886" t="str">
        <f t="shared" si="807"/>
        <v/>
      </c>
      <c r="HW114" s="880" t="str">
        <f t="shared" si="808"/>
        <v/>
      </c>
      <c r="HX114" s="881" t="str">
        <f t="shared" si="809"/>
        <v/>
      </c>
      <c r="HY114" s="880" t="str">
        <f t="shared" si="810"/>
        <v/>
      </c>
      <c r="HZ114" s="882" t="str">
        <f t="shared" si="811"/>
        <v/>
      </c>
      <c r="IA114" s="883" t="str">
        <f t="shared" si="812"/>
        <v/>
      </c>
      <c r="IB114" s="884" t="str">
        <f t="shared" si="813"/>
        <v/>
      </c>
      <c r="IC114" s="855" t="str">
        <f t="shared" si="814"/>
        <v/>
      </c>
      <c r="ID114" s="351" t="str">
        <f t="shared" si="815"/>
        <v/>
      </c>
      <c r="IE114" s="857" t="str">
        <f t="shared" si="816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2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17"/>
        <v/>
      </c>
      <c r="IM114" s="482" t="str">
        <f t="shared" si="733"/>
        <v/>
      </c>
      <c r="IN114" s="670" t="str">
        <f t="shared" si="818"/>
        <v/>
      </c>
      <c r="IO114" s="702"/>
      <c r="IP114" s="5" t="str">
        <f t="shared" si="819"/>
        <v/>
      </c>
      <c r="IQ114" s="714"/>
      <c r="IR114" s="9" t="str">
        <f t="shared" si="820"/>
        <v/>
      </c>
      <c r="IS114" s="5" t="str">
        <f t="shared" si="821"/>
        <v/>
      </c>
      <c r="IT114" s="5" t="str">
        <f t="shared" si="822"/>
        <v/>
      </c>
      <c r="IU114" s="5" t="str">
        <f t="shared" si="823"/>
        <v/>
      </c>
      <c r="IV114" s="670" t="str">
        <f t="shared" si="824"/>
        <v/>
      </c>
      <c r="IW114" s="9" t="str">
        <f t="shared" si="825"/>
        <v/>
      </c>
      <c r="IX114" s="5" t="str">
        <f t="shared" si="826"/>
        <v/>
      </c>
      <c r="IY114" s="5" t="str">
        <f t="shared" si="827"/>
        <v/>
      </c>
      <c r="IZ114" s="5" t="str">
        <f t="shared" si="828"/>
        <v/>
      </c>
      <c r="JA114" s="705" t="str">
        <f t="shared" si="829"/>
        <v/>
      </c>
    </row>
    <row r="115" spans="1:261" ht="15" customHeight="1" x14ac:dyDescent="0.25">
      <c r="A115" s="75" t="str">
        <f t="shared" si="736"/>
        <v/>
      </c>
      <c r="B115" s="578" t="str">
        <f t="shared" si="737"/>
        <v/>
      </c>
      <c r="C115" s="572" t="str">
        <f t="shared" si="738"/>
        <v/>
      </c>
      <c r="D115" s="576" t="str">
        <f t="shared" si="739"/>
        <v/>
      </c>
      <c r="E115" s="580" t="str">
        <f t="shared" si="740"/>
        <v/>
      </c>
      <c r="F115" s="572" t="str">
        <f t="shared" si="741"/>
        <v/>
      </c>
      <c r="G115" s="579" t="str">
        <f t="shared" si="742"/>
        <v/>
      </c>
      <c r="H115" s="580" t="str">
        <f t="shared" si="743"/>
        <v/>
      </c>
      <c r="I115" s="572" t="str">
        <f t="shared" si="744"/>
        <v/>
      </c>
      <c r="J115" s="483" t="str">
        <f t="shared" si="745"/>
        <v/>
      </c>
      <c r="K115" s="806" t="str">
        <f t="shared" si="746"/>
        <v/>
      </c>
      <c r="L115" s="309"/>
      <c r="M115" s="164" t="str">
        <f t="shared" si="747"/>
        <v/>
      </c>
      <c r="N115" s="575" t="str">
        <f t="shared" si="748"/>
        <v/>
      </c>
      <c r="O115" s="572" t="str">
        <f t="shared" si="749"/>
        <v/>
      </c>
      <c r="P115" s="576" t="str">
        <f t="shared" si="750"/>
        <v/>
      </c>
      <c r="Q115" s="528" t="str">
        <f t="shared" si="609"/>
        <v/>
      </c>
      <c r="R115" s="572" t="str">
        <f t="shared" si="830"/>
        <v/>
      </c>
      <c r="S115" s="577" t="str">
        <f t="shared" si="831"/>
        <v/>
      </c>
      <c r="T115" s="578" t="str">
        <f t="shared" si="832"/>
        <v/>
      </c>
      <c r="U115" s="572" t="str">
        <f t="shared" si="833"/>
        <v/>
      </c>
      <c r="V115" s="579" t="str">
        <f t="shared" si="834"/>
        <v/>
      </c>
      <c r="W115" s="528" t="str">
        <f t="shared" si="735"/>
        <v/>
      </c>
      <c r="X115" s="572" t="str">
        <f t="shared" si="835"/>
        <v/>
      </c>
      <c r="Y115" s="573" t="str">
        <f t="shared" si="734"/>
        <v/>
      </c>
      <c r="Z115" s="575" t="str">
        <f t="shared" si="751"/>
        <v/>
      </c>
      <c r="AA115" s="572" t="str">
        <f t="shared" si="752"/>
        <v/>
      </c>
      <c r="AB115" s="572" t="str">
        <f t="shared" si="753"/>
        <v/>
      </c>
      <c r="AC115" s="579" t="str">
        <f t="shared" si="836"/>
        <v/>
      </c>
      <c r="AD115" s="580" t="str">
        <f t="shared" si="837"/>
        <v/>
      </c>
      <c r="AE115" s="572" t="str">
        <f t="shared" si="838"/>
        <v/>
      </c>
      <c r="AF115" s="576" t="str">
        <f t="shared" si="839"/>
        <v/>
      </c>
      <c r="AG115" s="545" t="str">
        <f t="shared" si="840"/>
        <v/>
      </c>
      <c r="AH115" s="546" t="str">
        <f t="shared" si="841"/>
        <v/>
      </c>
      <c r="AI115" s="528" t="str">
        <f t="shared" si="842"/>
        <v/>
      </c>
      <c r="AJ115" s="529" t="str">
        <f t="shared" si="843"/>
        <v/>
      </c>
      <c r="AK115" s="578" t="str">
        <f t="shared" si="844"/>
        <v/>
      </c>
      <c r="AL115" s="572" t="str">
        <f t="shared" si="845"/>
        <v/>
      </c>
      <c r="AM115" s="577" t="str">
        <f t="shared" si="846"/>
        <v/>
      </c>
      <c r="AN115" s="524" t="str">
        <f t="shared" si="847"/>
        <v/>
      </c>
      <c r="AO115" s="525" t="str">
        <f t="shared" si="514"/>
        <v/>
      </c>
      <c r="AP115" s="528" t="str">
        <f t="shared" si="848"/>
        <v/>
      </c>
      <c r="AQ115" s="529" t="str">
        <f t="shared" si="754"/>
        <v/>
      </c>
      <c r="AS115" s="946" t="str">
        <f t="shared" si="852"/>
        <v/>
      </c>
      <c r="AT115" s="942" t="str">
        <f t="shared" si="755"/>
        <v/>
      </c>
      <c r="AU115" s="418"/>
      <c r="AV115" s="164" t="str">
        <f t="shared" si="75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5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58"/>
        <v/>
      </c>
      <c r="BF115" s="4" t="str">
        <f t="shared" si="759"/>
        <v/>
      </c>
      <c r="BG115" s="5" t="str">
        <f t="shared" si="760"/>
        <v/>
      </c>
      <c r="BH115" s="10" t="str">
        <f t="shared" si="761"/>
        <v/>
      </c>
      <c r="BI115" s="9" t="str">
        <f t="shared" si="634"/>
        <v/>
      </c>
      <c r="BJ115" s="5" t="str">
        <f t="shared" si="762"/>
        <v/>
      </c>
      <c r="BK115" s="8" t="str">
        <f t="shared" si="763"/>
        <v/>
      </c>
      <c r="BL115" s="173" t="str">
        <f t="shared" si="764"/>
        <v/>
      </c>
      <c r="BM115" s="5" t="str">
        <f t="shared" si="765"/>
        <v/>
      </c>
      <c r="BN115" s="6" t="str">
        <f t="shared" si="766"/>
        <v/>
      </c>
      <c r="BO115" s="4" t="str">
        <f t="shared" si="635"/>
        <v/>
      </c>
      <c r="BP115" s="5" t="str">
        <f t="shared" si="636"/>
        <v/>
      </c>
      <c r="BQ115" s="5" t="str">
        <f t="shared" si="637"/>
        <v/>
      </c>
      <c r="BR115" s="6" t="str">
        <f t="shared" si="638"/>
        <v/>
      </c>
      <c r="BS115" s="4" t="str">
        <f t="shared" si="849"/>
        <v/>
      </c>
      <c r="BT115" s="5" t="str">
        <f t="shared" si="84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67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3"/>
        <v/>
      </c>
      <c r="DC115" s="5" t="str">
        <f t="shared" si="853"/>
        <v/>
      </c>
      <c r="DD115" s="10" t="str">
        <f t="shared" si="659"/>
        <v/>
      </c>
      <c r="DE115" s="9" t="str">
        <f t="shared" si="854"/>
        <v/>
      </c>
      <c r="DF115" s="5" t="str">
        <f t="shared" si="854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8"/>
        <v/>
      </c>
      <c r="ET115" s="5" t="str">
        <f t="shared" si="769"/>
        <v/>
      </c>
      <c r="EU115" s="10" t="str">
        <f t="shared" si="770"/>
        <v/>
      </c>
      <c r="EV115" s="174" t="str">
        <f t="shared" si="771"/>
        <v/>
      </c>
      <c r="EW115" s="9" t="str">
        <f t="shared" si="772"/>
        <v/>
      </c>
      <c r="EX115" s="5" t="str">
        <f t="shared" si="773"/>
        <v/>
      </c>
      <c r="EY115" s="6" t="str">
        <f t="shared" si="699"/>
        <v/>
      </c>
      <c r="EZ115" s="51" t="str">
        <f t="shared" si="700"/>
        <v/>
      </c>
      <c r="FA115" s="173" t="str">
        <f t="shared" si="774"/>
        <v/>
      </c>
      <c r="FB115" s="5" t="str">
        <f t="shared" si="775"/>
        <v/>
      </c>
      <c r="FC115" s="6" t="str">
        <f t="shared" si="776"/>
        <v/>
      </c>
      <c r="FD115" s="4" t="str">
        <f t="shared" si="777"/>
        <v/>
      </c>
      <c r="FE115" s="5" t="str">
        <f t="shared" si="778"/>
        <v/>
      </c>
      <c r="FF115" s="7" t="str">
        <f t="shared" si="701"/>
        <v/>
      </c>
      <c r="FG115" s="173" t="str">
        <f t="shared" si="779"/>
        <v/>
      </c>
      <c r="FH115" s="5" t="str">
        <f t="shared" si="780"/>
        <v/>
      </c>
      <c r="FI115" s="10" t="str">
        <f t="shared" si="781"/>
        <v/>
      </c>
      <c r="FJ115" s="279" t="str">
        <f t="shared" si="702"/>
        <v/>
      </c>
      <c r="FK115" s="4" t="str">
        <f t="shared" si="78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83"/>
        <v/>
      </c>
      <c r="FP115" s="277" t="str">
        <f t="shared" si="629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4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5"/>
        <v/>
      </c>
      <c r="GH115" s="286" t="str">
        <f t="shared" si="786"/>
        <v/>
      </c>
      <c r="GI115" s="281" t="str">
        <f t="shared" si="787"/>
        <v/>
      </c>
      <c r="GJ115" s="167" t="str">
        <f t="shared" si="718"/>
        <v/>
      </c>
      <c r="GK115" s="174" t="str">
        <f t="shared" si="788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89"/>
        <v/>
      </c>
      <c r="GT115" s="343" t="str">
        <f t="shared" si="790"/>
        <v/>
      </c>
      <c r="GU115" s="344" t="str">
        <f t="shared" si="791"/>
        <v/>
      </c>
      <c r="GV115" s="343" t="str">
        <f t="shared" si="726"/>
        <v/>
      </c>
      <c r="GW115" s="345" t="str">
        <f t="shared" si="792"/>
        <v/>
      </c>
      <c r="GX115" s="346" t="str">
        <f t="shared" si="793"/>
        <v/>
      </c>
      <c r="GY115" s="344" t="str">
        <f t="shared" si="794"/>
        <v/>
      </c>
      <c r="GZ115" s="345" t="str">
        <f t="shared" si="795"/>
        <v/>
      </c>
      <c r="HA115" s="342" t="str">
        <f t="shared" si="796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7"/>
        <v/>
      </c>
      <c r="HF115" s="5" t="str">
        <f t="shared" si="798"/>
        <v/>
      </c>
      <c r="HG115" s="343" t="str">
        <f t="shared" si="730"/>
        <v/>
      </c>
      <c r="HH115" s="349" t="str">
        <f t="shared" si="731"/>
        <v/>
      </c>
      <c r="HI115" s="317" t="str">
        <f t="shared" si="799"/>
        <v/>
      </c>
      <c r="HK115" s="310" t="str">
        <f t="shared" si="850"/>
        <v/>
      </c>
      <c r="HL115" s="348" t="str">
        <f t="shared" si="800"/>
        <v/>
      </c>
      <c r="HM115" s="923" t="str">
        <f t="shared" si="801"/>
        <v/>
      </c>
      <c r="HN115" s="924" t="str">
        <f t="shared" si="802"/>
        <v/>
      </c>
      <c r="HO115" s="925"/>
      <c r="HP115" s="926"/>
      <c r="HQ115" s="924" t="str">
        <f t="shared" si="803"/>
        <v/>
      </c>
      <c r="HR115" s="927" t="str">
        <f t="shared" si="804"/>
        <v/>
      </c>
      <c r="HS115" s="879" t="str">
        <f t="shared" si="851"/>
        <v/>
      </c>
      <c r="HT115" s="889" t="str">
        <f t="shared" si="805"/>
        <v/>
      </c>
      <c r="HU115" s="890" t="str">
        <f t="shared" si="806"/>
        <v/>
      </c>
      <c r="HV115" s="886" t="str">
        <f t="shared" si="807"/>
        <v/>
      </c>
      <c r="HW115" s="880" t="str">
        <f t="shared" si="808"/>
        <v/>
      </c>
      <c r="HX115" s="881" t="str">
        <f t="shared" si="809"/>
        <v/>
      </c>
      <c r="HY115" s="880" t="str">
        <f t="shared" si="810"/>
        <v/>
      </c>
      <c r="HZ115" s="882" t="str">
        <f t="shared" si="811"/>
        <v/>
      </c>
      <c r="IA115" s="883" t="str">
        <f t="shared" si="812"/>
        <v/>
      </c>
      <c r="IB115" s="884" t="str">
        <f t="shared" si="813"/>
        <v/>
      </c>
      <c r="IC115" s="855" t="str">
        <f t="shared" si="814"/>
        <v/>
      </c>
      <c r="ID115" s="351" t="str">
        <f t="shared" si="815"/>
        <v/>
      </c>
      <c r="IE115" s="857" t="str">
        <f t="shared" si="816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2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17"/>
        <v/>
      </c>
      <c r="IM115" s="482" t="str">
        <f t="shared" si="733"/>
        <v/>
      </c>
      <c r="IN115" s="670" t="str">
        <f t="shared" si="818"/>
        <v/>
      </c>
      <c r="IO115" s="702"/>
      <c r="IP115" s="5" t="str">
        <f t="shared" si="819"/>
        <v/>
      </c>
      <c r="IQ115" s="714"/>
      <c r="IR115" s="9" t="str">
        <f t="shared" si="820"/>
        <v/>
      </c>
      <c r="IS115" s="5" t="str">
        <f t="shared" si="821"/>
        <v/>
      </c>
      <c r="IT115" s="5" t="str">
        <f t="shared" si="822"/>
        <v/>
      </c>
      <c r="IU115" s="5" t="str">
        <f t="shared" si="823"/>
        <v/>
      </c>
      <c r="IV115" s="670" t="str">
        <f t="shared" si="824"/>
        <v/>
      </c>
      <c r="IW115" s="9" t="str">
        <f t="shared" si="825"/>
        <v/>
      </c>
      <c r="IX115" s="5" t="str">
        <f t="shared" si="826"/>
        <v/>
      </c>
      <c r="IY115" s="5" t="str">
        <f t="shared" si="827"/>
        <v/>
      </c>
      <c r="IZ115" s="5" t="str">
        <f t="shared" si="828"/>
        <v/>
      </c>
      <c r="JA115" s="705" t="str">
        <f t="shared" si="829"/>
        <v/>
      </c>
    </row>
    <row r="116" spans="1:261" ht="15" customHeight="1" x14ac:dyDescent="0.25">
      <c r="A116" s="75" t="str">
        <f t="shared" si="736"/>
        <v/>
      </c>
      <c r="B116" s="578" t="str">
        <f t="shared" si="737"/>
        <v/>
      </c>
      <c r="C116" s="572" t="str">
        <f t="shared" si="738"/>
        <v/>
      </c>
      <c r="D116" s="576" t="str">
        <f t="shared" si="739"/>
        <v/>
      </c>
      <c r="E116" s="580" t="str">
        <f t="shared" si="740"/>
        <v/>
      </c>
      <c r="F116" s="572" t="str">
        <f t="shared" si="741"/>
        <v/>
      </c>
      <c r="G116" s="579" t="str">
        <f t="shared" si="742"/>
        <v/>
      </c>
      <c r="H116" s="580" t="str">
        <f t="shared" si="743"/>
        <v/>
      </c>
      <c r="I116" s="572" t="str">
        <f t="shared" si="744"/>
        <v/>
      </c>
      <c r="J116" s="483" t="str">
        <f t="shared" si="745"/>
        <v/>
      </c>
      <c r="K116" s="806" t="str">
        <f t="shared" si="746"/>
        <v/>
      </c>
      <c r="L116" s="309"/>
      <c r="M116" s="164" t="str">
        <f t="shared" si="747"/>
        <v/>
      </c>
      <c r="N116" s="575" t="str">
        <f t="shared" si="748"/>
        <v/>
      </c>
      <c r="O116" s="572" t="str">
        <f t="shared" si="749"/>
        <v/>
      </c>
      <c r="P116" s="576" t="str">
        <f t="shared" si="750"/>
        <v/>
      </c>
      <c r="Q116" s="528" t="str">
        <f t="shared" si="609"/>
        <v/>
      </c>
      <c r="R116" s="572" t="str">
        <f t="shared" si="830"/>
        <v/>
      </c>
      <c r="S116" s="577" t="str">
        <f t="shared" si="831"/>
        <v/>
      </c>
      <c r="T116" s="578" t="str">
        <f t="shared" si="832"/>
        <v/>
      </c>
      <c r="U116" s="572" t="str">
        <f t="shared" si="833"/>
        <v/>
      </c>
      <c r="V116" s="579" t="str">
        <f t="shared" si="834"/>
        <v/>
      </c>
      <c r="W116" s="528" t="str">
        <f t="shared" si="735"/>
        <v/>
      </c>
      <c r="X116" s="572" t="str">
        <f t="shared" si="835"/>
        <v/>
      </c>
      <c r="Y116" s="573" t="str">
        <f t="shared" si="734"/>
        <v/>
      </c>
      <c r="Z116" s="575" t="str">
        <f t="shared" si="751"/>
        <v/>
      </c>
      <c r="AA116" s="572" t="str">
        <f t="shared" si="752"/>
        <v/>
      </c>
      <c r="AB116" s="572" t="str">
        <f t="shared" si="753"/>
        <v/>
      </c>
      <c r="AC116" s="579" t="str">
        <f t="shared" si="836"/>
        <v/>
      </c>
      <c r="AD116" s="580" t="str">
        <f t="shared" si="837"/>
        <v/>
      </c>
      <c r="AE116" s="572" t="str">
        <f t="shared" si="838"/>
        <v/>
      </c>
      <c r="AF116" s="576" t="str">
        <f t="shared" si="839"/>
        <v/>
      </c>
      <c r="AG116" s="545" t="str">
        <f t="shared" si="840"/>
        <v/>
      </c>
      <c r="AH116" s="546" t="str">
        <f t="shared" si="841"/>
        <v/>
      </c>
      <c r="AI116" s="528" t="str">
        <f t="shared" si="842"/>
        <v/>
      </c>
      <c r="AJ116" s="529" t="str">
        <f t="shared" si="843"/>
        <v/>
      </c>
      <c r="AK116" s="578" t="str">
        <f t="shared" si="844"/>
        <v/>
      </c>
      <c r="AL116" s="572" t="str">
        <f t="shared" si="845"/>
        <v/>
      </c>
      <c r="AM116" s="577" t="str">
        <f t="shared" si="846"/>
        <v/>
      </c>
      <c r="AN116" s="524" t="str">
        <f t="shared" si="847"/>
        <v/>
      </c>
      <c r="AO116" s="525" t="str">
        <f t="shared" si="514"/>
        <v/>
      </c>
      <c r="AP116" s="528" t="str">
        <f t="shared" si="848"/>
        <v/>
      </c>
      <c r="AQ116" s="529" t="str">
        <f t="shared" si="754"/>
        <v/>
      </c>
      <c r="AS116" s="946" t="str">
        <f t="shared" si="852"/>
        <v/>
      </c>
      <c r="AT116" s="942" t="str">
        <f t="shared" si="755"/>
        <v/>
      </c>
      <c r="AU116" s="418"/>
      <c r="AV116" s="164" t="str">
        <f t="shared" si="75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5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58"/>
        <v/>
      </c>
      <c r="BF116" s="4" t="str">
        <f t="shared" si="759"/>
        <v/>
      </c>
      <c r="BG116" s="5" t="str">
        <f t="shared" si="760"/>
        <v/>
      </c>
      <c r="BH116" s="10" t="str">
        <f t="shared" si="761"/>
        <v/>
      </c>
      <c r="BI116" s="9" t="str">
        <f t="shared" si="634"/>
        <v/>
      </c>
      <c r="BJ116" s="5" t="str">
        <f t="shared" si="762"/>
        <v/>
      </c>
      <c r="BK116" s="8" t="str">
        <f t="shared" si="763"/>
        <v/>
      </c>
      <c r="BL116" s="173" t="str">
        <f t="shared" si="764"/>
        <v/>
      </c>
      <c r="BM116" s="5" t="str">
        <f t="shared" si="765"/>
        <v/>
      </c>
      <c r="BN116" s="6" t="str">
        <f t="shared" si="766"/>
        <v/>
      </c>
      <c r="BO116" s="4" t="str">
        <f t="shared" si="635"/>
        <v/>
      </c>
      <c r="BP116" s="5" t="str">
        <f t="shared" si="636"/>
        <v/>
      </c>
      <c r="BQ116" s="5" t="str">
        <f t="shared" si="637"/>
        <v/>
      </c>
      <c r="BR116" s="6" t="str">
        <f t="shared" si="638"/>
        <v/>
      </c>
      <c r="BS116" s="4" t="str">
        <f t="shared" si="849"/>
        <v/>
      </c>
      <c r="BT116" s="5" t="str">
        <f t="shared" si="84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67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3"/>
        <v/>
      </c>
      <c r="DC116" s="5" t="str">
        <f t="shared" si="853"/>
        <v/>
      </c>
      <c r="DD116" s="10" t="str">
        <f t="shared" si="659"/>
        <v/>
      </c>
      <c r="DE116" s="9" t="str">
        <f t="shared" si="854"/>
        <v/>
      </c>
      <c r="DF116" s="5" t="str">
        <f t="shared" si="854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8"/>
        <v/>
      </c>
      <c r="ET116" s="5" t="str">
        <f t="shared" si="769"/>
        <v/>
      </c>
      <c r="EU116" s="10" t="str">
        <f t="shared" si="770"/>
        <v/>
      </c>
      <c r="EV116" s="174" t="str">
        <f t="shared" si="771"/>
        <v/>
      </c>
      <c r="EW116" s="9" t="str">
        <f t="shared" si="772"/>
        <v/>
      </c>
      <c r="EX116" s="5" t="str">
        <f t="shared" si="773"/>
        <v/>
      </c>
      <c r="EY116" s="6" t="str">
        <f t="shared" si="699"/>
        <v/>
      </c>
      <c r="EZ116" s="51" t="str">
        <f t="shared" si="700"/>
        <v/>
      </c>
      <c r="FA116" s="173" t="str">
        <f t="shared" si="774"/>
        <v/>
      </c>
      <c r="FB116" s="5" t="str">
        <f t="shared" si="775"/>
        <v/>
      </c>
      <c r="FC116" s="6" t="str">
        <f t="shared" si="776"/>
        <v/>
      </c>
      <c r="FD116" s="4" t="str">
        <f t="shared" si="777"/>
        <v/>
      </c>
      <c r="FE116" s="5" t="str">
        <f t="shared" si="778"/>
        <v/>
      </c>
      <c r="FF116" s="7" t="str">
        <f t="shared" si="701"/>
        <v/>
      </c>
      <c r="FG116" s="173" t="str">
        <f t="shared" si="779"/>
        <v/>
      </c>
      <c r="FH116" s="5" t="str">
        <f t="shared" si="780"/>
        <v/>
      </c>
      <c r="FI116" s="10" t="str">
        <f t="shared" si="781"/>
        <v/>
      </c>
      <c r="FJ116" s="279" t="str">
        <f t="shared" si="702"/>
        <v/>
      </c>
      <c r="FK116" s="4" t="str">
        <f t="shared" si="78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83"/>
        <v/>
      </c>
      <c r="FP116" s="277" t="str">
        <f t="shared" si="629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4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5"/>
        <v/>
      </c>
      <c r="GH116" s="286" t="str">
        <f t="shared" si="786"/>
        <v/>
      </c>
      <c r="GI116" s="281" t="str">
        <f t="shared" si="787"/>
        <v/>
      </c>
      <c r="GJ116" s="167" t="str">
        <f t="shared" si="718"/>
        <v/>
      </c>
      <c r="GK116" s="174" t="str">
        <f t="shared" si="788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89"/>
        <v/>
      </c>
      <c r="GT116" s="343" t="str">
        <f t="shared" si="790"/>
        <v/>
      </c>
      <c r="GU116" s="344" t="str">
        <f t="shared" si="791"/>
        <v/>
      </c>
      <c r="GV116" s="343" t="str">
        <f t="shared" si="726"/>
        <v/>
      </c>
      <c r="GW116" s="345" t="str">
        <f t="shared" si="792"/>
        <v/>
      </c>
      <c r="GX116" s="346" t="str">
        <f t="shared" si="793"/>
        <v/>
      </c>
      <c r="GY116" s="344" t="str">
        <f t="shared" si="794"/>
        <v/>
      </c>
      <c r="GZ116" s="345" t="str">
        <f t="shared" si="795"/>
        <v/>
      </c>
      <c r="HA116" s="342" t="str">
        <f t="shared" si="796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7"/>
        <v/>
      </c>
      <c r="HF116" s="5" t="str">
        <f t="shared" si="798"/>
        <v/>
      </c>
      <c r="HG116" s="343" t="str">
        <f t="shared" si="730"/>
        <v/>
      </c>
      <c r="HH116" s="349" t="str">
        <f t="shared" si="731"/>
        <v/>
      </c>
      <c r="HI116" s="317" t="str">
        <f t="shared" si="799"/>
        <v/>
      </c>
      <c r="HK116" s="310" t="str">
        <f t="shared" si="850"/>
        <v/>
      </c>
      <c r="HL116" s="348" t="str">
        <f t="shared" si="800"/>
        <v/>
      </c>
      <c r="HM116" s="923" t="str">
        <f t="shared" si="801"/>
        <v/>
      </c>
      <c r="HN116" s="924" t="str">
        <f t="shared" si="802"/>
        <v/>
      </c>
      <c r="HO116" s="925"/>
      <c r="HP116" s="926"/>
      <c r="HQ116" s="924" t="str">
        <f t="shared" si="803"/>
        <v/>
      </c>
      <c r="HR116" s="927" t="str">
        <f t="shared" si="804"/>
        <v/>
      </c>
      <c r="HS116" s="879" t="str">
        <f t="shared" si="851"/>
        <v/>
      </c>
      <c r="HT116" s="889" t="str">
        <f t="shared" si="805"/>
        <v/>
      </c>
      <c r="HU116" s="890" t="str">
        <f t="shared" si="806"/>
        <v/>
      </c>
      <c r="HV116" s="886" t="str">
        <f t="shared" si="807"/>
        <v/>
      </c>
      <c r="HW116" s="880" t="str">
        <f t="shared" si="808"/>
        <v/>
      </c>
      <c r="HX116" s="881" t="str">
        <f t="shared" si="809"/>
        <v/>
      </c>
      <c r="HY116" s="880" t="str">
        <f t="shared" si="810"/>
        <v/>
      </c>
      <c r="HZ116" s="882" t="str">
        <f t="shared" si="811"/>
        <v/>
      </c>
      <c r="IA116" s="883" t="str">
        <f t="shared" si="812"/>
        <v/>
      </c>
      <c r="IB116" s="884" t="str">
        <f t="shared" si="813"/>
        <v/>
      </c>
      <c r="IC116" s="855" t="str">
        <f t="shared" si="814"/>
        <v/>
      </c>
      <c r="ID116" s="351" t="str">
        <f t="shared" si="815"/>
        <v/>
      </c>
      <c r="IE116" s="857" t="str">
        <f t="shared" si="816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2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17"/>
        <v/>
      </c>
      <c r="IM116" s="482" t="str">
        <f t="shared" si="733"/>
        <v/>
      </c>
      <c r="IN116" s="670" t="str">
        <f t="shared" si="818"/>
        <v/>
      </c>
      <c r="IO116" s="702"/>
      <c r="IP116" s="5" t="str">
        <f t="shared" si="819"/>
        <v/>
      </c>
      <c r="IQ116" s="714"/>
      <c r="IR116" s="9" t="str">
        <f t="shared" si="820"/>
        <v/>
      </c>
      <c r="IS116" s="5" t="str">
        <f t="shared" si="821"/>
        <v/>
      </c>
      <c r="IT116" s="5" t="str">
        <f t="shared" si="822"/>
        <v/>
      </c>
      <c r="IU116" s="5" t="str">
        <f t="shared" si="823"/>
        <v/>
      </c>
      <c r="IV116" s="670" t="str">
        <f t="shared" si="824"/>
        <v/>
      </c>
      <c r="IW116" s="9" t="str">
        <f t="shared" si="825"/>
        <v/>
      </c>
      <c r="IX116" s="5" t="str">
        <f t="shared" si="826"/>
        <v/>
      </c>
      <c r="IY116" s="5" t="str">
        <f t="shared" si="827"/>
        <v/>
      </c>
      <c r="IZ116" s="5" t="str">
        <f t="shared" si="828"/>
        <v/>
      </c>
      <c r="JA116" s="705" t="str">
        <f t="shared" si="829"/>
        <v/>
      </c>
    </row>
    <row r="117" spans="1:261" ht="15" customHeight="1" x14ac:dyDescent="0.25">
      <c r="A117" s="75" t="str">
        <f t="shared" si="736"/>
        <v/>
      </c>
      <c r="B117" s="578" t="str">
        <f t="shared" si="737"/>
        <v/>
      </c>
      <c r="C117" s="572" t="str">
        <f t="shared" si="738"/>
        <v/>
      </c>
      <c r="D117" s="576" t="str">
        <f t="shared" si="739"/>
        <v/>
      </c>
      <c r="E117" s="580" t="str">
        <f t="shared" si="740"/>
        <v/>
      </c>
      <c r="F117" s="572" t="str">
        <f t="shared" si="741"/>
        <v/>
      </c>
      <c r="G117" s="579" t="str">
        <f t="shared" si="742"/>
        <v/>
      </c>
      <c r="H117" s="580" t="str">
        <f t="shared" si="743"/>
        <v/>
      </c>
      <c r="I117" s="572" t="str">
        <f t="shared" si="744"/>
        <v/>
      </c>
      <c r="J117" s="483" t="str">
        <f t="shared" si="745"/>
        <v/>
      </c>
      <c r="K117" s="806" t="str">
        <f t="shared" si="746"/>
        <v/>
      </c>
      <c r="L117" s="309"/>
      <c r="M117" s="164" t="str">
        <f t="shared" si="747"/>
        <v/>
      </c>
      <c r="N117" s="575" t="str">
        <f t="shared" si="748"/>
        <v/>
      </c>
      <c r="O117" s="572" t="str">
        <f t="shared" si="749"/>
        <v/>
      </c>
      <c r="P117" s="576" t="str">
        <f t="shared" si="750"/>
        <v/>
      </c>
      <c r="Q117" s="528" t="str">
        <f t="shared" si="609"/>
        <v/>
      </c>
      <c r="R117" s="572" t="str">
        <f t="shared" si="830"/>
        <v/>
      </c>
      <c r="S117" s="577" t="str">
        <f t="shared" si="831"/>
        <v/>
      </c>
      <c r="T117" s="578" t="str">
        <f t="shared" si="832"/>
        <v/>
      </c>
      <c r="U117" s="572" t="str">
        <f t="shared" si="833"/>
        <v/>
      </c>
      <c r="V117" s="579" t="str">
        <f t="shared" si="834"/>
        <v/>
      </c>
      <c r="W117" s="528" t="str">
        <f t="shared" si="735"/>
        <v/>
      </c>
      <c r="X117" s="572" t="str">
        <f t="shared" si="835"/>
        <v/>
      </c>
      <c r="Y117" s="573" t="str">
        <f t="shared" si="734"/>
        <v/>
      </c>
      <c r="Z117" s="575" t="str">
        <f t="shared" si="751"/>
        <v/>
      </c>
      <c r="AA117" s="572" t="str">
        <f t="shared" si="752"/>
        <v/>
      </c>
      <c r="AB117" s="572" t="str">
        <f t="shared" si="753"/>
        <v/>
      </c>
      <c r="AC117" s="579" t="str">
        <f t="shared" si="836"/>
        <v/>
      </c>
      <c r="AD117" s="580" t="str">
        <f t="shared" si="837"/>
        <v/>
      </c>
      <c r="AE117" s="572" t="str">
        <f t="shared" si="838"/>
        <v/>
      </c>
      <c r="AF117" s="576" t="str">
        <f t="shared" si="839"/>
        <v/>
      </c>
      <c r="AG117" s="545" t="str">
        <f t="shared" si="840"/>
        <v/>
      </c>
      <c r="AH117" s="546" t="str">
        <f t="shared" si="841"/>
        <v/>
      </c>
      <c r="AI117" s="528" t="str">
        <f t="shared" si="842"/>
        <v/>
      </c>
      <c r="AJ117" s="529" t="str">
        <f t="shared" si="843"/>
        <v/>
      </c>
      <c r="AK117" s="578" t="str">
        <f t="shared" si="844"/>
        <v/>
      </c>
      <c r="AL117" s="572" t="str">
        <f t="shared" si="845"/>
        <v/>
      </c>
      <c r="AM117" s="577" t="str">
        <f t="shared" si="846"/>
        <v/>
      </c>
      <c r="AN117" s="524" t="str">
        <f t="shared" si="847"/>
        <v/>
      </c>
      <c r="AO117" s="525" t="str">
        <f t="shared" si="514"/>
        <v/>
      </c>
      <c r="AP117" s="528" t="str">
        <f t="shared" si="848"/>
        <v/>
      </c>
      <c r="AQ117" s="529" t="str">
        <f t="shared" si="754"/>
        <v/>
      </c>
      <c r="AS117" s="946" t="str">
        <f t="shared" si="852"/>
        <v/>
      </c>
      <c r="AT117" s="942" t="str">
        <f t="shared" si="755"/>
        <v/>
      </c>
      <c r="AU117" s="418"/>
      <c r="AV117" s="164" t="str">
        <f t="shared" si="75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5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58"/>
        <v/>
      </c>
      <c r="BF117" s="4" t="str">
        <f t="shared" si="759"/>
        <v/>
      </c>
      <c r="BG117" s="5" t="str">
        <f t="shared" si="760"/>
        <v/>
      </c>
      <c r="BH117" s="10" t="str">
        <f t="shared" si="761"/>
        <v/>
      </c>
      <c r="BI117" s="9" t="str">
        <f t="shared" si="634"/>
        <v/>
      </c>
      <c r="BJ117" s="5" t="str">
        <f t="shared" si="762"/>
        <v/>
      </c>
      <c r="BK117" s="8" t="str">
        <f t="shared" si="763"/>
        <v/>
      </c>
      <c r="BL117" s="173" t="str">
        <f t="shared" si="764"/>
        <v/>
      </c>
      <c r="BM117" s="5" t="str">
        <f t="shared" si="765"/>
        <v/>
      </c>
      <c r="BN117" s="6" t="str">
        <f t="shared" si="766"/>
        <v/>
      </c>
      <c r="BO117" s="4" t="str">
        <f t="shared" si="635"/>
        <v/>
      </c>
      <c r="BP117" s="5" t="str">
        <f t="shared" si="636"/>
        <v/>
      </c>
      <c r="BQ117" s="5" t="str">
        <f t="shared" si="637"/>
        <v/>
      </c>
      <c r="BR117" s="6" t="str">
        <f t="shared" si="638"/>
        <v/>
      </c>
      <c r="BS117" s="4" t="str">
        <f t="shared" si="849"/>
        <v/>
      </c>
      <c r="BT117" s="5" t="str">
        <f t="shared" si="84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67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3"/>
        <v/>
      </c>
      <c r="DC117" s="5" t="str">
        <f t="shared" si="853"/>
        <v/>
      </c>
      <c r="DD117" s="10" t="str">
        <f t="shared" si="659"/>
        <v/>
      </c>
      <c r="DE117" s="9" t="str">
        <f t="shared" si="854"/>
        <v/>
      </c>
      <c r="DF117" s="5" t="str">
        <f t="shared" si="854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8"/>
        <v/>
      </c>
      <c r="ET117" s="5" t="str">
        <f t="shared" si="769"/>
        <v/>
      </c>
      <c r="EU117" s="10" t="str">
        <f t="shared" si="770"/>
        <v/>
      </c>
      <c r="EV117" s="174" t="str">
        <f t="shared" si="771"/>
        <v/>
      </c>
      <c r="EW117" s="9" t="str">
        <f t="shared" si="772"/>
        <v/>
      </c>
      <c r="EX117" s="5" t="str">
        <f t="shared" si="773"/>
        <v/>
      </c>
      <c r="EY117" s="6" t="str">
        <f t="shared" si="699"/>
        <v/>
      </c>
      <c r="EZ117" s="51" t="str">
        <f t="shared" si="700"/>
        <v/>
      </c>
      <c r="FA117" s="173" t="str">
        <f t="shared" si="774"/>
        <v/>
      </c>
      <c r="FB117" s="5" t="str">
        <f t="shared" si="775"/>
        <v/>
      </c>
      <c r="FC117" s="6" t="str">
        <f t="shared" si="776"/>
        <v/>
      </c>
      <c r="FD117" s="4" t="str">
        <f t="shared" si="777"/>
        <v/>
      </c>
      <c r="FE117" s="5" t="str">
        <f t="shared" si="778"/>
        <v/>
      </c>
      <c r="FF117" s="7" t="str">
        <f t="shared" si="701"/>
        <v/>
      </c>
      <c r="FG117" s="173" t="str">
        <f t="shared" si="779"/>
        <v/>
      </c>
      <c r="FH117" s="5" t="str">
        <f t="shared" si="780"/>
        <v/>
      </c>
      <c r="FI117" s="10" t="str">
        <f t="shared" si="781"/>
        <v/>
      </c>
      <c r="FJ117" s="279" t="str">
        <f t="shared" si="702"/>
        <v/>
      </c>
      <c r="FK117" s="4" t="str">
        <f t="shared" si="78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83"/>
        <v/>
      </c>
      <c r="FP117" s="277" t="str">
        <f t="shared" si="629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4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5"/>
        <v/>
      </c>
      <c r="GH117" s="286" t="str">
        <f t="shared" si="786"/>
        <v/>
      </c>
      <c r="GI117" s="281" t="str">
        <f t="shared" si="787"/>
        <v/>
      </c>
      <c r="GJ117" s="167" t="str">
        <f t="shared" si="718"/>
        <v/>
      </c>
      <c r="GK117" s="174" t="str">
        <f t="shared" si="788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89"/>
        <v/>
      </c>
      <c r="GT117" s="343" t="str">
        <f t="shared" si="790"/>
        <v/>
      </c>
      <c r="GU117" s="344" t="str">
        <f t="shared" si="791"/>
        <v/>
      </c>
      <c r="GV117" s="343" t="str">
        <f t="shared" si="726"/>
        <v/>
      </c>
      <c r="GW117" s="345" t="str">
        <f t="shared" si="792"/>
        <v/>
      </c>
      <c r="GX117" s="346" t="str">
        <f t="shared" si="793"/>
        <v/>
      </c>
      <c r="GY117" s="344" t="str">
        <f t="shared" si="794"/>
        <v/>
      </c>
      <c r="GZ117" s="345" t="str">
        <f t="shared" si="795"/>
        <v/>
      </c>
      <c r="HA117" s="342" t="str">
        <f t="shared" si="796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7"/>
        <v/>
      </c>
      <c r="HF117" s="5" t="str">
        <f t="shared" si="798"/>
        <v/>
      </c>
      <c r="HG117" s="343" t="str">
        <f t="shared" si="730"/>
        <v/>
      </c>
      <c r="HH117" s="349" t="str">
        <f t="shared" si="731"/>
        <v/>
      </c>
      <c r="HI117" s="317" t="str">
        <f t="shared" si="799"/>
        <v/>
      </c>
      <c r="HK117" s="310" t="str">
        <f t="shared" si="850"/>
        <v/>
      </c>
      <c r="HL117" s="348" t="str">
        <f t="shared" si="800"/>
        <v/>
      </c>
      <c r="HM117" s="923" t="str">
        <f t="shared" si="801"/>
        <v/>
      </c>
      <c r="HN117" s="924" t="str">
        <f t="shared" si="802"/>
        <v/>
      </c>
      <c r="HO117" s="925"/>
      <c r="HP117" s="926"/>
      <c r="HQ117" s="924" t="str">
        <f t="shared" si="803"/>
        <v/>
      </c>
      <c r="HR117" s="927" t="str">
        <f t="shared" si="804"/>
        <v/>
      </c>
      <c r="HS117" s="879" t="str">
        <f t="shared" si="851"/>
        <v/>
      </c>
      <c r="HT117" s="889" t="str">
        <f t="shared" si="805"/>
        <v/>
      </c>
      <c r="HU117" s="890" t="str">
        <f t="shared" si="806"/>
        <v/>
      </c>
      <c r="HV117" s="886" t="str">
        <f t="shared" si="807"/>
        <v/>
      </c>
      <c r="HW117" s="880" t="str">
        <f t="shared" si="808"/>
        <v/>
      </c>
      <c r="HX117" s="881" t="str">
        <f t="shared" si="809"/>
        <v/>
      </c>
      <c r="HY117" s="880" t="str">
        <f t="shared" si="810"/>
        <v/>
      </c>
      <c r="HZ117" s="882" t="str">
        <f t="shared" si="811"/>
        <v/>
      </c>
      <c r="IA117" s="883" t="str">
        <f t="shared" si="812"/>
        <v/>
      </c>
      <c r="IB117" s="884" t="str">
        <f t="shared" si="813"/>
        <v/>
      </c>
      <c r="IC117" s="855" t="str">
        <f t="shared" si="814"/>
        <v/>
      </c>
      <c r="ID117" s="351" t="str">
        <f t="shared" si="815"/>
        <v/>
      </c>
      <c r="IE117" s="857" t="str">
        <f t="shared" si="816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2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17"/>
        <v/>
      </c>
      <c r="IM117" s="482" t="str">
        <f t="shared" si="733"/>
        <v/>
      </c>
      <c r="IN117" s="670" t="str">
        <f t="shared" si="818"/>
        <v/>
      </c>
      <c r="IO117" s="702"/>
      <c r="IP117" s="5" t="str">
        <f t="shared" si="819"/>
        <v/>
      </c>
      <c r="IQ117" s="714"/>
      <c r="IR117" s="9" t="str">
        <f t="shared" si="820"/>
        <v/>
      </c>
      <c r="IS117" s="5" t="str">
        <f t="shared" si="821"/>
        <v/>
      </c>
      <c r="IT117" s="5" t="str">
        <f t="shared" si="822"/>
        <v/>
      </c>
      <c r="IU117" s="5" t="str">
        <f t="shared" si="823"/>
        <v/>
      </c>
      <c r="IV117" s="670" t="str">
        <f t="shared" si="824"/>
        <v/>
      </c>
      <c r="IW117" s="9" t="str">
        <f t="shared" si="825"/>
        <v/>
      </c>
      <c r="IX117" s="5" t="str">
        <f t="shared" si="826"/>
        <v/>
      </c>
      <c r="IY117" s="5" t="str">
        <f t="shared" si="827"/>
        <v/>
      </c>
      <c r="IZ117" s="5" t="str">
        <f t="shared" si="828"/>
        <v/>
      </c>
      <c r="JA117" s="705" t="str">
        <f t="shared" si="829"/>
        <v/>
      </c>
    </row>
    <row r="118" spans="1:261" ht="15" customHeight="1" x14ac:dyDescent="0.25">
      <c r="A118" s="75" t="str">
        <f t="shared" si="736"/>
        <v/>
      </c>
      <c r="B118" s="578" t="str">
        <f t="shared" si="737"/>
        <v/>
      </c>
      <c r="C118" s="572" t="str">
        <f t="shared" si="738"/>
        <v/>
      </c>
      <c r="D118" s="576" t="str">
        <f t="shared" si="739"/>
        <v/>
      </c>
      <c r="E118" s="580" t="str">
        <f t="shared" si="740"/>
        <v/>
      </c>
      <c r="F118" s="572" t="str">
        <f t="shared" si="741"/>
        <v/>
      </c>
      <c r="G118" s="579" t="str">
        <f t="shared" si="742"/>
        <v/>
      </c>
      <c r="H118" s="580" t="str">
        <f t="shared" si="743"/>
        <v/>
      </c>
      <c r="I118" s="572" t="str">
        <f t="shared" si="744"/>
        <v/>
      </c>
      <c r="J118" s="483" t="str">
        <f t="shared" si="745"/>
        <v/>
      </c>
      <c r="K118" s="806" t="str">
        <f t="shared" si="746"/>
        <v/>
      </c>
      <c r="L118" s="309"/>
      <c r="M118" s="164" t="str">
        <f t="shared" si="747"/>
        <v/>
      </c>
      <c r="N118" s="575" t="str">
        <f t="shared" si="748"/>
        <v/>
      </c>
      <c r="O118" s="572" t="str">
        <f t="shared" si="749"/>
        <v/>
      </c>
      <c r="P118" s="576" t="str">
        <f t="shared" si="750"/>
        <v/>
      </c>
      <c r="Q118" s="528" t="str">
        <f t="shared" si="609"/>
        <v/>
      </c>
      <c r="R118" s="572" t="str">
        <f t="shared" si="830"/>
        <v/>
      </c>
      <c r="S118" s="577" t="str">
        <f t="shared" si="831"/>
        <v/>
      </c>
      <c r="T118" s="578" t="str">
        <f t="shared" si="832"/>
        <v/>
      </c>
      <c r="U118" s="572" t="str">
        <f t="shared" si="833"/>
        <v/>
      </c>
      <c r="V118" s="579" t="str">
        <f t="shared" si="834"/>
        <v/>
      </c>
      <c r="W118" s="528" t="str">
        <f t="shared" si="735"/>
        <v/>
      </c>
      <c r="X118" s="572" t="str">
        <f t="shared" si="835"/>
        <v/>
      </c>
      <c r="Y118" s="573" t="str">
        <f t="shared" si="734"/>
        <v/>
      </c>
      <c r="Z118" s="575" t="str">
        <f t="shared" si="751"/>
        <v/>
      </c>
      <c r="AA118" s="572" t="str">
        <f t="shared" si="752"/>
        <v/>
      </c>
      <c r="AB118" s="572" t="str">
        <f t="shared" si="753"/>
        <v/>
      </c>
      <c r="AC118" s="579" t="str">
        <f t="shared" si="836"/>
        <v/>
      </c>
      <c r="AD118" s="580" t="str">
        <f t="shared" si="837"/>
        <v/>
      </c>
      <c r="AE118" s="572" t="str">
        <f t="shared" si="838"/>
        <v/>
      </c>
      <c r="AF118" s="576" t="str">
        <f t="shared" si="839"/>
        <v/>
      </c>
      <c r="AG118" s="545" t="str">
        <f t="shared" si="840"/>
        <v/>
      </c>
      <c r="AH118" s="546" t="str">
        <f t="shared" si="841"/>
        <v/>
      </c>
      <c r="AI118" s="528" t="str">
        <f t="shared" si="842"/>
        <v/>
      </c>
      <c r="AJ118" s="529" t="str">
        <f t="shared" si="843"/>
        <v/>
      </c>
      <c r="AK118" s="578" t="str">
        <f t="shared" si="844"/>
        <v/>
      </c>
      <c r="AL118" s="572" t="str">
        <f t="shared" si="845"/>
        <v/>
      </c>
      <c r="AM118" s="577" t="str">
        <f t="shared" si="846"/>
        <v/>
      </c>
      <c r="AN118" s="524" t="str">
        <f t="shared" si="847"/>
        <v/>
      </c>
      <c r="AO118" s="525" t="str">
        <f t="shared" si="514"/>
        <v/>
      </c>
      <c r="AP118" s="528" t="str">
        <f t="shared" si="848"/>
        <v/>
      </c>
      <c r="AQ118" s="529" t="str">
        <f t="shared" si="754"/>
        <v/>
      </c>
      <c r="AS118" s="946" t="str">
        <f t="shared" si="852"/>
        <v/>
      </c>
      <c r="AT118" s="942" t="str">
        <f t="shared" si="755"/>
        <v/>
      </c>
      <c r="AU118" s="418"/>
      <c r="AV118" s="164" t="str">
        <f t="shared" si="75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5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58"/>
        <v/>
      </c>
      <c r="BF118" s="4" t="str">
        <f t="shared" si="759"/>
        <v/>
      </c>
      <c r="BG118" s="5" t="str">
        <f t="shared" si="760"/>
        <v/>
      </c>
      <c r="BH118" s="10" t="str">
        <f t="shared" si="761"/>
        <v/>
      </c>
      <c r="BI118" s="9" t="str">
        <f t="shared" si="634"/>
        <v/>
      </c>
      <c r="BJ118" s="5" t="str">
        <f t="shared" si="762"/>
        <v/>
      </c>
      <c r="BK118" s="8" t="str">
        <f t="shared" si="763"/>
        <v/>
      </c>
      <c r="BL118" s="173" t="str">
        <f t="shared" si="764"/>
        <v/>
      </c>
      <c r="BM118" s="5" t="str">
        <f t="shared" si="765"/>
        <v/>
      </c>
      <c r="BN118" s="6" t="str">
        <f t="shared" si="766"/>
        <v/>
      </c>
      <c r="BO118" s="4" t="str">
        <f t="shared" si="635"/>
        <v/>
      </c>
      <c r="BP118" s="5" t="str">
        <f t="shared" si="636"/>
        <v/>
      </c>
      <c r="BQ118" s="5" t="str">
        <f t="shared" si="637"/>
        <v/>
      </c>
      <c r="BR118" s="6" t="str">
        <f t="shared" si="638"/>
        <v/>
      </c>
      <c r="BS118" s="4" t="str">
        <f t="shared" si="849"/>
        <v/>
      </c>
      <c r="BT118" s="5" t="str">
        <f t="shared" si="84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67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3"/>
        <v/>
      </c>
      <c r="DC118" s="5" t="str">
        <f t="shared" si="853"/>
        <v/>
      </c>
      <c r="DD118" s="10" t="str">
        <f t="shared" si="659"/>
        <v/>
      </c>
      <c r="DE118" s="9" t="str">
        <f t="shared" si="854"/>
        <v/>
      </c>
      <c r="DF118" s="5" t="str">
        <f t="shared" si="854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8"/>
        <v/>
      </c>
      <c r="ET118" s="5" t="str">
        <f t="shared" si="769"/>
        <v/>
      </c>
      <c r="EU118" s="10" t="str">
        <f t="shared" si="770"/>
        <v/>
      </c>
      <c r="EV118" s="174" t="str">
        <f t="shared" si="771"/>
        <v/>
      </c>
      <c r="EW118" s="9" t="str">
        <f t="shared" si="772"/>
        <v/>
      </c>
      <c r="EX118" s="5" t="str">
        <f t="shared" si="773"/>
        <v/>
      </c>
      <c r="EY118" s="6" t="str">
        <f t="shared" si="699"/>
        <v/>
      </c>
      <c r="EZ118" s="51" t="str">
        <f t="shared" si="700"/>
        <v/>
      </c>
      <c r="FA118" s="173" t="str">
        <f t="shared" si="774"/>
        <v/>
      </c>
      <c r="FB118" s="5" t="str">
        <f t="shared" si="775"/>
        <v/>
      </c>
      <c r="FC118" s="6" t="str">
        <f t="shared" si="776"/>
        <v/>
      </c>
      <c r="FD118" s="4" t="str">
        <f t="shared" si="777"/>
        <v/>
      </c>
      <c r="FE118" s="5" t="str">
        <f t="shared" si="778"/>
        <v/>
      </c>
      <c r="FF118" s="7" t="str">
        <f t="shared" si="701"/>
        <v/>
      </c>
      <c r="FG118" s="173" t="str">
        <f t="shared" si="779"/>
        <v/>
      </c>
      <c r="FH118" s="5" t="str">
        <f t="shared" si="780"/>
        <v/>
      </c>
      <c r="FI118" s="10" t="str">
        <f t="shared" si="781"/>
        <v/>
      </c>
      <c r="FJ118" s="279" t="str">
        <f t="shared" si="702"/>
        <v/>
      </c>
      <c r="FK118" s="4" t="str">
        <f t="shared" si="78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83"/>
        <v/>
      </c>
      <c r="FP118" s="277" t="str">
        <f t="shared" si="629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4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5"/>
        <v/>
      </c>
      <c r="GH118" s="286" t="str">
        <f t="shared" si="786"/>
        <v/>
      </c>
      <c r="GI118" s="281" t="str">
        <f t="shared" si="787"/>
        <v/>
      </c>
      <c r="GJ118" s="167" t="str">
        <f t="shared" si="718"/>
        <v/>
      </c>
      <c r="GK118" s="174" t="str">
        <f t="shared" si="788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89"/>
        <v/>
      </c>
      <c r="GT118" s="343" t="str">
        <f t="shared" si="790"/>
        <v/>
      </c>
      <c r="GU118" s="344" t="str">
        <f t="shared" si="791"/>
        <v/>
      </c>
      <c r="GV118" s="343" t="str">
        <f t="shared" si="726"/>
        <v/>
      </c>
      <c r="GW118" s="345" t="str">
        <f t="shared" si="792"/>
        <v/>
      </c>
      <c r="GX118" s="346" t="str">
        <f t="shared" si="793"/>
        <v/>
      </c>
      <c r="GY118" s="344" t="str">
        <f t="shared" si="794"/>
        <v/>
      </c>
      <c r="GZ118" s="345" t="str">
        <f t="shared" si="795"/>
        <v/>
      </c>
      <c r="HA118" s="342" t="str">
        <f t="shared" si="796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7"/>
        <v/>
      </c>
      <c r="HF118" s="5" t="str">
        <f t="shared" si="798"/>
        <v/>
      </c>
      <c r="HG118" s="343" t="str">
        <f t="shared" si="730"/>
        <v/>
      </c>
      <c r="HH118" s="349" t="str">
        <f t="shared" si="731"/>
        <v/>
      </c>
      <c r="HI118" s="317" t="str">
        <f t="shared" si="799"/>
        <v/>
      </c>
      <c r="HK118" s="310" t="str">
        <f t="shared" si="850"/>
        <v/>
      </c>
      <c r="HL118" s="348" t="str">
        <f t="shared" si="800"/>
        <v/>
      </c>
      <c r="HM118" s="923" t="str">
        <f t="shared" si="801"/>
        <v/>
      </c>
      <c r="HN118" s="924" t="str">
        <f t="shared" si="802"/>
        <v/>
      </c>
      <c r="HO118" s="925"/>
      <c r="HP118" s="926"/>
      <c r="HQ118" s="924" t="str">
        <f t="shared" si="803"/>
        <v/>
      </c>
      <c r="HR118" s="927" t="str">
        <f t="shared" si="804"/>
        <v/>
      </c>
      <c r="HS118" s="879" t="str">
        <f t="shared" si="851"/>
        <v/>
      </c>
      <c r="HT118" s="889" t="str">
        <f t="shared" si="805"/>
        <v/>
      </c>
      <c r="HU118" s="890" t="str">
        <f t="shared" si="806"/>
        <v/>
      </c>
      <c r="HV118" s="886" t="str">
        <f t="shared" si="807"/>
        <v/>
      </c>
      <c r="HW118" s="880" t="str">
        <f t="shared" si="808"/>
        <v/>
      </c>
      <c r="HX118" s="881" t="str">
        <f t="shared" si="809"/>
        <v/>
      </c>
      <c r="HY118" s="880" t="str">
        <f t="shared" si="810"/>
        <v/>
      </c>
      <c r="HZ118" s="882" t="str">
        <f t="shared" si="811"/>
        <v/>
      </c>
      <c r="IA118" s="883" t="str">
        <f t="shared" si="812"/>
        <v/>
      </c>
      <c r="IB118" s="884" t="str">
        <f t="shared" si="813"/>
        <v/>
      </c>
      <c r="IC118" s="855" t="str">
        <f t="shared" si="814"/>
        <v/>
      </c>
      <c r="ID118" s="351" t="str">
        <f t="shared" si="815"/>
        <v/>
      </c>
      <c r="IE118" s="857" t="str">
        <f t="shared" si="816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2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17"/>
        <v/>
      </c>
      <c r="IM118" s="482" t="str">
        <f t="shared" si="733"/>
        <v/>
      </c>
      <c r="IN118" s="670" t="str">
        <f t="shared" si="818"/>
        <v/>
      </c>
      <c r="IO118" s="702"/>
      <c r="IP118" s="5" t="str">
        <f t="shared" si="819"/>
        <v/>
      </c>
      <c r="IQ118" s="714"/>
      <c r="IR118" s="9" t="str">
        <f t="shared" si="820"/>
        <v/>
      </c>
      <c r="IS118" s="5" t="str">
        <f t="shared" si="821"/>
        <v/>
      </c>
      <c r="IT118" s="5" t="str">
        <f t="shared" si="822"/>
        <v/>
      </c>
      <c r="IU118" s="5" t="str">
        <f t="shared" si="823"/>
        <v/>
      </c>
      <c r="IV118" s="670" t="str">
        <f t="shared" si="824"/>
        <v/>
      </c>
      <c r="IW118" s="9" t="str">
        <f t="shared" si="825"/>
        <v/>
      </c>
      <c r="IX118" s="5" t="str">
        <f t="shared" si="826"/>
        <v/>
      </c>
      <c r="IY118" s="5" t="str">
        <f t="shared" si="827"/>
        <v/>
      </c>
      <c r="IZ118" s="5" t="str">
        <f t="shared" si="828"/>
        <v/>
      </c>
      <c r="JA118" s="705" t="str">
        <f t="shared" si="829"/>
        <v/>
      </c>
    </row>
    <row r="119" spans="1:261" ht="15" customHeight="1" x14ac:dyDescent="0.25">
      <c r="A119" s="75" t="str">
        <f t="shared" si="736"/>
        <v/>
      </c>
      <c r="B119" s="578" t="str">
        <f t="shared" si="737"/>
        <v/>
      </c>
      <c r="C119" s="572" t="str">
        <f t="shared" si="738"/>
        <v/>
      </c>
      <c r="D119" s="576" t="str">
        <f t="shared" si="739"/>
        <v/>
      </c>
      <c r="E119" s="580" t="str">
        <f t="shared" si="740"/>
        <v/>
      </c>
      <c r="F119" s="572" t="str">
        <f t="shared" si="741"/>
        <v/>
      </c>
      <c r="G119" s="579" t="str">
        <f t="shared" si="742"/>
        <v/>
      </c>
      <c r="H119" s="580" t="str">
        <f t="shared" si="743"/>
        <v/>
      </c>
      <c r="I119" s="572" t="str">
        <f t="shared" si="744"/>
        <v/>
      </c>
      <c r="J119" s="483" t="str">
        <f t="shared" si="745"/>
        <v/>
      </c>
      <c r="K119" s="806" t="str">
        <f t="shared" si="746"/>
        <v/>
      </c>
      <c r="L119" s="309"/>
      <c r="M119" s="164" t="str">
        <f t="shared" si="747"/>
        <v/>
      </c>
      <c r="N119" s="575" t="str">
        <f t="shared" si="748"/>
        <v/>
      </c>
      <c r="O119" s="572" t="str">
        <f t="shared" si="749"/>
        <v/>
      </c>
      <c r="P119" s="576" t="str">
        <f t="shared" si="750"/>
        <v/>
      </c>
      <c r="Q119" s="528" t="str">
        <f t="shared" si="609"/>
        <v/>
      </c>
      <c r="R119" s="572" t="str">
        <f t="shared" si="830"/>
        <v/>
      </c>
      <c r="S119" s="577" t="str">
        <f t="shared" si="831"/>
        <v/>
      </c>
      <c r="T119" s="578" t="str">
        <f t="shared" si="832"/>
        <v/>
      </c>
      <c r="U119" s="572" t="str">
        <f t="shared" si="833"/>
        <v/>
      </c>
      <c r="V119" s="579" t="str">
        <f t="shared" si="834"/>
        <v/>
      </c>
      <c r="W119" s="528" t="str">
        <f t="shared" si="735"/>
        <v/>
      </c>
      <c r="X119" s="572" t="str">
        <f t="shared" si="835"/>
        <v/>
      </c>
      <c r="Y119" s="573" t="str">
        <f t="shared" si="734"/>
        <v/>
      </c>
      <c r="Z119" s="575" t="str">
        <f t="shared" si="751"/>
        <v/>
      </c>
      <c r="AA119" s="572" t="str">
        <f t="shared" si="752"/>
        <v/>
      </c>
      <c r="AB119" s="572" t="str">
        <f t="shared" si="753"/>
        <v/>
      </c>
      <c r="AC119" s="579" t="str">
        <f t="shared" si="836"/>
        <v/>
      </c>
      <c r="AD119" s="580" t="str">
        <f t="shared" si="837"/>
        <v/>
      </c>
      <c r="AE119" s="572" t="str">
        <f t="shared" si="838"/>
        <v/>
      </c>
      <c r="AF119" s="576" t="str">
        <f t="shared" si="839"/>
        <v/>
      </c>
      <c r="AG119" s="545" t="str">
        <f t="shared" si="840"/>
        <v/>
      </c>
      <c r="AH119" s="546" t="str">
        <f t="shared" si="841"/>
        <v/>
      </c>
      <c r="AI119" s="528" t="str">
        <f t="shared" si="842"/>
        <v/>
      </c>
      <c r="AJ119" s="529" t="str">
        <f t="shared" si="843"/>
        <v/>
      </c>
      <c r="AK119" s="578" t="str">
        <f t="shared" si="844"/>
        <v/>
      </c>
      <c r="AL119" s="572" t="str">
        <f t="shared" si="845"/>
        <v/>
      </c>
      <c r="AM119" s="577" t="str">
        <f t="shared" si="846"/>
        <v/>
      </c>
      <c r="AN119" s="524" t="str">
        <f t="shared" si="847"/>
        <v/>
      </c>
      <c r="AO119" s="525" t="str">
        <f t="shared" si="514"/>
        <v/>
      </c>
      <c r="AP119" s="528" t="str">
        <f t="shared" si="848"/>
        <v/>
      </c>
      <c r="AQ119" s="529" t="str">
        <f t="shared" si="754"/>
        <v/>
      </c>
      <c r="AS119" s="946" t="str">
        <f t="shared" si="852"/>
        <v/>
      </c>
      <c r="AT119" s="942" t="str">
        <f t="shared" si="755"/>
        <v/>
      </c>
      <c r="AU119" s="418"/>
      <c r="AV119" s="164" t="str">
        <f t="shared" si="75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5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58"/>
        <v/>
      </c>
      <c r="BF119" s="4" t="str">
        <f t="shared" si="759"/>
        <v/>
      </c>
      <c r="BG119" s="5" t="str">
        <f t="shared" si="760"/>
        <v/>
      </c>
      <c r="BH119" s="10" t="str">
        <f t="shared" si="761"/>
        <v/>
      </c>
      <c r="BI119" s="9" t="str">
        <f t="shared" si="634"/>
        <v/>
      </c>
      <c r="BJ119" s="5" t="str">
        <f t="shared" si="762"/>
        <v/>
      </c>
      <c r="BK119" s="8" t="str">
        <f t="shared" si="763"/>
        <v/>
      </c>
      <c r="BL119" s="173" t="str">
        <f t="shared" si="764"/>
        <v/>
      </c>
      <c r="BM119" s="5" t="str">
        <f t="shared" si="765"/>
        <v/>
      </c>
      <c r="BN119" s="6" t="str">
        <f t="shared" si="766"/>
        <v/>
      </c>
      <c r="BO119" s="4" t="str">
        <f t="shared" si="635"/>
        <v/>
      </c>
      <c r="BP119" s="5" t="str">
        <f t="shared" si="636"/>
        <v/>
      </c>
      <c r="BQ119" s="5" t="str">
        <f t="shared" si="637"/>
        <v/>
      </c>
      <c r="BR119" s="6" t="str">
        <f t="shared" si="638"/>
        <v/>
      </c>
      <c r="BS119" s="4" t="str">
        <f t="shared" si="849"/>
        <v/>
      </c>
      <c r="BT119" s="5" t="str">
        <f t="shared" si="84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67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3"/>
        <v/>
      </c>
      <c r="DC119" s="5" t="str">
        <f t="shared" si="853"/>
        <v/>
      </c>
      <c r="DD119" s="10" t="str">
        <f t="shared" si="659"/>
        <v/>
      </c>
      <c r="DE119" s="9" t="str">
        <f t="shared" si="854"/>
        <v/>
      </c>
      <c r="DF119" s="5" t="str">
        <f t="shared" si="854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8"/>
        <v/>
      </c>
      <c r="ET119" s="5" t="str">
        <f t="shared" si="769"/>
        <v/>
      </c>
      <c r="EU119" s="10" t="str">
        <f t="shared" si="770"/>
        <v/>
      </c>
      <c r="EV119" s="174" t="str">
        <f t="shared" si="771"/>
        <v/>
      </c>
      <c r="EW119" s="9" t="str">
        <f t="shared" si="772"/>
        <v/>
      </c>
      <c r="EX119" s="5" t="str">
        <f t="shared" si="773"/>
        <v/>
      </c>
      <c r="EY119" s="6" t="str">
        <f t="shared" si="699"/>
        <v/>
      </c>
      <c r="EZ119" s="51" t="str">
        <f t="shared" si="700"/>
        <v/>
      </c>
      <c r="FA119" s="173" t="str">
        <f t="shared" si="774"/>
        <v/>
      </c>
      <c r="FB119" s="5" t="str">
        <f t="shared" si="775"/>
        <v/>
      </c>
      <c r="FC119" s="6" t="str">
        <f t="shared" si="776"/>
        <v/>
      </c>
      <c r="FD119" s="4" t="str">
        <f t="shared" si="777"/>
        <v/>
      </c>
      <c r="FE119" s="5" t="str">
        <f t="shared" si="778"/>
        <v/>
      </c>
      <c r="FF119" s="7" t="str">
        <f t="shared" si="701"/>
        <v/>
      </c>
      <c r="FG119" s="173" t="str">
        <f t="shared" si="779"/>
        <v/>
      </c>
      <c r="FH119" s="5" t="str">
        <f t="shared" si="780"/>
        <v/>
      </c>
      <c r="FI119" s="10" t="str">
        <f t="shared" si="781"/>
        <v/>
      </c>
      <c r="FJ119" s="279" t="str">
        <f t="shared" si="702"/>
        <v/>
      </c>
      <c r="FK119" s="4" t="str">
        <f t="shared" si="78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83"/>
        <v/>
      </c>
      <c r="FP119" s="277" t="str">
        <f t="shared" si="629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4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5"/>
        <v/>
      </c>
      <c r="GH119" s="286" t="str">
        <f t="shared" si="786"/>
        <v/>
      </c>
      <c r="GI119" s="281" t="str">
        <f t="shared" si="787"/>
        <v/>
      </c>
      <c r="GJ119" s="167" t="str">
        <f t="shared" si="718"/>
        <v/>
      </c>
      <c r="GK119" s="174" t="str">
        <f t="shared" si="788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89"/>
        <v/>
      </c>
      <c r="GT119" s="343" t="str">
        <f t="shared" si="790"/>
        <v/>
      </c>
      <c r="GU119" s="344" t="str">
        <f t="shared" si="791"/>
        <v/>
      </c>
      <c r="GV119" s="343" t="str">
        <f t="shared" si="726"/>
        <v/>
      </c>
      <c r="GW119" s="345" t="str">
        <f t="shared" si="792"/>
        <v/>
      </c>
      <c r="GX119" s="346" t="str">
        <f t="shared" si="793"/>
        <v/>
      </c>
      <c r="GY119" s="344" t="str">
        <f t="shared" si="794"/>
        <v/>
      </c>
      <c r="GZ119" s="345" t="str">
        <f t="shared" si="795"/>
        <v/>
      </c>
      <c r="HA119" s="342" t="str">
        <f t="shared" si="796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7"/>
        <v/>
      </c>
      <c r="HF119" s="5" t="str">
        <f t="shared" si="798"/>
        <v/>
      </c>
      <c r="HG119" s="343" t="str">
        <f t="shared" si="730"/>
        <v/>
      </c>
      <c r="HH119" s="349" t="str">
        <f t="shared" si="731"/>
        <v/>
      </c>
      <c r="HI119" s="317" t="str">
        <f t="shared" si="799"/>
        <v/>
      </c>
      <c r="HK119" s="310" t="str">
        <f t="shared" si="850"/>
        <v/>
      </c>
      <c r="HL119" s="348" t="str">
        <f t="shared" si="800"/>
        <v/>
      </c>
      <c r="HM119" s="923" t="str">
        <f t="shared" si="801"/>
        <v/>
      </c>
      <c r="HN119" s="924" t="str">
        <f t="shared" si="802"/>
        <v/>
      </c>
      <c r="HO119" s="925"/>
      <c r="HP119" s="926"/>
      <c r="HQ119" s="924" t="str">
        <f t="shared" si="803"/>
        <v/>
      </c>
      <c r="HR119" s="927" t="str">
        <f t="shared" si="804"/>
        <v/>
      </c>
      <c r="HS119" s="879" t="str">
        <f t="shared" si="851"/>
        <v/>
      </c>
      <c r="HT119" s="889" t="str">
        <f t="shared" si="805"/>
        <v/>
      </c>
      <c r="HU119" s="890" t="str">
        <f t="shared" si="806"/>
        <v/>
      </c>
      <c r="HV119" s="886" t="str">
        <f t="shared" si="807"/>
        <v/>
      </c>
      <c r="HW119" s="880" t="str">
        <f t="shared" si="808"/>
        <v/>
      </c>
      <c r="HX119" s="881" t="str">
        <f t="shared" si="809"/>
        <v/>
      </c>
      <c r="HY119" s="880" t="str">
        <f t="shared" si="810"/>
        <v/>
      </c>
      <c r="HZ119" s="882" t="str">
        <f t="shared" si="811"/>
        <v/>
      </c>
      <c r="IA119" s="883" t="str">
        <f t="shared" si="812"/>
        <v/>
      </c>
      <c r="IB119" s="884" t="str">
        <f t="shared" si="813"/>
        <v/>
      </c>
      <c r="IC119" s="855" t="str">
        <f t="shared" si="814"/>
        <v/>
      </c>
      <c r="ID119" s="351" t="str">
        <f t="shared" si="815"/>
        <v/>
      </c>
      <c r="IE119" s="857" t="str">
        <f t="shared" si="816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2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17"/>
        <v/>
      </c>
      <c r="IM119" s="482" t="str">
        <f t="shared" si="733"/>
        <v/>
      </c>
      <c r="IN119" s="670" t="str">
        <f t="shared" si="818"/>
        <v/>
      </c>
      <c r="IO119" s="702"/>
      <c r="IP119" s="5" t="str">
        <f t="shared" si="819"/>
        <v/>
      </c>
      <c r="IQ119" s="714"/>
      <c r="IR119" s="9" t="str">
        <f t="shared" si="820"/>
        <v/>
      </c>
      <c r="IS119" s="5" t="str">
        <f t="shared" si="821"/>
        <v/>
      </c>
      <c r="IT119" s="5" t="str">
        <f t="shared" si="822"/>
        <v/>
      </c>
      <c r="IU119" s="5" t="str">
        <f t="shared" si="823"/>
        <v/>
      </c>
      <c r="IV119" s="670" t="str">
        <f t="shared" si="824"/>
        <v/>
      </c>
      <c r="IW119" s="9" t="str">
        <f t="shared" si="825"/>
        <v/>
      </c>
      <c r="IX119" s="5" t="str">
        <f t="shared" si="826"/>
        <v/>
      </c>
      <c r="IY119" s="5" t="str">
        <f t="shared" si="827"/>
        <v/>
      </c>
      <c r="IZ119" s="5" t="str">
        <f t="shared" si="828"/>
        <v/>
      </c>
      <c r="JA119" s="705" t="str">
        <f t="shared" si="829"/>
        <v/>
      </c>
    </row>
    <row r="120" spans="1:261" ht="15" customHeight="1" x14ac:dyDescent="0.25">
      <c r="A120" s="75" t="str">
        <f t="shared" si="736"/>
        <v/>
      </c>
      <c r="B120" s="578" t="str">
        <f t="shared" si="737"/>
        <v/>
      </c>
      <c r="C120" s="572" t="str">
        <f t="shared" si="738"/>
        <v/>
      </c>
      <c r="D120" s="576" t="str">
        <f t="shared" si="739"/>
        <v/>
      </c>
      <c r="E120" s="580" t="str">
        <f t="shared" si="740"/>
        <v/>
      </c>
      <c r="F120" s="572" t="str">
        <f t="shared" si="741"/>
        <v/>
      </c>
      <c r="G120" s="579" t="str">
        <f t="shared" si="742"/>
        <v/>
      </c>
      <c r="H120" s="580" t="str">
        <f t="shared" si="743"/>
        <v/>
      </c>
      <c r="I120" s="572" t="str">
        <f t="shared" si="744"/>
        <v/>
      </c>
      <c r="J120" s="483" t="str">
        <f t="shared" si="745"/>
        <v/>
      </c>
      <c r="K120" s="806" t="str">
        <f t="shared" si="746"/>
        <v/>
      </c>
      <c r="L120" s="309"/>
      <c r="M120" s="164" t="str">
        <f t="shared" si="747"/>
        <v/>
      </c>
      <c r="N120" s="575" t="str">
        <f t="shared" si="748"/>
        <v/>
      </c>
      <c r="O120" s="572" t="str">
        <f t="shared" si="749"/>
        <v/>
      </c>
      <c r="P120" s="576" t="str">
        <f t="shared" si="750"/>
        <v/>
      </c>
      <c r="Q120" s="528" t="str">
        <f t="shared" si="609"/>
        <v/>
      </c>
      <c r="R120" s="572" t="str">
        <f t="shared" si="830"/>
        <v/>
      </c>
      <c r="S120" s="577" t="str">
        <f t="shared" si="831"/>
        <v/>
      </c>
      <c r="T120" s="578" t="str">
        <f t="shared" si="832"/>
        <v/>
      </c>
      <c r="U120" s="572" t="str">
        <f t="shared" si="833"/>
        <v/>
      </c>
      <c r="V120" s="579" t="str">
        <f t="shared" si="834"/>
        <v/>
      </c>
      <c r="W120" s="528" t="str">
        <f t="shared" si="735"/>
        <v/>
      </c>
      <c r="X120" s="572" t="str">
        <f t="shared" si="835"/>
        <v/>
      </c>
      <c r="Y120" s="573" t="str">
        <f t="shared" si="734"/>
        <v/>
      </c>
      <c r="Z120" s="575" t="str">
        <f t="shared" si="751"/>
        <v/>
      </c>
      <c r="AA120" s="572" t="str">
        <f t="shared" si="752"/>
        <v/>
      </c>
      <c r="AB120" s="572" t="str">
        <f t="shared" si="753"/>
        <v/>
      </c>
      <c r="AC120" s="579" t="str">
        <f t="shared" si="836"/>
        <v/>
      </c>
      <c r="AD120" s="580" t="str">
        <f t="shared" si="837"/>
        <v/>
      </c>
      <c r="AE120" s="572" t="str">
        <f t="shared" si="838"/>
        <v/>
      </c>
      <c r="AF120" s="576" t="str">
        <f t="shared" si="839"/>
        <v/>
      </c>
      <c r="AG120" s="545" t="str">
        <f t="shared" si="840"/>
        <v/>
      </c>
      <c r="AH120" s="546" t="str">
        <f t="shared" si="841"/>
        <v/>
      </c>
      <c r="AI120" s="528" t="str">
        <f t="shared" si="842"/>
        <v/>
      </c>
      <c r="AJ120" s="529" t="str">
        <f t="shared" si="843"/>
        <v/>
      </c>
      <c r="AK120" s="578" t="str">
        <f t="shared" si="844"/>
        <v/>
      </c>
      <c r="AL120" s="572" t="str">
        <f t="shared" si="845"/>
        <v/>
      </c>
      <c r="AM120" s="577" t="str">
        <f t="shared" si="846"/>
        <v/>
      </c>
      <c r="AN120" s="524" t="str">
        <f t="shared" si="84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48"/>
        <v/>
      </c>
      <c r="AQ120" s="529" t="str">
        <f t="shared" si="754"/>
        <v/>
      </c>
      <c r="AS120" s="946" t="str">
        <f t="shared" si="852"/>
        <v/>
      </c>
      <c r="AT120" s="942" t="str">
        <f t="shared" si="755"/>
        <v/>
      </c>
      <c r="AU120" s="418"/>
      <c r="AV120" s="164" t="str">
        <f t="shared" si="75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5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58"/>
        <v/>
      </c>
      <c r="BF120" s="4" t="str">
        <f t="shared" si="759"/>
        <v/>
      </c>
      <c r="BG120" s="5" t="str">
        <f t="shared" si="760"/>
        <v/>
      </c>
      <c r="BH120" s="10" t="str">
        <f t="shared" si="761"/>
        <v/>
      </c>
      <c r="BI120" s="9" t="str">
        <f t="shared" si="634"/>
        <v/>
      </c>
      <c r="BJ120" s="5" t="str">
        <f t="shared" si="762"/>
        <v/>
      </c>
      <c r="BK120" s="8" t="str">
        <f t="shared" si="763"/>
        <v/>
      </c>
      <c r="BL120" s="173" t="str">
        <f t="shared" si="764"/>
        <v/>
      </c>
      <c r="BM120" s="5" t="str">
        <f t="shared" si="765"/>
        <v/>
      </c>
      <c r="BN120" s="6" t="str">
        <f t="shared" si="766"/>
        <v/>
      </c>
      <c r="BO120" s="4" t="str">
        <f t="shared" si="635"/>
        <v/>
      </c>
      <c r="BP120" s="5" t="str">
        <f t="shared" si="636"/>
        <v/>
      </c>
      <c r="BQ120" s="5" t="str">
        <f t="shared" si="637"/>
        <v/>
      </c>
      <c r="BR120" s="6" t="str">
        <f t="shared" si="638"/>
        <v/>
      </c>
      <c r="BS120" s="4" t="str">
        <f t="shared" si="849"/>
        <v/>
      </c>
      <c r="BT120" s="5" t="str">
        <f t="shared" si="84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67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3"/>
        <v/>
      </c>
      <c r="DC120" s="5" t="str">
        <f t="shared" si="853"/>
        <v/>
      </c>
      <c r="DD120" s="10" t="str">
        <f t="shared" si="659"/>
        <v/>
      </c>
      <c r="DE120" s="9" t="str">
        <f t="shared" si="854"/>
        <v/>
      </c>
      <c r="DF120" s="5" t="str">
        <f t="shared" si="854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8"/>
        <v/>
      </c>
      <c r="ET120" s="5" t="str">
        <f t="shared" si="769"/>
        <v/>
      </c>
      <c r="EU120" s="10" t="str">
        <f t="shared" si="770"/>
        <v/>
      </c>
      <c r="EV120" s="174" t="str">
        <f t="shared" si="771"/>
        <v/>
      </c>
      <c r="EW120" s="9" t="str">
        <f t="shared" si="772"/>
        <v/>
      </c>
      <c r="EX120" s="5" t="str">
        <f t="shared" si="773"/>
        <v/>
      </c>
      <c r="EY120" s="6" t="str">
        <f t="shared" si="699"/>
        <v/>
      </c>
      <c r="EZ120" s="51" t="str">
        <f t="shared" si="700"/>
        <v/>
      </c>
      <c r="FA120" s="173" t="str">
        <f t="shared" si="774"/>
        <v/>
      </c>
      <c r="FB120" s="5" t="str">
        <f t="shared" si="775"/>
        <v/>
      </c>
      <c r="FC120" s="6" t="str">
        <f t="shared" si="776"/>
        <v/>
      </c>
      <c r="FD120" s="4" t="str">
        <f t="shared" si="777"/>
        <v/>
      </c>
      <c r="FE120" s="5" t="str">
        <f t="shared" si="778"/>
        <v/>
      </c>
      <c r="FF120" s="7" t="str">
        <f t="shared" si="701"/>
        <v/>
      </c>
      <c r="FG120" s="173" t="str">
        <f t="shared" si="779"/>
        <v/>
      </c>
      <c r="FH120" s="5" t="str">
        <f t="shared" si="780"/>
        <v/>
      </c>
      <c r="FI120" s="10" t="str">
        <f t="shared" si="781"/>
        <v/>
      </c>
      <c r="FJ120" s="279" t="str">
        <f t="shared" si="702"/>
        <v/>
      </c>
      <c r="FK120" s="4" t="str">
        <f t="shared" si="78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83"/>
        <v/>
      </c>
      <c r="FP120" s="277" t="str">
        <f t="shared" si="629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4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5"/>
        <v/>
      </c>
      <c r="GH120" s="286" t="str">
        <f t="shared" si="786"/>
        <v/>
      </c>
      <c r="GI120" s="281" t="str">
        <f t="shared" si="787"/>
        <v/>
      </c>
      <c r="GJ120" s="167" t="str">
        <f t="shared" si="718"/>
        <v/>
      </c>
      <c r="GK120" s="174" t="str">
        <f t="shared" si="788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89"/>
        <v/>
      </c>
      <c r="GT120" s="343" t="str">
        <f t="shared" si="790"/>
        <v/>
      </c>
      <c r="GU120" s="344" t="str">
        <f t="shared" si="791"/>
        <v/>
      </c>
      <c r="GV120" s="343" t="str">
        <f t="shared" si="726"/>
        <v/>
      </c>
      <c r="GW120" s="345" t="str">
        <f t="shared" si="792"/>
        <v/>
      </c>
      <c r="GX120" s="346" t="str">
        <f t="shared" si="793"/>
        <v/>
      </c>
      <c r="GY120" s="344" t="str">
        <f t="shared" si="794"/>
        <v/>
      </c>
      <c r="GZ120" s="345" t="str">
        <f t="shared" si="795"/>
        <v/>
      </c>
      <c r="HA120" s="342" t="str">
        <f t="shared" si="796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7"/>
        <v/>
      </c>
      <c r="HF120" s="5" t="str">
        <f t="shared" si="798"/>
        <v/>
      </c>
      <c r="HG120" s="343" t="str">
        <f t="shared" si="730"/>
        <v/>
      </c>
      <c r="HH120" s="349" t="str">
        <f t="shared" si="731"/>
        <v/>
      </c>
      <c r="HI120" s="317" t="str">
        <f t="shared" si="799"/>
        <v/>
      </c>
      <c r="HK120" s="310" t="str">
        <f t="shared" si="850"/>
        <v/>
      </c>
      <c r="HL120" s="348" t="str">
        <f t="shared" si="800"/>
        <v/>
      </c>
      <c r="HM120" s="923" t="str">
        <f t="shared" si="801"/>
        <v/>
      </c>
      <c r="HN120" s="924" t="str">
        <f t="shared" si="802"/>
        <v/>
      </c>
      <c r="HO120" s="925"/>
      <c r="HP120" s="926"/>
      <c r="HQ120" s="924" t="str">
        <f t="shared" si="803"/>
        <v/>
      </c>
      <c r="HR120" s="927" t="str">
        <f t="shared" si="804"/>
        <v/>
      </c>
      <c r="HS120" s="879" t="str">
        <f t="shared" si="851"/>
        <v/>
      </c>
      <c r="HT120" s="889" t="str">
        <f t="shared" si="805"/>
        <v/>
      </c>
      <c r="HU120" s="890" t="str">
        <f t="shared" si="806"/>
        <v/>
      </c>
      <c r="HV120" s="886" t="str">
        <f t="shared" si="807"/>
        <v/>
      </c>
      <c r="HW120" s="880" t="str">
        <f t="shared" si="808"/>
        <v/>
      </c>
      <c r="HX120" s="881" t="str">
        <f t="shared" si="809"/>
        <v/>
      </c>
      <c r="HY120" s="880" t="str">
        <f t="shared" si="810"/>
        <v/>
      </c>
      <c r="HZ120" s="882" t="str">
        <f t="shared" si="811"/>
        <v/>
      </c>
      <c r="IA120" s="883" t="str">
        <f t="shared" si="812"/>
        <v/>
      </c>
      <c r="IB120" s="884" t="str">
        <f t="shared" si="813"/>
        <v/>
      </c>
      <c r="IC120" s="855" t="str">
        <f t="shared" si="814"/>
        <v/>
      </c>
      <c r="ID120" s="351" t="str">
        <f t="shared" si="815"/>
        <v/>
      </c>
      <c r="IE120" s="857" t="str">
        <f t="shared" si="816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2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17"/>
        <v/>
      </c>
      <c r="IM120" s="482" t="str">
        <f t="shared" si="733"/>
        <v/>
      </c>
      <c r="IN120" s="670" t="str">
        <f t="shared" si="818"/>
        <v/>
      </c>
      <c r="IO120" s="702"/>
      <c r="IP120" s="5" t="str">
        <f t="shared" si="819"/>
        <v/>
      </c>
      <c r="IQ120" s="714"/>
      <c r="IR120" s="9" t="str">
        <f t="shared" si="820"/>
        <v/>
      </c>
      <c r="IS120" s="5" t="str">
        <f t="shared" si="821"/>
        <v/>
      </c>
      <c r="IT120" s="5" t="str">
        <f t="shared" si="822"/>
        <v/>
      </c>
      <c r="IU120" s="5" t="str">
        <f t="shared" si="823"/>
        <v/>
      </c>
      <c r="IV120" s="670" t="str">
        <f t="shared" si="824"/>
        <v/>
      </c>
      <c r="IW120" s="9" t="str">
        <f t="shared" si="825"/>
        <v/>
      </c>
      <c r="IX120" s="5" t="str">
        <f t="shared" si="826"/>
        <v/>
      </c>
      <c r="IY120" s="5" t="str">
        <f t="shared" si="827"/>
        <v/>
      </c>
      <c r="IZ120" s="5" t="str">
        <f t="shared" si="828"/>
        <v/>
      </c>
      <c r="JA120" s="705" t="str">
        <f t="shared" si="829"/>
        <v/>
      </c>
    </row>
    <row r="121" spans="1:261" ht="15" customHeight="1" x14ac:dyDescent="0.25">
      <c r="A121" s="75" t="str">
        <f t="shared" si="736"/>
        <v/>
      </c>
      <c r="B121" s="578" t="str">
        <f t="shared" si="737"/>
        <v/>
      </c>
      <c r="C121" s="572" t="str">
        <f t="shared" si="738"/>
        <v/>
      </c>
      <c r="D121" s="576" t="str">
        <f t="shared" si="739"/>
        <v/>
      </c>
      <c r="E121" s="580" t="str">
        <f t="shared" si="740"/>
        <v/>
      </c>
      <c r="F121" s="572" t="str">
        <f t="shared" si="741"/>
        <v/>
      </c>
      <c r="G121" s="579" t="str">
        <f t="shared" si="742"/>
        <v/>
      </c>
      <c r="H121" s="580" t="str">
        <f t="shared" si="743"/>
        <v/>
      </c>
      <c r="I121" s="572" t="str">
        <f t="shared" si="744"/>
        <v/>
      </c>
      <c r="J121" s="483" t="str">
        <f t="shared" si="745"/>
        <v/>
      </c>
      <c r="K121" s="806" t="str">
        <f t="shared" si="746"/>
        <v/>
      </c>
      <c r="L121" s="309"/>
      <c r="M121" s="164" t="str">
        <f t="shared" si="747"/>
        <v/>
      </c>
      <c r="N121" s="575" t="str">
        <f t="shared" si="748"/>
        <v/>
      </c>
      <c r="O121" s="572" t="str">
        <f t="shared" si="749"/>
        <v/>
      </c>
      <c r="P121" s="576" t="str">
        <f t="shared" si="750"/>
        <v/>
      </c>
      <c r="Q121" s="528" t="str">
        <f t="shared" si="609"/>
        <v/>
      </c>
      <c r="R121" s="572" t="str">
        <f t="shared" si="830"/>
        <v/>
      </c>
      <c r="S121" s="577" t="str">
        <f t="shared" si="831"/>
        <v/>
      </c>
      <c r="T121" s="578" t="str">
        <f t="shared" si="832"/>
        <v/>
      </c>
      <c r="U121" s="572" t="str">
        <f t="shared" si="833"/>
        <v/>
      </c>
      <c r="V121" s="579" t="str">
        <f t="shared" si="834"/>
        <v/>
      </c>
      <c r="W121" s="528" t="str">
        <f t="shared" si="735"/>
        <v/>
      </c>
      <c r="X121" s="572" t="str">
        <f t="shared" si="835"/>
        <v/>
      </c>
      <c r="Y121" s="573" t="str">
        <f t="shared" si="734"/>
        <v/>
      </c>
      <c r="Z121" s="575" t="str">
        <f t="shared" si="751"/>
        <v/>
      </c>
      <c r="AA121" s="572" t="str">
        <f t="shared" si="752"/>
        <v/>
      </c>
      <c r="AB121" s="572" t="str">
        <f t="shared" si="753"/>
        <v/>
      </c>
      <c r="AC121" s="579" t="str">
        <f t="shared" si="836"/>
        <v/>
      </c>
      <c r="AD121" s="580" t="str">
        <f t="shared" si="837"/>
        <v/>
      </c>
      <c r="AE121" s="572" t="str">
        <f t="shared" si="838"/>
        <v/>
      </c>
      <c r="AF121" s="576" t="str">
        <f t="shared" si="839"/>
        <v/>
      </c>
      <c r="AG121" s="545" t="str">
        <f t="shared" si="840"/>
        <v/>
      </c>
      <c r="AH121" s="546" t="str">
        <f t="shared" si="841"/>
        <v/>
      </c>
      <c r="AI121" s="528" t="str">
        <f t="shared" si="842"/>
        <v/>
      </c>
      <c r="AJ121" s="529" t="str">
        <f t="shared" si="843"/>
        <v/>
      </c>
      <c r="AK121" s="578" t="str">
        <f t="shared" si="844"/>
        <v/>
      </c>
      <c r="AL121" s="572" t="str">
        <f t="shared" si="845"/>
        <v/>
      </c>
      <c r="AM121" s="577" t="str">
        <f t="shared" si="846"/>
        <v/>
      </c>
      <c r="AN121" s="524" t="str">
        <f t="shared" si="847"/>
        <v/>
      </c>
      <c r="AO121" s="525" t="str">
        <f t="shared" si="855"/>
        <v/>
      </c>
      <c r="AP121" s="528" t="str">
        <f t="shared" si="848"/>
        <v/>
      </c>
      <c r="AQ121" s="529" t="str">
        <f t="shared" si="754"/>
        <v/>
      </c>
      <c r="AS121" s="946" t="str">
        <f t="shared" si="852"/>
        <v/>
      </c>
      <c r="AT121" s="942" t="str">
        <f t="shared" si="755"/>
        <v/>
      </c>
      <c r="AU121" s="418"/>
      <c r="AV121" s="164" t="str">
        <f t="shared" si="75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5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58"/>
        <v/>
      </c>
      <c r="BF121" s="4" t="str">
        <f t="shared" si="759"/>
        <v/>
      </c>
      <c r="BG121" s="5" t="str">
        <f t="shared" si="760"/>
        <v/>
      </c>
      <c r="BH121" s="10" t="str">
        <f t="shared" si="761"/>
        <v/>
      </c>
      <c r="BI121" s="9" t="str">
        <f t="shared" si="634"/>
        <v/>
      </c>
      <c r="BJ121" s="5" t="str">
        <f t="shared" si="762"/>
        <v/>
      </c>
      <c r="BK121" s="8" t="str">
        <f t="shared" si="763"/>
        <v/>
      </c>
      <c r="BL121" s="173" t="str">
        <f t="shared" si="764"/>
        <v/>
      </c>
      <c r="BM121" s="5" t="str">
        <f t="shared" si="765"/>
        <v/>
      </c>
      <c r="BN121" s="6" t="str">
        <f t="shared" si="766"/>
        <v/>
      </c>
      <c r="BO121" s="4" t="str">
        <f t="shared" si="635"/>
        <v/>
      </c>
      <c r="BP121" s="5" t="str">
        <f t="shared" si="636"/>
        <v/>
      </c>
      <c r="BQ121" s="5" t="str">
        <f t="shared" si="637"/>
        <v/>
      </c>
      <c r="BR121" s="6" t="str">
        <f t="shared" si="638"/>
        <v/>
      </c>
      <c r="BS121" s="4" t="str">
        <f t="shared" si="849"/>
        <v/>
      </c>
      <c r="BT121" s="5" t="str">
        <f t="shared" si="84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67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3"/>
        <v/>
      </c>
      <c r="DC121" s="5" t="str">
        <f t="shared" si="853"/>
        <v/>
      </c>
      <c r="DD121" s="10" t="str">
        <f t="shared" si="659"/>
        <v/>
      </c>
      <c r="DE121" s="9" t="str">
        <f t="shared" si="854"/>
        <v/>
      </c>
      <c r="DF121" s="5" t="str">
        <f t="shared" si="854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8"/>
        <v/>
      </c>
      <c r="ET121" s="5" t="str">
        <f t="shared" si="769"/>
        <v/>
      </c>
      <c r="EU121" s="10" t="str">
        <f t="shared" si="770"/>
        <v/>
      </c>
      <c r="EV121" s="174" t="str">
        <f t="shared" si="771"/>
        <v/>
      </c>
      <c r="EW121" s="9" t="str">
        <f t="shared" si="772"/>
        <v/>
      </c>
      <c r="EX121" s="5" t="str">
        <f t="shared" si="773"/>
        <v/>
      </c>
      <c r="EY121" s="6" t="str">
        <f t="shared" si="699"/>
        <v/>
      </c>
      <c r="EZ121" s="51" t="str">
        <f t="shared" si="700"/>
        <v/>
      </c>
      <c r="FA121" s="173" t="str">
        <f t="shared" si="774"/>
        <v/>
      </c>
      <c r="FB121" s="5" t="str">
        <f t="shared" si="775"/>
        <v/>
      </c>
      <c r="FC121" s="6" t="str">
        <f t="shared" si="776"/>
        <v/>
      </c>
      <c r="FD121" s="4" t="str">
        <f t="shared" si="777"/>
        <v/>
      </c>
      <c r="FE121" s="5" t="str">
        <f t="shared" si="778"/>
        <v/>
      </c>
      <c r="FF121" s="7" t="str">
        <f t="shared" si="701"/>
        <v/>
      </c>
      <c r="FG121" s="173" t="str">
        <f t="shared" si="779"/>
        <v/>
      </c>
      <c r="FH121" s="5" t="str">
        <f t="shared" si="780"/>
        <v/>
      </c>
      <c r="FI121" s="10" t="str">
        <f t="shared" si="781"/>
        <v/>
      </c>
      <c r="FJ121" s="279" t="str">
        <f t="shared" si="702"/>
        <v/>
      </c>
      <c r="FK121" s="4" t="str">
        <f t="shared" si="78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83"/>
        <v/>
      </c>
      <c r="FP121" s="277" t="str">
        <f t="shared" si="629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4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5"/>
        <v/>
      </c>
      <c r="GH121" s="286" t="str">
        <f t="shared" si="786"/>
        <v/>
      </c>
      <c r="GI121" s="281" t="str">
        <f t="shared" si="787"/>
        <v/>
      </c>
      <c r="GJ121" s="167" t="str">
        <f t="shared" si="718"/>
        <v/>
      </c>
      <c r="GK121" s="174" t="str">
        <f t="shared" si="788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89"/>
        <v/>
      </c>
      <c r="GT121" s="343" t="str">
        <f t="shared" si="790"/>
        <v/>
      </c>
      <c r="GU121" s="344" t="str">
        <f t="shared" si="791"/>
        <v/>
      </c>
      <c r="GV121" s="343" t="str">
        <f t="shared" si="726"/>
        <v/>
      </c>
      <c r="GW121" s="345" t="str">
        <f t="shared" si="792"/>
        <v/>
      </c>
      <c r="GX121" s="346" t="str">
        <f t="shared" si="793"/>
        <v/>
      </c>
      <c r="GY121" s="344" t="str">
        <f t="shared" si="794"/>
        <v/>
      </c>
      <c r="GZ121" s="345" t="str">
        <f t="shared" si="795"/>
        <v/>
      </c>
      <c r="HA121" s="342" t="str">
        <f t="shared" si="796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7"/>
        <v/>
      </c>
      <c r="HF121" s="5" t="str">
        <f t="shared" si="798"/>
        <v/>
      </c>
      <c r="HG121" s="343" t="str">
        <f t="shared" si="730"/>
        <v/>
      </c>
      <c r="HH121" s="349" t="str">
        <f t="shared" si="731"/>
        <v/>
      </c>
      <c r="HI121" s="317" t="str">
        <f t="shared" si="799"/>
        <v/>
      </c>
      <c r="HK121" s="310" t="str">
        <f t="shared" si="850"/>
        <v/>
      </c>
      <c r="HL121" s="348" t="str">
        <f t="shared" si="800"/>
        <v/>
      </c>
      <c r="HM121" s="923" t="str">
        <f t="shared" si="801"/>
        <v/>
      </c>
      <c r="HN121" s="924" t="str">
        <f t="shared" si="802"/>
        <v/>
      </c>
      <c r="HO121" s="925"/>
      <c r="HP121" s="926"/>
      <c r="HQ121" s="924" t="str">
        <f t="shared" si="803"/>
        <v/>
      </c>
      <c r="HR121" s="927" t="str">
        <f t="shared" si="804"/>
        <v/>
      </c>
      <c r="HS121" s="879" t="str">
        <f t="shared" si="851"/>
        <v/>
      </c>
      <c r="HT121" s="889" t="str">
        <f t="shared" si="805"/>
        <v/>
      </c>
      <c r="HU121" s="890" t="str">
        <f t="shared" si="806"/>
        <v/>
      </c>
      <c r="HV121" s="886" t="str">
        <f t="shared" si="807"/>
        <v/>
      </c>
      <c r="HW121" s="880" t="str">
        <f t="shared" si="808"/>
        <v/>
      </c>
      <c r="HX121" s="881" t="str">
        <f t="shared" si="809"/>
        <v/>
      </c>
      <c r="HY121" s="880" t="str">
        <f t="shared" si="810"/>
        <v/>
      </c>
      <c r="HZ121" s="882" t="str">
        <f t="shared" si="811"/>
        <v/>
      </c>
      <c r="IA121" s="883" t="str">
        <f t="shared" si="812"/>
        <v/>
      </c>
      <c r="IB121" s="884" t="str">
        <f t="shared" si="813"/>
        <v/>
      </c>
      <c r="IC121" s="855" t="str">
        <f t="shared" si="814"/>
        <v/>
      </c>
      <c r="ID121" s="351" t="str">
        <f t="shared" si="815"/>
        <v/>
      </c>
      <c r="IE121" s="857" t="str">
        <f t="shared" si="816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2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17"/>
        <v/>
      </c>
      <c r="IM121" s="482" t="str">
        <f t="shared" si="733"/>
        <v/>
      </c>
      <c r="IN121" s="670" t="str">
        <f t="shared" si="818"/>
        <v/>
      </c>
      <c r="IO121" s="702"/>
      <c r="IP121" s="5" t="str">
        <f t="shared" si="819"/>
        <v/>
      </c>
      <c r="IQ121" s="714"/>
      <c r="IR121" s="9" t="str">
        <f t="shared" si="820"/>
        <v/>
      </c>
      <c r="IS121" s="5" t="str">
        <f t="shared" si="821"/>
        <v/>
      </c>
      <c r="IT121" s="5" t="str">
        <f t="shared" si="822"/>
        <v/>
      </c>
      <c r="IU121" s="5" t="str">
        <f t="shared" si="823"/>
        <v/>
      </c>
      <c r="IV121" s="670" t="str">
        <f t="shared" si="824"/>
        <v/>
      </c>
      <c r="IW121" s="9" t="str">
        <f t="shared" si="825"/>
        <v/>
      </c>
      <c r="IX121" s="5" t="str">
        <f t="shared" si="826"/>
        <v/>
      </c>
      <c r="IY121" s="5" t="str">
        <f t="shared" si="827"/>
        <v/>
      </c>
      <c r="IZ121" s="5" t="str">
        <f t="shared" si="828"/>
        <v/>
      </c>
      <c r="JA121" s="705" t="str">
        <f t="shared" si="829"/>
        <v/>
      </c>
    </row>
    <row r="122" spans="1:261" ht="15" customHeight="1" x14ac:dyDescent="0.25">
      <c r="A122" s="75" t="str">
        <f t="shared" si="736"/>
        <v/>
      </c>
      <c r="B122" s="578" t="str">
        <f t="shared" si="737"/>
        <v/>
      </c>
      <c r="C122" s="572" t="str">
        <f t="shared" si="738"/>
        <v/>
      </c>
      <c r="D122" s="576" t="str">
        <f t="shared" si="739"/>
        <v/>
      </c>
      <c r="E122" s="580" t="str">
        <f t="shared" si="740"/>
        <v/>
      </c>
      <c r="F122" s="572" t="str">
        <f t="shared" si="741"/>
        <v/>
      </c>
      <c r="G122" s="579" t="str">
        <f t="shared" si="742"/>
        <v/>
      </c>
      <c r="H122" s="580" t="str">
        <f t="shared" si="743"/>
        <v/>
      </c>
      <c r="I122" s="572" t="str">
        <f t="shared" si="744"/>
        <v/>
      </c>
      <c r="J122" s="483" t="str">
        <f t="shared" si="745"/>
        <v/>
      </c>
      <c r="K122" s="806" t="str">
        <f t="shared" si="746"/>
        <v/>
      </c>
      <c r="L122" s="309"/>
      <c r="M122" s="164" t="str">
        <f t="shared" si="747"/>
        <v/>
      </c>
      <c r="N122" s="575" t="str">
        <f t="shared" si="748"/>
        <v/>
      </c>
      <c r="O122" s="572" t="str">
        <f t="shared" si="749"/>
        <v/>
      </c>
      <c r="P122" s="576" t="str">
        <f t="shared" si="750"/>
        <v/>
      </c>
      <c r="Q122" s="528" t="str">
        <f t="shared" si="609"/>
        <v/>
      </c>
      <c r="R122" s="572" t="str">
        <f t="shared" si="830"/>
        <v/>
      </c>
      <c r="S122" s="577" t="str">
        <f t="shared" si="831"/>
        <v/>
      </c>
      <c r="T122" s="578" t="str">
        <f t="shared" si="832"/>
        <v/>
      </c>
      <c r="U122" s="572" t="str">
        <f t="shared" si="833"/>
        <v/>
      </c>
      <c r="V122" s="579" t="str">
        <f t="shared" si="834"/>
        <v/>
      </c>
      <c r="W122" s="528" t="str">
        <f t="shared" si="735"/>
        <v/>
      </c>
      <c r="X122" s="572" t="str">
        <f t="shared" si="835"/>
        <v/>
      </c>
      <c r="Y122" s="573" t="str">
        <f t="shared" si="734"/>
        <v/>
      </c>
      <c r="Z122" s="575" t="str">
        <f t="shared" si="751"/>
        <v/>
      </c>
      <c r="AA122" s="572" t="str">
        <f t="shared" si="752"/>
        <v/>
      </c>
      <c r="AB122" s="572" t="str">
        <f t="shared" si="753"/>
        <v/>
      </c>
      <c r="AC122" s="579" t="str">
        <f t="shared" si="836"/>
        <v/>
      </c>
      <c r="AD122" s="580" t="str">
        <f t="shared" si="837"/>
        <v/>
      </c>
      <c r="AE122" s="572" t="str">
        <f t="shared" si="838"/>
        <v/>
      </c>
      <c r="AF122" s="576" t="str">
        <f t="shared" si="839"/>
        <v/>
      </c>
      <c r="AG122" s="545" t="str">
        <f t="shared" si="840"/>
        <v/>
      </c>
      <c r="AH122" s="546" t="str">
        <f t="shared" si="841"/>
        <v/>
      </c>
      <c r="AI122" s="528" t="str">
        <f t="shared" si="842"/>
        <v/>
      </c>
      <c r="AJ122" s="529" t="str">
        <f t="shared" si="843"/>
        <v/>
      </c>
      <c r="AK122" s="578" t="str">
        <f t="shared" si="844"/>
        <v/>
      </c>
      <c r="AL122" s="572" t="str">
        <f t="shared" si="845"/>
        <v/>
      </c>
      <c r="AM122" s="577" t="str">
        <f t="shared" si="846"/>
        <v/>
      </c>
      <c r="AN122" s="524" t="str">
        <f t="shared" si="847"/>
        <v/>
      </c>
      <c r="AO122" s="525" t="str">
        <f t="shared" si="855"/>
        <v/>
      </c>
      <c r="AP122" s="528" t="str">
        <f t="shared" si="848"/>
        <v/>
      </c>
      <c r="AQ122" s="529" t="str">
        <f t="shared" si="754"/>
        <v/>
      </c>
      <c r="AS122" s="946" t="str">
        <f t="shared" si="852"/>
        <v/>
      </c>
      <c r="AT122" s="942" t="str">
        <f t="shared" si="755"/>
        <v/>
      </c>
      <c r="AU122" s="418"/>
      <c r="AV122" s="164" t="str">
        <f t="shared" si="75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5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58"/>
        <v/>
      </c>
      <c r="BF122" s="4" t="str">
        <f t="shared" si="759"/>
        <v/>
      </c>
      <c r="BG122" s="5" t="str">
        <f t="shared" si="760"/>
        <v/>
      </c>
      <c r="BH122" s="10" t="str">
        <f t="shared" si="761"/>
        <v/>
      </c>
      <c r="BI122" s="9" t="str">
        <f t="shared" si="634"/>
        <v/>
      </c>
      <c r="BJ122" s="5" t="str">
        <f t="shared" si="762"/>
        <v/>
      </c>
      <c r="BK122" s="8" t="str">
        <f t="shared" si="763"/>
        <v/>
      </c>
      <c r="BL122" s="173" t="str">
        <f t="shared" si="764"/>
        <v/>
      </c>
      <c r="BM122" s="5" t="str">
        <f t="shared" si="765"/>
        <v/>
      </c>
      <c r="BN122" s="6" t="str">
        <f t="shared" si="766"/>
        <v/>
      </c>
      <c r="BO122" s="4" t="str">
        <f t="shared" si="635"/>
        <v/>
      </c>
      <c r="BP122" s="5" t="str">
        <f t="shared" si="636"/>
        <v/>
      </c>
      <c r="BQ122" s="5" t="str">
        <f t="shared" si="637"/>
        <v/>
      </c>
      <c r="BR122" s="6" t="str">
        <f t="shared" si="638"/>
        <v/>
      </c>
      <c r="BS122" s="4" t="str">
        <f t="shared" si="849"/>
        <v/>
      </c>
      <c r="BT122" s="5" t="str">
        <f t="shared" si="84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67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3"/>
        <v/>
      </c>
      <c r="DC122" s="5" t="str">
        <f t="shared" si="853"/>
        <v/>
      </c>
      <c r="DD122" s="10" t="str">
        <f t="shared" si="659"/>
        <v/>
      </c>
      <c r="DE122" s="9" t="str">
        <f t="shared" si="854"/>
        <v/>
      </c>
      <c r="DF122" s="5" t="str">
        <f t="shared" si="854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8"/>
        <v/>
      </c>
      <c r="ET122" s="5" t="str">
        <f t="shared" si="769"/>
        <v/>
      </c>
      <c r="EU122" s="10" t="str">
        <f t="shared" si="770"/>
        <v/>
      </c>
      <c r="EV122" s="174" t="str">
        <f t="shared" si="771"/>
        <v/>
      </c>
      <c r="EW122" s="9" t="str">
        <f t="shared" si="772"/>
        <v/>
      </c>
      <c r="EX122" s="5" t="str">
        <f t="shared" si="773"/>
        <v/>
      </c>
      <c r="EY122" s="6" t="str">
        <f t="shared" si="699"/>
        <v/>
      </c>
      <c r="EZ122" s="51" t="str">
        <f t="shared" si="700"/>
        <v/>
      </c>
      <c r="FA122" s="173" t="str">
        <f t="shared" si="774"/>
        <v/>
      </c>
      <c r="FB122" s="5" t="str">
        <f t="shared" si="775"/>
        <v/>
      </c>
      <c r="FC122" s="6" t="str">
        <f t="shared" si="776"/>
        <v/>
      </c>
      <c r="FD122" s="4" t="str">
        <f t="shared" si="777"/>
        <v/>
      </c>
      <c r="FE122" s="5" t="str">
        <f t="shared" si="778"/>
        <v/>
      </c>
      <c r="FF122" s="7" t="str">
        <f t="shared" si="701"/>
        <v/>
      </c>
      <c r="FG122" s="173" t="str">
        <f t="shared" si="779"/>
        <v/>
      </c>
      <c r="FH122" s="5" t="str">
        <f t="shared" si="780"/>
        <v/>
      </c>
      <c r="FI122" s="10" t="str">
        <f t="shared" si="781"/>
        <v/>
      </c>
      <c r="FJ122" s="279" t="str">
        <f t="shared" si="702"/>
        <v/>
      </c>
      <c r="FK122" s="4" t="str">
        <f t="shared" si="78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83"/>
        <v/>
      </c>
      <c r="FP122" s="277" t="str">
        <f t="shared" si="629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4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5"/>
        <v/>
      </c>
      <c r="GH122" s="286" t="str">
        <f t="shared" si="786"/>
        <v/>
      </c>
      <c r="GI122" s="281" t="str">
        <f t="shared" si="787"/>
        <v/>
      </c>
      <c r="GJ122" s="167" t="str">
        <f t="shared" si="718"/>
        <v/>
      </c>
      <c r="GK122" s="174" t="str">
        <f t="shared" si="788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89"/>
        <v/>
      </c>
      <c r="GT122" s="343" t="str">
        <f t="shared" si="790"/>
        <v/>
      </c>
      <c r="GU122" s="344" t="str">
        <f t="shared" si="791"/>
        <v/>
      </c>
      <c r="GV122" s="343" t="str">
        <f t="shared" si="726"/>
        <v/>
      </c>
      <c r="GW122" s="345" t="str">
        <f t="shared" si="792"/>
        <v/>
      </c>
      <c r="GX122" s="346" t="str">
        <f t="shared" si="793"/>
        <v/>
      </c>
      <c r="GY122" s="344" t="str">
        <f t="shared" si="794"/>
        <v/>
      </c>
      <c r="GZ122" s="345" t="str">
        <f t="shared" si="795"/>
        <v/>
      </c>
      <c r="HA122" s="342" t="str">
        <f t="shared" si="796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7"/>
        <v/>
      </c>
      <c r="HF122" s="5" t="str">
        <f t="shared" si="798"/>
        <v/>
      </c>
      <c r="HG122" s="343" t="str">
        <f t="shared" si="730"/>
        <v/>
      </c>
      <c r="HH122" s="349" t="str">
        <f t="shared" si="731"/>
        <v/>
      </c>
      <c r="HI122" s="317" t="str">
        <f t="shared" si="799"/>
        <v/>
      </c>
      <c r="HK122" s="310" t="str">
        <f t="shared" si="850"/>
        <v/>
      </c>
      <c r="HL122" s="348" t="str">
        <f t="shared" si="800"/>
        <v/>
      </c>
      <c r="HM122" s="923" t="str">
        <f t="shared" si="801"/>
        <v/>
      </c>
      <c r="HN122" s="924" t="str">
        <f t="shared" si="802"/>
        <v/>
      </c>
      <c r="HO122" s="925"/>
      <c r="HP122" s="926"/>
      <c r="HQ122" s="924" t="str">
        <f t="shared" si="803"/>
        <v/>
      </c>
      <c r="HR122" s="927" t="str">
        <f t="shared" si="804"/>
        <v/>
      </c>
      <c r="HS122" s="879" t="str">
        <f t="shared" si="851"/>
        <v/>
      </c>
      <c r="HT122" s="889" t="str">
        <f t="shared" si="805"/>
        <v/>
      </c>
      <c r="HU122" s="890" t="str">
        <f t="shared" si="806"/>
        <v/>
      </c>
      <c r="HV122" s="886" t="str">
        <f t="shared" si="807"/>
        <v/>
      </c>
      <c r="HW122" s="880" t="str">
        <f t="shared" si="808"/>
        <v/>
      </c>
      <c r="HX122" s="881" t="str">
        <f t="shared" si="809"/>
        <v/>
      </c>
      <c r="HY122" s="880" t="str">
        <f t="shared" si="810"/>
        <v/>
      </c>
      <c r="HZ122" s="882" t="str">
        <f t="shared" si="811"/>
        <v/>
      </c>
      <c r="IA122" s="883" t="str">
        <f t="shared" si="812"/>
        <v/>
      </c>
      <c r="IB122" s="884" t="str">
        <f t="shared" si="813"/>
        <v/>
      </c>
      <c r="IC122" s="855" t="str">
        <f t="shared" si="814"/>
        <v/>
      </c>
      <c r="ID122" s="351" t="str">
        <f t="shared" si="815"/>
        <v/>
      </c>
      <c r="IE122" s="857" t="str">
        <f t="shared" si="816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2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17"/>
        <v/>
      </c>
      <c r="IM122" s="482" t="str">
        <f t="shared" si="733"/>
        <v/>
      </c>
      <c r="IN122" s="670" t="str">
        <f t="shared" si="818"/>
        <v/>
      </c>
      <c r="IO122" s="702"/>
      <c r="IP122" s="5" t="str">
        <f t="shared" si="819"/>
        <v/>
      </c>
      <c r="IQ122" s="714"/>
      <c r="IR122" s="9" t="str">
        <f t="shared" si="820"/>
        <v/>
      </c>
      <c r="IS122" s="5" t="str">
        <f t="shared" si="821"/>
        <v/>
      </c>
      <c r="IT122" s="5" t="str">
        <f t="shared" si="822"/>
        <v/>
      </c>
      <c r="IU122" s="5" t="str">
        <f t="shared" si="823"/>
        <v/>
      </c>
      <c r="IV122" s="670" t="str">
        <f t="shared" si="824"/>
        <v/>
      </c>
      <c r="IW122" s="9" t="str">
        <f t="shared" si="825"/>
        <v/>
      </c>
      <c r="IX122" s="5" t="str">
        <f t="shared" si="826"/>
        <v/>
      </c>
      <c r="IY122" s="5" t="str">
        <f t="shared" si="827"/>
        <v/>
      </c>
      <c r="IZ122" s="5" t="str">
        <f t="shared" si="828"/>
        <v/>
      </c>
      <c r="JA122" s="705" t="str">
        <f t="shared" si="829"/>
        <v/>
      </c>
    </row>
    <row r="123" spans="1:261" ht="15" customHeight="1" x14ac:dyDescent="0.25">
      <c r="A123" s="75" t="str">
        <f t="shared" si="736"/>
        <v/>
      </c>
      <c r="B123" s="578" t="str">
        <f t="shared" si="737"/>
        <v/>
      </c>
      <c r="C123" s="572" t="str">
        <f t="shared" si="738"/>
        <v/>
      </c>
      <c r="D123" s="576" t="str">
        <f t="shared" si="739"/>
        <v/>
      </c>
      <c r="E123" s="580" t="str">
        <f t="shared" si="740"/>
        <v/>
      </c>
      <c r="F123" s="572" t="str">
        <f t="shared" si="741"/>
        <v/>
      </c>
      <c r="G123" s="579" t="str">
        <f t="shared" si="742"/>
        <v/>
      </c>
      <c r="H123" s="580" t="str">
        <f t="shared" si="743"/>
        <v/>
      </c>
      <c r="I123" s="572" t="str">
        <f t="shared" si="744"/>
        <v/>
      </c>
      <c r="J123" s="483" t="str">
        <f t="shared" si="745"/>
        <v/>
      </c>
      <c r="K123" s="806" t="str">
        <f t="shared" si="746"/>
        <v/>
      </c>
      <c r="L123" s="309"/>
      <c r="M123" s="164" t="str">
        <f t="shared" si="747"/>
        <v/>
      </c>
      <c r="N123" s="575" t="str">
        <f t="shared" si="748"/>
        <v/>
      </c>
      <c r="O123" s="572" t="str">
        <f t="shared" si="749"/>
        <v/>
      </c>
      <c r="P123" s="576" t="str">
        <f t="shared" si="750"/>
        <v/>
      </c>
      <c r="Q123" s="528" t="str">
        <f t="shared" si="609"/>
        <v/>
      </c>
      <c r="R123" s="572" t="str">
        <f t="shared" si="830"/>
        <v/>
      </c>
      <c r="S123" s="577" t="str">
        <f t="shared" si="831"/>
        <v/>
      </c>
      <c r="T123" s="578" t="str">
        <f t="shared" si="832"/>
        <v/>
      </c>
      <c r="U123" s="572" t="str">
        <f t="shared" si="833"/>
        <v/>
      </c>
      <c r="V123" s="579" t="str">
        <f t="shared" si="834"/>
        <v/>
      </c>
      <c r="W123" s="528" t="str">
        <f t="shared" si="735"/>
        <v/>
      </c>
      <c r="X123" s="572" t="str">
        <f t="shared" si="835"/>
        <v/>
      </c>
      <c r="Y123" s="573" t="str">
        <f t="shared" si="734"/>
        <v/>
      </c>
      <c r="Z123" s="575" t="str">
        <f t="shared" si="751"/>
        <v/>
      </c>
      <c r="AA123" s="572" t="str">
        <f t="shared" si="752"/>
        <v/>
      </c>
      <c r="AB123" s="572" t="str">
        <f t="shared" si="753"/>
        <v/>
      </c>
      <c r="AC123" s="579" t="str">
        <f t="shared" si="836"/>
        <v/>
      </c>
      <c r="AD123" s="580" t="str">
        <f t="shared" si="837"/>
        <v/>
      </c>
      <c r="AE123" s="572" t="str">
        <f t="shared" si="838"/>
        <v/>
      </c>
      <c r="AF123" s="576" t="str">
        <f t="shared" si="839"/>
        <v/>
      </c>
      <c r="AG123" s="545" t="str">
        <f t="shared" si="840"/>
        <v/>
      </c>
      <c r="AH123" s="546" t="str">
        <f t="shared" si="841"/>
        <v/>
      </c>
      <c r="AI123" s="528" t="str">
        <f t="shared" si="842"/>
        <v/>
      </c>
      <c r="AJ123" s="529" t="str">
        <f t="shared" si="843"/>
        <v/>
      </c>
      <c r="AK123" s="578" t="str">
        <f t="shared" si="844"/>
        <v/>
      </c>
      <c r="AL123" s="572" t="str">
        <f t="shared" si="845"/>
        <v/>
      </c>
      <c r="AM123" s="577" t="str">
        <f t="shared" si="846"/>
        <v/>
      </c>
      <c r="AN123" s="524" t="str">
        <f t="shared" si="847"/>
        <v/>
      </c>
      <c r="AO123" s="525" t="str">
        <f t="shared" si="855"/>
        <v/>
      </c>
      <c r="AP123" s="528" t="str">
        <f t="shared" si="848"/>
        <v/>
      </c>
      <c r="AQ123" s="529" t="str">
        <f t="shared" si="754"/>
        <v/>
      </c>
      <c r="AS123" s="946" t="str">
        <f t="shared" si="852"/>
        <v/>
      </c>
      <c r="AT123" s="942" t="str">
        <f t="shared" si="755"/>
        <v/>
      </c>
      <c r="AU123" s="418"/>
      <c r="AV123" s="164" t="str">
        <f t="shared" si="75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5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58"/>
        <v/>
      </c>
      <c r="BF123" s="4" t="str">
        <f t="shared" si="759"/>
        <v/>
      </c>
      <c r="BG123" s="5" t="str">
        <f t="shared" si="760"/>
        <v/>
      </c>
      <c r="BH123" s="10" t="str">
        <f t="shared" si="761"/>
        <v/>
      </c>
      <c r="BI123" s="9" t="str">
        <f t="shared" si="634"/>
        <v/>
      </c>
      <c r="BJ123" s="5" t="str">
        <f t="shared" si="762"/>
        <v/>
      </c>
      <c r="BK123" s="8" t="str">
        <f t="shared" si="763"/>
        <v/>
      </c>
      <c r="BL123" s="173" t="str">
        <f t="shared" si="764"/>
        <v/>
      </c>
      <c r="BM123" s="5" t="str">
        <f t="shared" si="765"/>
        <v/>
      </c>
      <c r="BN123" s="6" t="str">
        <f t="shared" si="766"/>
        <v/>
      </c>
      <c r="BO123" s="4" t="str">
        <f t="shared" si="635"/>
        <v/>
      </c>
      <c r="BP123" s="5" t="str">
        <f t="shared" si="636"/>
        <v/>
      </c>
      <c r="BQ123" s="5" t="str">
        <f t="shared" si="637"/>
        <v/>
      </c>
      <c r="BR123" s="6" t="str">
        <f t="shared" si="638"/>
        <v/>
      </c>
      <c r="BS123" s="4" t="str">
        <f t="shared" si="849"/>
        <v/>
      </c>
      <c r="BT123" s="5" t="str">
        <f t="shared" si="84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67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3"/>
        <v/>
      </c>
      <c r="DC123" s="5" t="str">
        <f t="shared" si="853"/>
        <v/>
      </c>
      <c r="DD123" s="10" t="str">
        <f t="shared" si="659"/>
        <v/>
      </c>
      <c r="DE123" s="9" t="str">
        <f t="shared" si="854"/>
        <v/>
      </c>
      <c r="DF123" s="5" t="str">
        <f t="shared" si="854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8"/>
        <v/>
      </c>
      <c r="ET123" s="5" t="str">
        <f t="shared" si="769"/>
        <v/>
      </c>
      <c r="EU123" s="10" t="str">
        <f t="shared" si="770"/>
        <v/>
      </c>
      <c r="EV123" s="174" t="str">
        <f t="shared" si="771"/>
        <v/>
      </c>
      <c r="EW123" s="9" t="str">
        <f t="shared" si="772"/>
        <v/>
      </c>
      <c r="EX123" s="5" t="str">
        <f t="shared" si="773"/>
        <v/>
      </c>
      <c r="EY123" s="6" t="str">
        <f t="shared" si="699"/>
        <v/>
      </c>
      <c r="EZ123" s="51" t="str">
        <f t="shared" si="700"/>
        <v/>
      </c>
      <c r="FA123" s="173" t="str">
        <f t="shared" si="774"/>
        <v/>
      </c>
      <c r="FB123" s="5" t="str">
        <f t="shared" si="775"/>
        <v/>
      </c>
      <c r="FC123" s="6" t="str">
        <f t="shared" si="776"/>
        <v/>
      </c>
      <c r="FD123" s="4" t="str">
        <f t="shared" si="777"/>
        <v/>
      </c>
      <c r="FE123" s="5" t="str">
        <f t="shared" si="778"/>
        <v/>
      </c>
      <c r="FF123" s="7" t="str">
        <f t="shared" si="701"/>
        <v/>
      </c>
      <c r="FG123" s="173" t="str">
        <f t="shared" si="779"/>
        <v/>
      </c>
      <c r="FH123" s="5" t="str">
        <f t="shared" si="780"/>
        <v/>
      </c>
      <c r="FI123" s="10" t="str">
        <f t="shared" si="781"/>
        <v/>
      </c>
      <c r="FJ123" s="279" t="str">
        <f t="shared" si="702"/>
        <v/>
      </c>
      <c r="FK123" s="4" t="str">
        <f t="shared" si="78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83"/>
        <v/>
      </c>
      <c r="FP123" s="277" t="str">
        <f t="shared" si="629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4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5"/>
        <v/>
      </c>
      <c r="GH123" s="286" t="str">
        <f t="shared" si="786"/>
        <v/>
      </c>
      <c r="GI123" s="281" t="str">
        <f t="shared" si="787"/>
        <v/>
      </c>
      <c r="GJ123" s="167" t="str">
        <f t="shared" si="718"/>
        <v/>
      </c>
      <c r="GK123" s="174" t="str">
        <f t="shared" si="788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89"/>
        <v/>
      </c>
      <c r="GT123" s="343" t="str">
        <f t="shared" si="790"/>
        <v/>
      </c>
      <c r="GU123" s="344" t="str">
        <f t="shared" si="791"/>
        <v/>
      </c>
      <c r="GV123" s="343" t="str">
        <f t="shared" si="726"/>
        <v/>
      </c>
      <c r="GW123" s="345" t="str">
        <f t="shared" si="792"/>
        <v/>
      </c>
      <c r="GX123" s="346" t="str">
        <f t="shared" si="793"/>
        <v/>
      </c>
      <c r="GY123" s="344" t="str">
        <f t="shared" si="794"/>
        <v/>
      </c>
      <c r="GZ123" s="345" t="str">
        <f t="shared" si="795"/>
        <v/>
      </c>
      <c r="HA123" s="342" t="str">
        <f t="shared" si="796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7"/>
        <v/>
      </c>
      <c r="HF123" s="5" t="str">
        <f t="shared" si="798"/>
        <v/>
      </c>
      <c r="HG123" s="343" t="str">
        <f t="shared" si="730"/>
        <v/>
      </c>
      <c r="HH123" s="349" t="str">
        <f t="shared" si="731"/>
        <v/>
      </c>
      <c r="HI123" s="317" t="str">
        <f t="shared" si="799"/>
        <v/>
      </c>
      <c r="HK123" s="310" t="str">
        <f t="shared" si="850"/>
        <v/>
      </c>
      <c r="HL123" s="348" t="str">
        <f t="shared" si="800"/>
        <v/>
      </c>
      <c r="HM123" s="923" t="str">
        <f t="shared" si="801"/>
        <v/>
      </c>
      <c r="HN123" s="924" t="str">
        <f t="shared" si="802"/>
        <v/>
      </c>
      <c r="HO123" s="925"/>
      <c r="HP123" s="926"/>
      <c r="HQ123" s="924" t="str">
        <f t="shared" si="803"/>
        <v/>
      </c>
      <c r="HR123" s="927" t="str">
        <f t="shared" si="804"/>
        <v/>
      </c>
      <c r="HS123" s="879" t="str">
        <f t="shared" si="851"/>
        <v/>
      </c>
      <c r="HT123" s="889" t="str">
        <f t="shared" si="805"/>
        <v/>
      </c>
      <c r="HU123" s="890" t="str">
        <f t="shared" si="806"/>
        <v/>
      </c>
      <c r="HV123" s="886" t="str">
        <f t="shared" si="807"/>
        <v/>
      </c>
      <c r="HW123" s="880" t="str">
        <f t="shared" si="808"/>
        <v/>
      </c>
      <c r="HX123" s="881" t="str">
        <f t="shared" si="809"/>
        <v/>
      </c>
      <c r="HY123" s="880" t="str">
        <f t="shared" si="810"/>
        <v/>
      </c>
      <c r="HZ123" s="882" t="str">
        <f t="shared" si="811"/>
        <v/>
      </c>
      <c r="IA123" s="883" t="str">
        <f t="shared" si="812"/>
        <v/>
      </c>
      <c r="IB123" s="884" t="str">
        <f t="shared" si="813"/>
        <v/>
      </c>
      <c r="IC123" s="855" t="str">
        <f t="shared" si="814"/>
        <v/>
      </c>
      <c r="ID123" s="351" t="str">
        <f t="shared" si="815"/>
        <v/>
      </c>
      <c r="IE123" s="857" t="str">
        <f t="shared" si="816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2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17"/>
        <v/>
      </c>
      <c r="IM123" s="482" t="str">
        <f t="shared" si="733"/>
        <v/>
      </c>
      <c r="IN123" s="670" t="str">
        <f t="shared" si="818"/>
        <v/>
      </c>
      <c r="IO123" s="702"/>
      <c r="IP123" s="5" t="str">
        <f t="shared" si="819"/>
        <v/>
      </c>
      <c r="IQ123" s="714"/>
      <c r="IR123" s="9" t="str">
        <f t="shared" si="820"/>
        <v/>
      </c>
      <c r="IS123" s="5" t="str">
        <f t="shared" si="821"/>
        <v/>
      </c>
      <c r="IT123" s="5" t="str">
        <f t="shared" si="822"/>
        <v/>
      </c>
      <c r="IU123" s="5" t="str">
        <f t="shared" si="823"/>
        <v/>
      </c>
      <c r="IV123" s="670" t="str">
        <f t="shared" si="824"/>
        <v/>
      </c>
      <c r="IW123" s="9" t="str">
        <f t="shared" si="825"/>
        <v/>
      </c>
      <c r="IX123" s="5" t="str">
        <f t="shared" si="826"/>
        <v/>
      </c>
      <c r="IY123" s="5" t="str">
        <f t="shared" si="827"/>
        <v/>
      </c>
      <c r="IZ123" s="5" t="str">
        <f t="shared" si="828"/>
        <v/>
      </c>
      <c r="JA123" s="705" t="str">
        <f t="shared" si="829"/>
        <v/>
      </c>
    </row>
    <row r="124" spans="1:261" ht="15" customHeight="1" x14ac:dyDescent="0.25">
      <c r="A124" s="75" t="str">
        <f t="shared" si="736"/>
        <v/>
      </c>
      <c r="B124" s="578" t="str">
        <f t="shared" si="737"/>
        <v/>
      </c>
      <c r="C124" s="572" t="str">
        <f t="shared" si="738"/>
        <v/>
      </c>
      <c r="D124" s="576" t="str">
        <f t="shared" si="739"/>
        <v/>
      </c>
      <c r="E124" s="580" t="str">
        <f t="shared" si="740"/>
        <v/>
      </c>
      <c r="F124" s="572" t="str">
        <f t="shared" si="741"/>
        <v/>
      </c>
      <c r="G124" s="579" t="str">
        <f t="shared" si="742"/>
        <v/>
      </c>
      <c r="H124" s="580" t="str">
        <f t="shared" si="743"/>
        <v/>
      </c>
      <c r="I124" s="572" t="str">
        <f t="shared" si="744"/>
        <v/>
      </c>
      <c r="J124" s="483" t="str">
        <f t="shared" si="745"/>
        <v/>
      </c>
      <c r="K124" s="806" t="str">
        <f t="shared" si="746"/>
        <v/>
      </c>
      <c r="L124" s="309"/>
      <c r="M124" s="164" t="str">
        <f t="shared" si="747"/>
        <v/>
      </c>
      <c r="N124" s="575" t="str">
        <f t="shared" si="748"/>
        <v/>
      </c>
      <c r="O124" s="572" t="str">
        <f t="shared" si="749"/>
        <v/>
      </c>
      <c r="P124" s="576" t="str">
        <f t="shared" si="750"/>
        <v/>
      </c>
      <c r="Q124" s="528" t="str">
        <f t="shared" si="609"/>
        <v/>
      </c>
      <c r="R124" s="572" t="str">
        <f t="shared" si="830"/>
        <v/>
      </c>
      <c r="S124" s="577" t="str">
        <f t="shared" si="831"/>
        <v/>
      </c>
      <c r="T124" s="578" t="str">
        <f t="shared" si="832"/>
        <v/>
      </c>
      <c r="U124" s="572" t="str">
        <f t="shared" si="833"/>
        <v/>
      </c>
      <c r="V124" s="579" t="str">
        <f t="shared" si="834"/>
        <v/>
      </c>
      <c r="W124" s="528" t="str">
        <f t="shared" si="735"/>
        <v/>
      </c>
      <c r="X124" s="572" t="str">
        <f t="shared" si="835"/>
        <v/>
      </c>
      <c r="Y124" s="573" t="str">
        <f t="shared" si="734"/>
        <v/>
      </c>
      <c r="Z124" s="575" t="str">
        <f t="shared" si="751"/>
        <v/>
      </c>
      <c r="AA124" s="572" t="str">
        <f t="shared" si="752"/>
        <v/>
      </c>
      <c r="AB124" s="572" t="str">
        <f t="shared" si="753"/>
        <v/>
      </c>
      <c r="AC124" s="579" t="str">
        <f t="shared" si="836"/>
        <v/>
      </c>
      <c r="AD124" s="580" t="str">
        <f t="shared" si="837"/>
        <v/>
      </c>
      <c r="AE124" s="572" t="str">
        <f t="shared" si="838"/>
        <v/>
      </c>
      <c r="AF124" s="576" t="str">
        <f t="shared" si="839"/>
        <v/>
      </c>
      <c r="AG124" s="545" t="str">
        <f t="shared" si="840"/>
        <v/>
      </c>
      <c r="AH124" s="546" t="str">
        <f t="shared" si="841"/>
        <v/>
      </c>
      <c r="AI124" s="528" t="str">
        <f t="shared" si="842"/>
        <v/>
      </c>
      <c r="AJ124" s="529" t="str">
        <f t="shared" si="843"/>
        <v/>
      </c>
      <c r="AK124" s="578" t="str">
        <f t="shared" si="844"/>
        <v/>
      </c>
      <c r="AL124" s="572" t="str">
        <f t="shared" si="845"/>
        <v/>
      </c>
      <c r="AM124" s="577" t="str">
        <f t="shared" si="846"/>
        <v/>
      </c>
      <c r="AN124" s="524" t="str">
        <f t="shared" si="847"/>
        <v/>
      </c>
      <c r="AO124" s="525" t="str">
        <f t="shared" si="855"/>
        <v/>
      </c>
      <c r="AP124" s="528" t="str">
        <f t="shared" si="848"/>
        <v/>
      </c>
      <c r="AQ124" s="529" t="str">
        <f t="shared" si="754"/>
        <v/>
      </c>
      <c r="AS124" s="946" t="str">
        <f t="shared" si="852"/>
        <v/>
      </c>
      <c r="AT124" s="942" t="str">
        <f t="shared" si="755"/>
        <v/>
      </c>
      <c r="AU124" s="418"/>
      <c r="AV124" s="164" t="str">
        <f t="shared" si="75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5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58"/>
        <v/>
      </c>
      <c r="BF124" s="4" t="str">
        <f t="shared" si="759"/>
        <v/>
      </c>
      <c r="BG124" s="5" t="str">
        <f t="shared" si="760"/>
        <v/>
      </c>
      <c r="BH124" s="10" t="str">
        <f t="shared" si="761"/>
        <v/>
      </c>
      <c r="BI124" s="9" t="str">
        <f t="shared" si="634"/>
        <v/>
      </c>
      <c r="BJ124" s="5" t="str">
        <f t="shared" si="762"/>
        <v/>
      </c>
      <c r="BK124" s="8" t="str">
        <f t="shared" si="763"/>
        <v/>
      </c>
      <c r="BL124" s="173" t="str">
        <f t="shared" si="764"/>
        <v/>
      </c>
      <c r="BM124" s="5" t="str">
        <f t="shared" si="765"/>
        <v/>
      </c>
      <c r="BN124" s="6" t="str">
        <f t="shared" si="766"/>
        <v/>
      </c>
      <c r="BO124" s="4" t="str">
        <f t="shared" si="635"/>
        <v/>
      </c>
      <c r="BP124" s="5" t="str">
        <f t="shared" si="636"/>
        <v/>
      </c>
      <c r="BQ124" s="5" t="str">
        <f t="shared" si="637"/>
        <v/>
      </c>
      <c r="BR124" s="6" t="str">
        <f t="shared" si="638"/>
        <v/>
      </c>
      <c r="BS124" s="4" t="str">
        <f t="shared" si="849"/>
        <v/>
      </c>
      <c r="BT124" s="5" t="str">
        <f t="shared" si="84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67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3"/>
        <v/>
      </c>
      <c r="DC124" s="5" t="str">
        <f t="shared" si="853"/>
        <v/>
      </c>
      <c r="DD124" s="10" t="str">
        <f t="shared" si="659"/>
        <v/>
      </c>
      <c r="DE124" s="9" t="str">
        <f t="shared" si="854"/>
        <v/>
      </c>
      <c r="DF124" s="5" t="str">
        <f t="shared" si="854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8"/>
        <v/>
      </c>
      <c r="ET124" s="5" t="str">
        <f t="shared" si="769"/>
        <v/>
      </c>
      <c r="EU124" s="10" t="str">
        <f t="shared" si="770"/>
        <v/>
      </c>
      <c r="EV124" s="174" t="str">
        <f t="shared" si="771"/>
        <v/>
      </c>
      <c r="EW124" s="9" t="str">
        <f t="shared" si="772"/>
        <v/>
      </c>
      <c r="EX124" s="5" t="str">
        <f t="shared" si="773"/>
        <v/>
      </c>
      <c r="EY124" s="6" t="str">
        <f t="shared" si="699"/>
        <v/>
      </c>
      <c r="EZ124" s="51" t="str">
        <f t="shared" si="700"/>
        <v/>
      </c>
      <c r="FA124" s="173" t="str">
        <f t="shared" si="774"/>
        <v/>
      </c>
      <c r="FB124" s="5" t="str">
        <f t="shared" si="775"/>
        <v/>
      </c>
      <c r="FC124" s="6" t="str">
        <f t="shared" si="776"/>
        <v/>
      </c>
      <c r="FD124" s="4" t="str">
        <f t="shared" si="777"/>
        <v/>
      </c>
      <c r="FE124" s="5" t="str">
        <f t="shared" si="778"/>
        <v/>
      </c>
      <c r="FF124" s="7" t="str">
        <f t="shared" si="701"/>
        <v/>
      </c>
      <c r="FG124" s="173" t="str">
        <f t="shared" si="779"/>
        <v/>
      </c>
      <c r="FH124" s="5" t="str">
        <f t="shared" si="780"/>
        <v/>
      </c>
      <c r="FI124" s="10" t="str">
        <f t="shared" si="781"/>
        <v/>
      </c>
      <c r="FJ124" s="279" t="str">
        <f t="shared" si="702"/>
        <v/>
      </c>
      <c r="FK124" s="4" t="str">
        <f t="shared" si="78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83"/>
        <v/>
      </c>
      <c r="FP124" s="277" t="str">
        <f t="shared" si="629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4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5"/>
        <v/>
      </c>
      <c r="GH124" s="286" t="str">
        <f t="shared" si="786"/>
        <v/>
      </c>
      <c r="GI124" s="281" t="str">
        <f t="shared" si="787"/>
        <v/>
      </c>
      <c r="GJ124" s="167" t="str">
        <f t="shared" si="718"/>
        <v/>
      </c>
      <c r="GK124" s="174" t="str">
        <f t="shared" si="788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89"/>
        <v/>
      </c>
      <c r="GT124" s="343" t="str">
        <f t="shared" si="790"/>
        <v/>
      </c>
      <c r="GU124" s="344" t="str">
        <f t="shared" si="791"/>
        <v/>
      </c>
      <c r="GV124" s="343" t="str">
        <f t="shared" si="726"/>
        <v/>
      </c>
      <c r="GW124" s="345" t="str">
        <f t="shared" si="792"/>
        <v/>
      </c>
      <c r="GX124" s="346" t="str">
        <f t="shared" si="793"/>
        <v/>
      </c>
      <c r="GY124" s="344" t="str">
        <f t="shared" si="794"/>
        <v/>
      </c>
      <c r="GZ124" s="345" t="str">
        <f t="shared" si="795"/>
        <v/>
      </c>
      <c r="HA124" s="342" t="str">
        <f t="shared" si="796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7"/>
        <v/>
      </c>
      <c r="HF124" s="5" t="str">
        <f t="shared" si="798"/>
        <v/>
      </c>
      <c r="HG124" s="343" t="str">
        <f t="shared" si="730"/>
        <v/>
      </c>
      <c r="HH124" s="349" t="str">
        <f t="shared" si="731"/>
        <v/>
      </c>
      <c r="HI124" s="317" t="str">
        <f t="shared" si="799"/>
        <v/>
      </c>
      <c r="HK124" s="310" t="str">
        <f t="shared" si="850"/>
        <v/>
      </c>
      <c r="HL124" s="348" t="str">
        <f t="shared" si="800"/>
        <v/>
      </c>
      <c r="HM124" s="923" t="str">
        <f t="shared" si="801"/>
        <v/>
      </c>
      <c r="HN124" s="924" t="str">
        <f t="shared" si="802"/>
        <v/>
      </c>
      <c r="HO124" s="925"/>
      <c r="HP124" s="926"/>
      <c r="HQ124" s="924" t="str">
        <f t="shared" si="803"/>
        <v/>
      </c>
      <c r="HR124" s="927" t="str">
        <f t="shared" si="804"/>
        <v/>
      </c>
      <c r="HS124" s="879" t="str">
        <f t="shared" si="851"/>
        <v/>
      </c>
      <c r="HT124" s="889" t="str">
        <f t="shared" si="805"/>
        <v/>
      </c>
      <c r="HU124" s="890" t="str">
        <f t="shared" si="806"/>
        <v/>
      </c>
      <c r="HV124" s="886" t="str">
        <f t="shared" si="807"/>
        <v/>
      </c>
      <c r="HW124" s="880" t="str">
        <f t="shared" si="808"/>
        <v/>
      </c>
      <c r="HX124" s="881" t="str">
        <f t="shared" si="809"/>
        <v/>
      </c>
      <c r="HY124" s="880" t="str">
        <f t="shared" si="810"/>
        <v/>
      </c>
      <c r="HZ124" s="882" t="str">
        <f t="shared" si="811"/>
        <v/>
      </c>
      <c r="IA124" s="883" t="str">
        <f t="shared" si="812"/>
        <v/>
      </c>
      <c r="IB124" s="884" t="str">
        <f t="shared" si="813"/>
        <v/>
      </c>
      <c r="IC124" s="855" t="str">
        <f t="shared" si="814"/>
        <v/>
      </c>
      <c r="ID124" s="351" t="str">
        <f t="shared" si="815"/>
        <v/>
      </c>
      <c r="IE124" s="857" t="str">
        <f t="shared" si="816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2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17"/>
        <v/>
      </c>
      <c r="IM124" s="482" t="str">
        <f t="shared" si="733"/>
        <v/>
      </c>
      <c r="IN124" s="670" t="str">
        <f t="shared" si="818"/>
        <v/>
      </c>
      <c r="IO124" s="702"/>
      <c r="IP124" s="5" t="str">
        <f t="shared" si="819"/>
        <v/>
      </c>
      <c r="IQ124" s="714"/>
      <c r="IR124" s="9" t="str">
        <f t="shared" si="820"/>
        <v/>
      </c>
      <c r="IS124" s="5" t="str">
        <f t="shared" si="821"/>
        <v/>
      </c>
      <c r="IT124" s="5" t="str">
        <f t="shared" si="822"/>
        <v/>
      </c>
      <c r="IU124" s="5" t="str">
        <f t="shared" si="823"/>
        <v/>
      </c>
      <c r="IV124" s="670" t="str">
        <f t="shared" si="824"/>
        <v/>
      </c>
      <c r="IW124" s="9" t="str">
        <f t="shared" si="825"/>
        <v/>
      </c>
      <c r="IX124" s="5" t="str">
        <f t="shared" si="826"/>
        <v/>
      </c>
      <c r="IY124" s="5" t="str">
        <f t="shared" si="827"/>
        <v/>
      </c>
      <c r="IZ124" s="5" t="str">
        <f t="shared" si="828"/>
        <v/>
      </c>
      <c r="JA124" s="705" t="str">
        <f t="shared" si="829"/>
        <v/>
      </c>
    </row>
    <row r="125" spans="1:261" ht="15" customHeight="1" x14ac:dyDescent="0.25">
      <c r="A125" s="75" t="str">
        <f t="shared" si="736"/>
        <v/>
      </c>
      <c r="B125" s="578" t="str">
        <f t="shared" si="737"/>
        <v/>
      </c>
      <c r="C125" s="572" t="str">
        <f t="shared" si="738"/>
        <v/>
      </c>
      <c r="D125" s="576" t="str">
        <f t="shared" si="739"/>
        <v/>
      </c>
      <c r="E125" s="580" t="str">
        <f t="shared" si="740"/>
        <v/>
      </c>
      <c r="F125" s="572" t="str">
        <f t="shared" si="741"/>
        <v/>
      </c>
      <c r="G125" s="579" t="str">
        <f t="shared" si="742"/>
        <v/>
      </c>
      <c r="H125" s="580" t="str">
        <f t="shared" si="743"/>
        <v/>
      </c>
      <c r="I125" s="572" t="str">
        <f t="shared" si="744"/>
        <v/>
      </c>
      <c r="J125" s="483" t="str">
        <f t="shared" si="745"/>
        <v/>
      </c>
      <c r="K125" s="806" t="str">
        <f t="shared" si="746"/>
        <v/>
      </c>
      <c r="L125" s="309"/>
      <c r="M125" s="164" t="str">
        <f t="shared" si="747"/>
        <v/>
      </c>
      <c r="N125" s="575" t="str">
        <f t="shared" si="748"/>
        <v/>
      </c>
      <c r="O125" s="572" t="str">
        <f t="shared" si="749"/>
        <v/>
      </c>
      <c r="P125" s="576" t="str">
        <f t="shared" si="750"/>
        <v/>
      </c>
      <c r="Q125" s="528" t="str">
        <f t="shared" si="609"/>
        <v/>
      </c>
      <c r="R125" s="572" t="str">
        <f t="shared" si="830"/>
        <v/>
      </c>
      <c r="S125" s="577" t="str">
        <f t="shared" si="831"/>
        <v/>
      </c>
      <c r="T125" s="578" t="str">
        <f t="shared" si="832"/>
        <v/>
      </c>
      <c r="U125" s="572" t="str">
        <f t="shared" si="833"/>
        <v/>
      </c>
      <c r="V125" s="579" t="str">
        <f t="shared" si="834"/>
        <v/>
      </c>
      <c r="W125" s="528" t="str">
        <f t="shared" si="735"/>
        <v/>
      </c>
      <c r="X125" s="572" t="str">
        <f t="shared" si="835"/>
        <v/>
      </c>
      <c r="Y125" s="573" t="str">
        <f t="shared" si="734"/>
        <v/>
      </c>
      <c r="Z125" s="575" t="str">
        <f t="shared" si="751"/>
        <v/>
      </c>
      <c r="AA125" s="572" t="str">
        <f t="shared" si="752"/>
        <v/>
      </c>
      <c r="AB125" s="572" t="str">
        <f t="shared" si="753"/>
        <v/>
      </c>
      <c r="AC125" s="579" t="str">
        <f t="shared" si="836"/>
        <v/>
      </c>
      <c r="AD125" s="580" t="str">
        <f t="shared" si="837"/>
        <v/>
      </c>
      <c r="AE125" s="572" t="str">
        <f t="shared" si="838"/>
        <v/>
      </c>
      <c r="AF125" s="576" t="str">
        <f t="shared" si="839"/>
        <v/>
      </c>
      <c r="AG125" s="545" t="str">
        <f t="shared" si="840"/>
        <v/>
      </c>
      <c r="AH125" s="546" t="str">
        <f t="shared" si="841"/>
        <v/>
      </c>
      <c r="AI125" s="528" t="str">
        <f t="shared" si="842"/>
        <v/>
      </c>
      <c r="AJ125" s="529" t="str">
        <f t="shared" si="843"/>
        <v/>
      </c>
      <c r="AK125" s="578" t="str">
        <f t="shared" si="844"/>
        <v/>
      </c>
      <c r="AL125" s="572" t="str">
        <f t="shared" si="845"/>
        <v/>
      </c>
      <c r="AM125" s="577" t="str">
        <f t="shared" si="846"/>
        <v/>
      </c>
      <c r="AN125" s="524" t="str">
        <f t="shared" si="847"/>
        <v/>
      </c>
      <c r="AO125" s="525" t="str">
        <f t="shared" si="855"/>
        <v/>
      </c>
      <c r="AP125" s="528" t="str">
        <f t="shared" si="848"/>
        <v/>
      </c>
      <c r="AQ125" s="529" t="str">
        <f t="shared" si="754"/>
        <v/>
      </c>
      <c r="AS125" s="946" t="str">
        <f t="shared" si="852"/>
        <v/>
      </c>
      <c r="AT125" s="942" t="str">
        <f t="shared" si="755"/>
        <v/>
      </c>
      <c r="AU125" s="418"/>
      <c r="AV125" s="164" t="str">
        <f t="shared" si="75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5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58"/>
        <v/>
      </c>
      <c r="BF125" s="4" t="str">
        <f t="shared" si="759"/>
        <v/>
      </c>
      <c r="BG125" s="5" t="str">
        <f t="shared" si="760"/>
        <v/>
      </c>
      <c r="BH125" s="10" t="str">
        <f t="shared" si="761"/>
        <v/>
      </c>
      <c r="BI125" s="9" t="str">
        <f t="shared" si="634"/>
        <v/>
      </c>
      <c r="BJ125" s="5" t="str">
        <f t="shared" si="762"/>
        <v/>
      </c>
      <c r="BK125" s="8" t="str">
        <f t="shared" si="763"/>
        <v/>
      </c>
      <c r="BL125" s="173" t="str">
        <f t="shared" si="764"/>
        <v/>
      </c>
      <c r="BM125" s="5" t="str">
        <f t="shared" si="765"/>
        <v/>
      </c>
      <c r="BN125" s="6" t="str">
        <f t="shared" si="766"/>
        <v/>
      </c>
      <c r="BO125" s="4" t="str">
        <f t="shared" si="635"/>
        <v/>
      </c>
      <c r="BP125" s="5" t="str">
        <f t="shared" si="636"/>
        <v/>
      </c>
      <c r="BQ125" s="5" t="str">
        <f t="shared" si="637"/>
        <v/>
      </c>
      <c r="BR125" s="6" t="str">
        <f t="shared" si="638"/>
        <v/>
      </c>
      <c r="BS125" s="4" t="str">
        <f t="shared" si="849"/>
        <v/>
      </c>
      <c r="BT125" s="5" t="str">
        <f t="shared" si="84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67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3"/>
        <v/>
      </c>
      <c r="DC125" s="5" t="str">
        <f t="shared" si="853"/>
        <v/>
      </c>
      <c r="DD125" s="10" t="str">
        <f t="shared" si="659"/>
        <v/>
      </c>
      <c r="DE125" s="9" t="str">
        <f t="shared" si="854"/>
        <v/>
      </c>
      <c r="DF125" s="5" t="str">
        <f t="shared" si="854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8"/>
        <v/>
      </c>
      <c r="ET125" s="5" t="str">
        <f t="shared" si="769"/>
        <v/>
      </c>
      <c r="EU125" s="10" t="str">
        <f t="shared" si="770"/>
        <v/>
      </c>
      <c r="EV125" s="174" t="str">
        <f t="shared" si="771"/>
        <v/>
      </c>
      <c r="EW125" s="9" t="str">
        <f t="shared" si="772"/>
        <v/>
      </c>
      <c r="EX125" s="5" t="str">
        <f t="shared" si="773"/>
        <v/>
      </c>
      <c r="EY125" s="6" t="str">
        <f t="shared" si="699"/>
        <v/>
      </c>
      <c r="EZ125" s="51" t="str">
        <f t="shared" si="700"/>
        <v/>
      </c>
      <c r="FA125" s="173" t="str">
        <f t="shared" si="774"/>
        <v/>
      </c>
      <c r="FB125" s="5" t="str">
        <f t="shared" si="775"/>
        <v/>
      </c>
      <c r="FC125" s="6" t="str">
        <f t="shared" si="776"/>
        <v/>
      </c>
      <c r="FD125" s="4" t="str">
        <f t="shared" si="777"/>
        <v/>
      </c>
      <c r="FE125" s="5" t="str">
        <f t="shared" si="778"/>
        <v/>
      </c>
      <c r="FF125" s="7" t="str">
        <f t="shared" si="701"/>
        <v/>
      </c>
      <c r="FG125" s="173" t="str">
        <f t="shared" si="779"/>
        <v/>
      </c>
      <c r="FH125" s="5" t="str">
        <f t="shared" si="780"/>
        <v/>
      </c>
      <c r="FI125" s="10" t="str">
        <f t="shared" si="781"/>
        <v/>
      </c>
      <c r="FJ125" s="279" t="str">
        <f t="shared" si="702"/>
        <v/>
      </c>
      <c r="FK125" s="4" t="str">
        <f t="shared" si="78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83"/>
        <v/>
      </c>
      <c r="FP125" s="277" t="str">
        <f t="shared" si="629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4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5"/>
        <v/>
      </c>
      <c r="GH125" s="286" t="str">
        <f t="shared" si="786"/>
        <v/>
      </c>
      <c r="GI125" s="281" t="str">
        <f t="shared" si="787"/>
        <v/>
      </c>
      <c r="GJ125" s="167" t="str">
        <f t="shared" si="718"/>
        <v/>
      </c>
      <c r="GK125" s="174" t="str">
        <f t="shared" si="788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89"/>
        <v/>
      </c>
      <c r="GT125" s="343" t="str">
        <f t="shared" si="790"/>
        <v/>
      </c>
      <c r="GU125" s="344" t="str">
        <f t="shared" si="791"/>
        <v/>
      </c>
      <c r="GV125" s="343" t="str">
        <f t="shared" si="726"/>
        <v/>
      </c>
      <c r="GW125" s="345" t="str">
        <f t="shared" si="792"/>
        <v/>
      </c>
      <c r="GX125" s="346" t="str">
        <f t="shared" si="793"/>
        <v/>
      </c>
      <c r="GY125" s="344" t="str">
        <f t="shared" si="794"/>
        <v/>
      </c>
      <c r="GZ125" s="345" t="str">
        <f t="shared" si="795"/>
        <v/>
      </c>
      <c r="HA125" s="342" t="str">
        <f t="shared" si="796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7"/>
        <v/>
      </c>
      <c r="HF125" s="5" t="str">
        <f t="shared" si="798"/>
        <v/>
      </c>
      <c r="HG125" s="343" t="str">
        <f t="shared" si="730"/>
        <v/>
      </c>
      <c r="HH125" s="349" t="str">
        <f t="shared" si="731"/>
        <v/>
      </c>
      <c r="HI125" s="317" t="str">
        <f t="shared" si="799"/>
        <v/>
      </c>
      <c r="HK125" s="310" t="str">
        <f t="shared" si="850"/>
        <v/>
      </c>
      <c r="HL125" s="348" t="str">
        <f t="shared" si="800"/>
        <v/>
      </c>
      <c r="HM125" s="923" t="str">
        <f t="shared" si="801"/>
        <v/>
      </c>
      <c r="HN125" s="924" t="str">
        <f t="shared" si="802"/>
        <v/>
      </c>
      <c r="HO125" s="925"/>
      <c r="HP125" s="926"/>
      <c r="HQ125" s="924" t="str">
        <f t="shared" si="803"/>
        <v/>
      </c>
      <c r="HR125" s="927" t="str">
        <f t="shared" si="804"/>
        <v/>
      </c>
      <c r="HS125" s="879" t="str">
        <f t="shared" si="851"/>
        <v/>
      </c>
      <c r="HT125" s="889" t="str">
        <f t="shared" si="805"/>
        <v/>
      </c>
      <c r="HU125" s="890" t="str">
        <f t="shared" si="806"/>
        <v/>
      </c>
      <c r="HV125" s="886" t="str">
        <f t="shared" si="807"/>
        <v/>
      </c>
      <c r="HW125" s="880" t="str">
        <f t="shared" si="808"/>
        <v/>
      </c>
      <c r="HX125" s="881" t="str">
        <f t="shared" si="809"/>
        <v/>
      </c>
      <c r="HY125" s="880" t="str">
        <f t="shared" si="810"/>
        <v/>
      </c>
      <c r="HZ125" s="882" t="str">
        <f t="shared" si="811"/>
        <v/>
      </c>
      <c r="IA125" s="883" t="str">
        <f t="shared" si="812"/>
        <v/>
      </c>
      <c r="IB125" s="884" t="str">
        <f t="shared" si="813"/>
        <v/>
      </c>
      <c r="IC125" s="855" t="str">
        <f t="shared" si="814"/>
        <v/>
      </c>
      <c r="ID125" s="351" t="str">
        <f t="shared" si="815"/>
        <v/>
      </c>
      <c r="IE125" s="857" t="str">
        <f t="shared" si="816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2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17"/>
        <v/>
      </c>
      <c r="IM125" s="482" t="str">
        <f t="shared" si="733"/>
        <v/>
      </c>
      <c r="IN125" s="670" t="str">
        <f t="shared" si="818"/>
        <v/>
      </c>
      <c r="IO125" s="702"/>
      <c r="IP125" s="5" t="str">
        <f t="shared" si="819"/>
        <v/>
      </c>
      <c r="IQ125" s="714"/>
      <c r="IR125" s="9" t="str">
        <f t="shared" si="820"/>
        <v/>
      </c>
      <c r="IS125" s="5" t="str">
        <f t="shared" si="821"/>
        <v/>
      </c>
      <c r="IT125" s="5" t="str">
        <f t="shared" si="822"/>
        <v/>
      </c>
      <c r="IU125" s="5" t="str">
        <f t="shared" si="823"/>
        <v/>
      </c>
      <c r="IV125" s="670" t="str">
        <f t="shared" si="824"/>
        <v/>
      </c>
      <c r="IW125" s="9" t="str">
        <f t="shared" si="825"/>
        <v/>
      </c>
      <c r="IX125" s="5" t="str">
        <f t="shared" si="826"/>
        <v/>
      </c>
      <c r="IY125" s="5" t="str">
        <f t="shared" si="827"/>
        <v/>
      </c>
      <c r="IZ125" s="5" t="str">
        <f t="shared" si="828"/>
        <v/>
      </c>
      <c r="JA125" s="705" t="str">
        <f t="shared" si="829"/>
        <v/>
      </c>
    </row>
    <row r="126" spans="1:261" ht="15" customHeight="1" x14ac:dyDescent="0.25">
      <c r="A126" s="75" t="str">
        <f t="shared" si="736"/>
        <v/>
      </c>
      <c r="B126" s="578" t="str">
        <f t="shared" si="737"/>
        <v/>
      </c>
      <c r="C126" s="572" t="str">
        <f t="shared" si="738"/>
        <v/>
      </c>
      <c r="D126" s="576" t="str">
        <f t="shared" si="739"/>
        <v/>
      </c>
      <c r="E126" s="580" t="str">
        <f t="shared" si="740"/>
        <v/>
      </c>
      <c r="F126" s="572" t="str">
        <f t="shared" si="741"/>
        <v/>
      </c>
      <c r="G126" s="579" t="str">
        <f t="shared" si="742"/>
        <v/>
      </c>
      <c r="H126" s="580" t="str">
        <f t="shared" si="743"/>
        <v/>
      </c>
      <c r="I126" s="572" t="str">
        <f t="shared" si="744"/>
        <v/>
      </c>
      <c r="J126" s="483" t="str">
        <f t="shared" si="745"/>
        <v/>
      </c>
      <c r="K126" s="806" t="str">
        <f t="shared" si="746"/>
        <v/>
      </c>
      <c r="L126" s="309"/>
      <c r="M126" s="164" t="str">
        <f t="shared" si="747"/>
        <v/>
      </c>
      <c r="N126" s="575" t="str">
        <f t="shared" si="748"/>
        <v/>
      </c>
      <c r="O126" s="572" t="str">
        <f t="shared" si="749"/>
        <v/>
      </c>
      <c r="P126" s="576" t="str">
        <f t="shared" si="750"/>
        <v/>
      </c>
      <c r="Q126" s="528" t="str">
        <f t="shared" si="609"/>
        <v/>
      </c>
      <c r="R126" s="572" t="str">
        <f t="shared" si="830"/>
        <v/>
      </c>
      <c r="S126" s="577" t="str">
        <f t="shared" si="831"/>
        <v/>
      </c>
      <c r="T126" s="578" t="str">
        <f t="shared" si="832"/>
        <v/>
      </c>
      <c r="U126" s="572" t="str">
        <f t="shared" si="833"/>
        <v/>
      </c>
      <c r="V126" s="579" t="str">
        <f t="shared" si="834"/>
        <v/>
      </c>
      <c r="W126" s="528" t="str">
        <f t="shared" si="735"/>
        <v/>
      </c>
      <c r="X126" s="572" t="str">
        <f t="shared" si="835"/>
        <v/>
      </c>
      <c r="Y126" s="573" t="str">
        <f t="shared" si="734"/>
        <v/>
      </c>
      <c r="Z126" s="575" t="str">
        <f t="shared" si="751"/>
        <v/>
      </c>
      <c r="AA126" s="572" t="str">
        <f t="shared" si="752"/>
        <v/>
      </c>
      <c r="AB126" s="572" t="str">
        <f t="shared" si="753"/>
        <v/>
      </c>
      <c r="AC126" s="579" t="str">
        <f t="shared" si="836"/>
        <v/>
      </c>
      <c r="AD126" s="580" t="str">
        <f t="shared" si="837"/>
        <v/>
      </c>
      <c r="AE126" s="572" t="str">
        <f t="shared" si="838"/>
        <v/>
      </c>
      <c r="AF126" s="576" t="str">
        <f t="shared" si="839"/>
        <v/>
      </c>
      <c r="AG126" s="545" t="str">
        <f t="shared" si="840"/>
        <v/>
      </c>
      <c r="AH126" s="546" t="str">
        <f t="shared" si="841"/>
        <v/>
      </c>
      <c r="AI126" s="528" t="str">
        <f t="shared" si="842"/>
        <v/>
      </c>
      <c r="AJ126" s="529" t="str">
        <f t="shared" si="843"/>
        <v/>
      </c>
      <c r="AK126" s="578" t="str">
        <f t="shared" si="844"/>
        <v/>
      </c>
      <c r="AL126" s="572" t="str">
        <f t="shared" si="845"/>
        <v/>
      </c>
      <c r="AM126" s="577" t="str">
        <f t="shared" si="846"/>
        <v/>
      </c>
      <c r="AN126" s="524" t="str">
        <f t="shared" si="847"/>
        <v/>
      </c>
      <c r="AO126" s="525" t="str">
        <f t="shared" si="855"/>
        <v/>
      </c>
      <c r="AP126" s="528" t="str">
        <f t="shared" si="848"/>
        <v/>
      </c>
      <c r="AQ126" s="529" t="str">
        <f t="shared" si="754"/>
        <v/>
      </c>
      <c r="AS126" s="946" t="str">
        <f t="shared" si="852"/>
        <v/>
      </c>
      <c r="AT126" s="942" t="str">
        <f t="shared" si="755"/>
        <v/>
      </c>
      <c r="AU126" s="418"/>
      <c r="AV126" s="164" t="str">
        <f t="shared" si="75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5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58"/>
        <v/>
      </c>
      <c r="BF126" s="4" t="str">
        <f t="shared" si="759"/>
        <v/>
      </c>
      <c r="BG126" s="5" t="str">
        <f t="shared" si="760"/>
        <v/>
      </c>
      <c r="BH126" s="10" t="str">
        <f t="shared" si="761"/>
        <v/>
      </c>
      <c r="BI126" s="9" t="str">
        <f t="shared" si="634"/>
        <v/>
      </c>
      <c r="BJ126" s="5" t="str">
        <f t="shared" si="762"/>
        <v/>
      </c>
      <c r="BK126" s="8" t="str">
        <f t="shared" si="763"/>
        <v/>
      </c>
      <c r="BL126" s="173" t="str">
        <f t="shared" si="764"/>
        <v/>
      </c>
      <c r="BM126" s="5" t="str">
        <f t="shared" si="765"/>
        <v/>
      </c>
      <c r="BN126" s="6" t="str">
        <f t="shared" si="766"/>
        <v/>
      </c>
      <c r="BO126" s="4" t="str">
        <f t="shared" si="635"/>
        <v/>
      </c>
      <c r="BP126" s="5" t="str">
        <f t="shared" si="636"/>
        <v/>
      </c>
      <c r="BQ126" s="5" t="str">
        <f t="shared" si="637"/>
        <v/>
      </c>
      <c r="BR126" s="6" t="str">
        <f t="shared" si="638"/>
        <v/>
      </c>
      <c r="BS126" s="4" t="str">
        <f t="shared" si="849"/>
        <v/>
      </c>
      <c r="BT126" s="5" t="str">
        <f t="shared" si="84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67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3"/>
        <v/>
      </c>
      <c r="DC126" s="5" t="str">
        <f t="shared" si="853"/>
        <v/>
      </c>
      <c r="DD126" s="10" t="str">
        <f t="shared" si="659"/>
        <v/>
      </c>
      <c r="DE126" s="9" t="str">
        <f t="shared" si="854"/>
        <v/>
      </c>
      <c r="DF126" s="5" t="str">
        <f t="shared" si="854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8"/>
        <v/>
      </c>
      <c r="ET126" s="5" t="str">
        <f t="shared" si="769"/>
        <v/>
      </c>
      <c r="EU126" s="10" t="str">
        <f t="shared" si="770"/>
        <v/>
      </c>
      <c r="EV126" s="174" t="str">
        <f t="shared" si="771"/>
        <v/>
      </c>
      <c r="EW126" s="9" t="str">
        <f t="shared" si="772"/>
        <v/>
      </c>
      <c r="EX126" s="5" t="str">
        <f t="shared" si="773"/>
        <v/>
      </c>
      <c r="EY126" s="6" t="str">
        <f t="shared" si="699"/>
        <v/>
      </c>
      <c r="EZ126" s="51" t="str">
        <f t="shared" si="700"/>
        <v/>
      </c>
      <c r="FA126" s="173" t="str">
        <f t="shared" si="774"/>
        <v/>
      </c>
      <c r="FB126" s="5" t="str">
        <f t="shared" si="775"/>
        <v/>
      </c>
      <c r="FC126" s="6" t="str">
        <f t="shared" si="776"/>
        <v/>
      </c>
      <c r="FD126" s="4" t="str">
        <f t="shared" si="777"/>
        <v/>
      </c>
      <c r="FE126" s="5" t="str">
        <f t="shared" si="778"/>
        <v/>
      </c>
      <c r="FF126" s="7" t="str">
        <f t="shared" si="701"/>
        <v/>
      </c>
      <c r="FG126" s="173" t="str">
        <f t="shared" si="779"/>
        <v/>
      </c>
      <c r="FH126" s="5" t="str">
        <f t="shared" si="780"/>
        <v/>
      </c>
      <c r="FI126" s="10" t="str">
        <f t="shared" si="781"/>
        <v/>
      </c>
      <c r="FJ126" s="279" t="str">
        <f t="shared" si="702"/>
        <v/>
      </c>
      <c r="FK126" s="4" t="str">
        <f t="shared" si="78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83"/>
        <v/>
      </c>
      <c r="FP126" s="277" t="str">
        <f t="shared" si="629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4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5"/>
        <v/>
      </c>
      <c r="GH126" s="286" t="str">
        <f t="shared" si="786"/>
        <v/>
      </c>
      <c r="GI126" s="281" t="str">
        <f t="shared" si="787"/>
        <v/>
      </c>
      <c r="GJ126" s="167" t="str">
        <f t="shared" si="718"/>
        <v/>
      </c>
      <c r="GK126" s="174" t="str">
        <f t="shared" si="788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89"/>
        <v/>
      </c>
      <c r="GT126" s="343" t="str">
        <f t="shared" si="790"/>
        <v/>
      </c>
      <c r="GU126" s="344" t="str">
        <f t="shared" si="791"/>
        <v/>
      </c>
      <c r="GV126" s="343" t="str">
        <f t="shared" si="726"/>
        <v/>
      </c>
      <c r="GW126" s="345" t="str">
        <f t="shared" si="792"/>
        <v/>
      </c>
      <c r="GX126" s="346" t="str">
        <f t="shared" si="793"/>
        <v/>
      </c>
      <c r="GY126" s="344" t="str">
        <f t="shared" si="794"/>
        <v/>
      </c>
      <c r="GZ126" s="345" t="str">
        <f t="shared" si="795"/>
        <v/>
      </c>
      <c r="HA126" s="342" t="str">
        <f t="shared" si="796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7"/>
        <v/>
      </c>
      <c r="HF126" s="5" t="str">
        <f t="shared" si="798"/>
        <v/>
      </c>
      <c r="HG126" s="343" t="str">
        <f t="shared" si="730"/>
        <v/>
      </c>
      <c r="HH126" s="349" t="str">
        <f t="shared" si="731"/>
        <v/>
      </c>
      <c r="HI126" s="317" t="str">
        <f t="shared" si="799"/>
        <v/>
      </c>
      <c r="HK126" s="310" t="str">
        <f t="shared" si="850"/>
        <v/>
      </c>
      <c r="HL126" s="348" t="str">
        <f t="shared" si="800"/>
        <v/>
      </c>
      <c r="HM126" s="923" t="str">
        <f t="shared" si="801"/>
        <v/>
      </c>
      <c r="HN126" s="924" t="str">
        <f t="shared" si="802"/>
        <v/>
      </c>
      <c r="HO126" s="925"/>
      <c r="HP126" s="926"/>
      <c r="HQ126" s="924" t="str">
        <f t="shared" si="803"/>
        <v/>
      </c>
      <c r="HR126" s="927" t="str">
        <f t="shared" si="804"/>
        <v/>
      </c>
      <c r="HS126" s="879" t="str">
        <f t="shared" si="851"/>
        <v/>
      </c>
      <c r="HT126" s="889" t="str">
        <f t="shared" si="805"/>
        <v/>
      </c>
      <c r="HU126" s="890" t="str">
        <f t="shared" si="806"/>
        <v/>
      </c>
      <c r="HV126" s="886" t="str">
        <f t="shared" si="807"/>
        <v/>
      </c>
      <c r="HW126" s="880" t="str">
        <f t="shared" si="808"/>
        <v/>
      </c>
      <c r="HX126" s="881" t="str">
        <f t="shared" si="809"/>
        <v/>
      </c>
      <c r="HY126" s="880" t="str">
        <f t="shared" si="810"/>
        <v/>
      </c>
      <c r="HZ126" s="882" t="str">
        <f t="shared" si="811"/>
        <v/>
      </c>
      <c r="IA126" s="883" t="str">
        <f t="shared" si="812"/>
        <v/>
      </c>
      <c r="IB126" s="884" t="str">
        <f t="shared" si="813"/>
        <v/>
      </c>
      <c r="IC126" s="855" t="str">
        <f t="shared" si="814"/>
        <v/>
      </c>
      <c r="ID126" s="351" t="str">
        <f t="shared" si="815"/>
        <v/>
      </c>
      <c r="IE126" s="857" t="str">
        <f t="shared" si="816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2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17"/>
        <v/>
      </c>
      <c r="IM126" s="482" t="str">
        <f t="shared" si="733"/>
        <v/>
      </c>
      <c r="IN126" s="670" t="str">
        <f t="shared" si="818"/>
        <v/>
      </c>
      <c r="IO126" s="702"/>
      <c r="IP126" s="5" t="str">
        <f t="shared" si="819"/>
        <v/>
      </c>
      <c r="IQ126" s="714"/>
      <c r="IR126" s="9" t="str">
        <f t="shared" si="820"/>
        <v/>
      </c>
      <c r="IS126" s="5" t="str">
        <f t="shared" si="821"/>
        <v/>
      </c>
      <c r="IT126" s="5" t="str">
        <f t="shared" si="822"/>
        <v/>
      </c>
      <c r="IU126" s="5" t="str">
        <f t="shared" si="823"/>
        <v/>
      </c>
      <c r="IV126" s="670" t="str">
        <f t="shared" si="824"/>
        <v/>
      </c>
      <c r="IW126" s="9" t="str">
        <f t="shared" si="825"/>
        <v/>
      </c>
      <c r="IX126" s="5" t="str">
        <f t="shared" si="826"/>
        <v/>
      </c>
      <c r="IY126" s="5" t="str">
        <f t="shared" si="827"/>
        <v/>
      </c>
      <c r="IZ126" s="5" t="str">
        <f t="shared" si="828"/>
        <v/>
      </c>
      <c r="JA126" s="705" t="str">
        <f t="shared" si="829"/>
        <v/>
      </c>
    </row>
    <row r="127" spans="1:261" ht="15" customHeight="1" x14ac:dyDescent="0.25">
      <c r="A127" s="75" t="str">
        <f t="shared" si="736"/>
        <v/>
      </c>
      <c r="B127" s="578" t="str">
        <f t="shared" si="737"/>
        <v/>
      </c>
      <c r="C127" s="572" t="str">
        <f t="shared" si="738"/>
        <v/>
      </c>
      <c r="D127" s="576" t="str">
        <f t="shared" si="739"/>
        <v/>
      </c>
      <c r="E127" s="580" t="str">
        <f t="shared" si="740"/>
        <v/>
      </c>
      <c r="F127" s="572" t="str">
        <f t="shared" si="741"/>
        <v/>
      </c>
      <c r="G127" s="579" t="str">
        <f t="shared" si="742"/>
        <v/>
      </c>
      <c r="H127" s="580" t="str">
        <f t="shared" si="743"/>
        <v/>
      </c>
      <c r="I127" s="572" t="str">
        <f t="shared" si="744"/>
        <v/>
      </c>
      <c r="J127" s="483" t="str">
        <f t="shared" si="745"/>
        <v/>
      </c>
      <c r="K127" s="806" t="str">
        <f t="shared" si="746"/>
        <v/>
      </c>
      <c r="L127" s="309"/>
      <c r="M127" s="164" t="str">
        <f t="shared" si="747"/>
        <v/>
      </c>
      <c r="N127" s="575" t="str">
        <f t="shared" si="748"/>
        <v/>
      </c>
      <c r="O127" s="572" t="str">
        <f t="shared" si="749"/>
        <v/>
      </c>
      <c r="P127" s="576" t="str">
        <f t="shared" si="750"/>
        <v/>
      </c>
      <c r="Q127" s="528" t="str">
        <f t="shared" si="609"/>
        <v/>
      </c>
      <c r="R127" s="572" t="str">
        <f t="shared" si="830"/>
        <v/>
      </c>
      <c r="S127" s="577" t="str">
        <f t="shared" si="831"/>
        <v/>
      </c>
      <c r="T127" s="578" t="str">
        <f t="shared" si="832"/>
        <v/>
      </c>
      <c r="U127" s="572" t="str">
        <f t="shared" si="833"/>
        <v/>
      </c>
      <c r="V127" s="579" t="str">
        <f t="shared" si="834"/>
        <v/>
      </c>
      <c r="W127" s="528" t="str">
        <f t="shared" si="735"/>
        <v/>
      </c>
      <c r="X127" s="572" t="str">
        <f t="shared" si="835"/>
        <v/>
      </c>
      <c r="Y127" s="573" t="str">
        <f t="shared" si="734"/>
        <v/>
      </c>
      <c r="Z127" s="575" t="str">
        <f t="shared" si="751"/>
        <v/>
      </c>
      <c r="AA127" s="572" t="str">
        <f t="shared" si="752"/>
        <v/>
      </c>
      <c r="AB127" s="572" t="str">
        <f t="shared" si="753"/>
        <v/>
      </c>
      <c r="AC127" s="579" t="str">
        <f t="shared" si="836"/>
        <v/>
      </c>
      <c r="AD127" s="580" t="str">
        <f t="shared" si="837"/>
        <v/>
      </c>
      <c r="AE127" s="572" t="str">
        <f t="shared" si="838"/>
        <v/>
      </c>
      <c r="AF127" s="576" t="str">
        <f t="shared" si="839"/>
        <v/>
      </c>
      <c r="AG127" s="545" t="str">
        <f t="shared" si="840"/>
        <v/>
      </c>
      <c r="AH127" s="546" t="str">
        <f t="shared" si="841"/>
        <v/>
      </c>
      <c r="AI127" s="528" t="str">
        <f t="shared" si="842"/>
        <v/>
      </c>
      <c r="AJ127" s="529" t="str">
        <f t="shared" si="843"/>
        <v/>
      </c>
      <c r="AK127" s="578" t="str">
        <f t="shared" si="844"/>
        <v/>
      </c>
      <c r="AL127" s="572" t="str">
        <f t="shared" si="845"/>
        <v/>
      </c>
      <c r="AM127" s="577" t="str">
        <f t="shared" si="846"/>
        <v/>
      </c>
      <c r="AN127" s="524" t="str">
        <f t="shared" si="847"/>
        <v/>
      </c>
      <c r="AO127" s="525" t="str">
        <f t="shared" si="855"/>
        <v/>
      </c>
      <c r="AP127" s="528" t="str">
        <f t="shared" si="848"/>
        <v/>
      </c>
      <c r="AQ127" s="529" t="str">
        <f t="shared" si="754"/>
        <v/>
      </c>
      <c r="AS127" s="946" t="str">
        <f t="shared" si="852"/>
        <v/>
      </c>
      <c r="AT127" s="942" t="str">
        <f t="shared" si="755"/>
        <v/>
      </c>
      <c r="AU127" s="418"/>
      <c r="AV127" s="164" t="str">
        <f t="shared" si="75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5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58"/>
        <v/>
      </c>
      <c r="BF127" s="4" t="str">
        <f t="shared" si="759"/>
        <v/>
      </c>
      <c r="BG127" s="5" t="str">
        <f t="shared" si="760"/>
        <v/>
      </c>
      <c r="BH127" s="10" t="str">
        <f t="shared" si="761"/>
        <v/>
      </c>
      <c r="BI127" s="9" t="str">
        <f t="shared" si="634"/>
        <v/>
      </c>
      <c r="BJ127" s="5" t="str">
        <f t="shared" si="762"/>
        <v/>
      </c>
      <c r="BK127" s="8" t="str">
        <f t="shared" si="763"/>
        <v/>
      </c>
      <c r="BL127" s="173" t="str">
        <f t="shared" si="764"/>
        <v/>
      </c>
      <c r="BM127" s="5" t="str">
        <f t="shared" si="765"/>
        <v/>
      </c>
      <c r="BN127" s="6" t="str">
        <f t="shared" si="766"/>
        <v/>
      </c>
      <c r="BO127" s="4" t="str">
        <f t="shared" si="635"/>
        <v/>
      </c>
      <c r="BP127" s="5" t="str">
        <f t="shared" si="636"/>
        <v/>
      </c>
      <c r="BQ127" s="5" t="str">
        <f t="shared" si="637"/>
        <v/>
      </c>
      <c r="BR127" s="6" t="str">
        <f t="shared" si="638"/>
        <v/>
      </c>
      <c r="BS127" s="4" t="str">
        <f t="shared" si="849"/>
        <v/>
      </c>
      <c r="BT127" s="5" t="str">
        <f t="shared" si="84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67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3"/>
        <v/>
      </c>
      <c r="DC127" s="5" t="str">
        <f t="shared" si="853"/>
        <v/>
      </c>
      <c r="DD127" s="10" t="str">
        <f t="shared" si="659"/>
        <v/>
      </c>
      <c r="DE127" s="9" t="str">
        <f t="shared" si="854"/>
        <v/>
      </c>
      <c r="DF127" s="5" t="str">
        <f t="shared" si="854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8"/>
        <v/>
      </c>
      <c r="ET127" s="5" t="str">
        <f t="shared" si="769"/>
        <v/>
      </c>
      <c r="EU127" s="10" t="str">
        <f t="shared" si="770"/>
        <v/>
      </c>
      <c r="EV127" s="174" t="str">
        <f t="shared" si="771"/>
        <v/>
      </c>
      <c r="EW127" s="9" t="str">
        <f t="shared" si="772"/>
        <v/>
      </c>
      <c r="EX127" s="5" t="str">
        <f t="shared" si="773"/>
        <v/>
      </c>
      <c r="EY127" s="6" t="str">
        <f t="shared" si="699"/>
        <v/>
      </c>
      <c r="EZ127" s="51" t="str">
        <f t="shared" si="700"/>
        <v/>
      </c>
      <c r="FA127" s="173" t="str">
        <f t="shared" si="774"/>
        <v/>
      </c>
      <c r="FB127" s="5" t="str">
        <f t="shared" si="775"/>
        <v/>
      </c>
      <c r="FC127" s="6" t="str">
        <f t="shared" si="776"/>
        <v/>
      </c>
      <c r="FD127" s="4" t="str">
        <f t="shared" si="777"/>
        <v/>
      </c>
      <c r="FE127" s="5" t="str">
        <f t="shared" si="778"/>
        <v/>
      </c>
      <c r="FF127" s="7" t="str">
        <f t="shared" si="701"/>
        <v/>
      </c>
      <c r="FG127" s="173" t="str">
        <f t="shared" si="779"/>
        <v/>
      </c>
      <c r="FH127" s="5" t="str">
        <f t="shared" si="780"/>
        <v/>
      </c>
      <c r="FI127" s="10" t="str">
        <f t="shared" si="781"/>
        <v/>
      </c>
      <c r="FJ127" s="279" t="str">
        <f t="shared" si="702"/>
        <v/>
      </c>
      <c r="FK127" s="4" t="str">
        <f t="shared" si="78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83"/>
        <v/>
      </c>
      <c r="FP127" s="277" t="str">
        <f t="shared" si="629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4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5"/>
        <v/>
      </c>
      <c r="GH127" s="286" t="str">
        <f t="shared" si="786"/>
        <v/>
      </c>
      <c r="GI127" s="281" t="str">
        <f t="shared" si="787"/>
        <v/>
      </c>
      <c r="GJ127" s="167" t="str">
        <f t="shared" si="718"/>
        <v/>
      </c>
      <c r="GK127" s="174" t="str">
        <f t="shared" si="788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89"/>
        <v/>
      </c>
      <c r="GT127" s="343" t="str">
        <f t="shared" si="790"/>
        <v/>
      </c>
      <c r="GU127" s="344" t="str">
        <f t="shared" si="791"/>
        <v/>
      </c>
      <c r="GV127" s="343" t="str">
        <f t="shared" si="726"/>
        <v/>
      </c>
      <c r="GW127" s="345" t="str">
        <f t="shared" si="792"/>
        <v/>
      </c>
      <c r="GX127" s="346" t="str">
        <f t="shared" si="793"/>
        <v/>
      </c>
      <c r="GY127" s="344" t="str">
        <f t="shared" si="794"/>
        <v/>
      </c>
      <c r="GZ127" s="345" t="str">
        <f t="shared" si="795"/>
        <v/>
      </c>
      <c r="HA127" s="342" t="str">
        <f t="shared" si="796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7"/>
        <v/>
      </c>
      <c r="HF127" s="5" t="str">
        <f t="shared" si="798"/>
        <v/>
      </c>
      <c r="HG127" s="343" t="str">
        <f t="shared" si="730"/>
        <v/>
      </c>
      <c r="HH127" s="349" t="str">
        <f t="shared" si="731"/>
        <v/>
      </c>
      <c r="HI127" s="317" t="str">
        <f t="shared" si="799"/>
        <v/>
      </c>
      <c r="HK127" s="310" t="str">
        <f t="shared" si="850"/>
        <v/>
      </c>
      <c r="HL127" s="348" t="str">
        <f t="shared" si="800"/>
        <v/>
      </c>
      <c r="HM127" s="923" t="str">
        <f t="shared" si="801"/>
        <v/>
      </c>
      <c r="HN127" s="924" t="str">
        <f t="shared" si="802"/>
        <v/>
      </c>
      <c r="HO127" s="925"/>
      <c r="HP127" s="926"/>
      <c r="HQ127" s="924" t="str">
        <f t="shared" si="803"/>
        <v/>
      </c>
      <c r="HR127" s="927" t="str">
        <f t="shared" si="804"/>
        <v/>
      </c>
      <c r="HS127" s="879" t="str">
        <f t="shared" si="851"/>
        <v/>
      </c>
      <c r="HT127" s="889" t="str">
        <f t="shared" si="805"/>
        <v/>
      </c>
      <c r="HU127" s="890" t="str">
        <f t="shared" si="806"/>
        <v/>
      </c>
      <c r="HV127" s="886" t="str">
        <f t="shared" si="807"/>
        <v/>
      </c>
      <c r="HW127" s="880" t="str">
        <f t="shared" si="808"/>
        <v/>
      </c>
      <c r="HX127" s="881" t="str">
        <f t="shared" si="809"/>
        <v/>
      </c>
      <c r="HY127" s="880" t="str">
        <f t="shared" si="810"/>
        <v/>
      </c>
      <c r="HZ127" s="882" t="str">
        <f t="shared" si="811"/>
        <v/>
      </c>
      <c r="IA127" s="883" t="str">
        <f t="shared" si="812"/>
        <v/>
      </c>
      <c r="IB127" s="884" t="str">
        <f t="shared" si="813"/>
        <v/>
      </c>
      <c r="IC127" s="855" t="str">
        <f t="shared" si="814"/>
        <v/>
      </c>
      <c r="ID127" s="351" t="str">
        <f t="shared" si="815"/>
        <v/>
      </c>
      <c r="IE127" s="857" t="str">
        <f t="shared" si="816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2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17"/>
        <v/>
      </c>
      <c r="IM127" s="482" t="str">
        <f t="shared" si="733"/>
        <v/>
      </c>
      <c r="IN127" s="670" t="str">
        <f t="shared" si="818"/>
        <v/>
      </c>
      <c r="IO127" s="702"/>
      <c r="IP127" s="5" t="str">
        <f t="shared" si="819"/>
        <v/>
      </c>
      <c r="IQ127" s="714"/>
      <c r="IR127" s="9" t="str">
        <f t="shared" si="820"/>
        <v/>
      </c>
      <c r="IS127" s="5" t="str">
        <f t="shared" si="821"/>
        <v/>
      </c>
      <c r="IT127" s="5" t="str">
        <f t="shared" si="822"/>
        <v/>
      </c>
      <c r="IU127" s="5" t="str">
        <f t="shared" si="823"/>
        <v/>
      </c>
      <c r="IV127" s="670" t="str">
        <f t="shared" si="824"/>
        <v/>
      </c>
      <c r="IW127" s="9" t="str">
        <f t="shared" si="825"/>
        <v/>
      </c>
      <c r="IX127" s="5" t="str">
        <f t="shared" si="826"/>
        <v/>
      </c>
      <c r="IY127" s="5" t="str">
        <f t="shared" si="827"/>
        <v/>
      </c>
      <c r="IZ127" s="5" t="str">
        <f t="shared" si="828"/>
        <v/>
      </c>
      <c r="JA127" s="705" t="str">
        <f t="shared" si="829"/>
        <v/>
      </c>
    </row>
    <row r="128" spans="1:261" ht="15" customHeight="1" x14ac:dyDescent="0.25">
      <c r="A128" s="75" t="str">
        <f t="shared" si="736"/>
        <v/>
      </c>
      <c r="B128" s="578" t="str">
        <f t="shared" si="737"/>
        <v/>
      </c>
      <c r="C128" s="572" t="str">
        <f t="shared" si="738"/>
        <v/>
      </c>
      <c r="D128" s="576" t="str">
        <f t="shared" si="739"/>
        <v/>
      </c>
      <c r="E128" s="580" t="str">
        <f t="shared" si="740"/>
        <v/>
      </c>
      <c r="F128" s="572" t="str">
        <f t="shared" si="741"/>
        <v/>
      </c>
      <c r="G128" s="579" t="str">
        <f t="shared" si="742"/>
        <v/>
      </c>
      <c r="H128" s="580" t="str">
        <f t="shared" si="743"/>
        <v/>
      </c>
      <c r="I128" s="572" t="str">
        <f t="shared" si="744"/>
        <v/>
      </c>
      <c r="J128" s="483" t="str">
        <f t="shared" si="745"/>
        <v/>
      </c>
      <c r="K128" s="806" t="str">
        <f t="shared" si="746"/>
        <v/>
      </c>
      <c r="L128" s="309"/>
      <c r="M128" s="164" t="str">
        <f t="shared" si="747"/>
        <v/>
      </c>
      <c r="N128" s="575" t="str">
        <f t="shared" si="748"/>
        <v/>
      </c>
      <c r="O128" s="572" t="str">
        <f t="shared" si="749"/>
        <v/>
      </c>
      <c r="P128" s="576" t="str">
        <f t="shared" si="750"/>
        <v/>
      </c>
      <c r="Q128" s="528" t="str">
        <f t="shared" si="609"/>
        <v/>
      </c>
      <c r="R128" s="572" t="str">
        <f t="shared" si="830"/>
        <v/>
      </c>
      <c r="S128" s="577" t="str">
        <f t="shared" si="831"/>
        <v/>
      </c>
      <c r="T128" s="578" t="str">
        <f t="shared" si="832"/>
        <v/>
      </c>
      <c r="U128" s="572" t="str">
        <f t="shared" si="833"/>
        <v/>
      </c>
      <c r="V128" s="579" t="str">
        <f t="shared" si="834"/>
        <v/>
      </c>
      <c r="W128" s="528" t="str">
        <f t="shared" si="735"/>
        <v/>
      </c>
      <c r="X128" s="572" t="str">
        <f t="shared" si="835"/>
        <v/>
      </c>
      <c r="Y128" s="573" t="str">
        <f t="shared" si="734"/>
        <v/>
      </c>
      <c r="Z128" s="575" t="str">
        <f t="shared" si="751"/>
        <v/>
      </c>
      <c r="AA128" s="572" t="str">
        <f t="shared" si="752"/>
        <v/>
      </c>
      <c r="AB128" s="572" t="str">
        <f t="shared" si="753"/>
        <v/>
      </c>
      <c r="AC128" s="579" t="str">
        <f t="shared" si="836"/>
        <v/>
      </c>
      <c r="AD128" s="580" t="str">
        <f t="shared" si="837"/>
        <v/>
      </c>
      <c r="AE128" s="572" t="str">
        <f t="shared" si="838"/>
        <v/>
      </c>
      <c r="AF128" s="576" t="str">
        <f t="shared" si="839"/>
        <v/>
      </c>
      <c r="AG128" s="545" t="str">
        <f t="shared" si="840"/>
        <v/>
      </c>
      <c r="AH128" s="546" t="str">
        <f t="shared" si="841"/>
        <v/>
      </c>
      <c r="AI128" s="528" t="str">
        <f t="shared" si="842"/>
        <v/>
      </c>
      <c r="AJ128" s="529" t="str">
        <f t="shared" si="843"/>
        <v/>
      </c>
      <c r="AK128" s="578" t="str">
        <f t="shared" si="844"/>
        <v/>
      </c>
      <c r="AL128" s="572" t="str">
        <f t="shared" si="845"/>
        <v/>
      </c>
      <c r="AM128" s="577" t="str">
        <f t="shared" si="846"/>
        <v/>
      </c>
      <c r="AN128" s="524" t="str">
        <f t="shared" si="847"/>
        <v/>
      </c>
      <c r="AO128" s="525" t="str">
        <f t="shared" si="855"/>
        <v/>
      </c>
      <c r="AP128" s="528" t="str">
        <f t="shared" si="848"/>
        <v/>
      </c>
      <c r="AQ128" s="529" t="str">
        <f t="shared" si="754"/>
        <v/>
      </c>
      <c r="AS128" s="946" t="str">
        <f t="shared" si="852"/>
        <v/>
      </c>
      <c r="AT128" s="942" t="str">
        <f t="shared" si="755"/>
        <v/>
      </c>
      <c r="AU128" s="418"/>
      <c r="AV128" s="164" t="str">
        <f t="shared" si="75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5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58"/>
        <v/>
      </c>
      <c r="BF128" s="4" t="str">
        <f t="shared" si="759"/>
        <v/>
      </c>
      <c r="BG128" s="5" t="str">
        <f t="shared" si="760"/>
        <v/>
      </c>
      <c r="BH128" s="10" t="str">
        <f t="shared" si="761"/>
        <v/>
      </c>
      <c r="BI128" s="9" t="str">
        <f t="shared" si="634"/>
        <v/>
      </c>
      <c r="BJ128" s="5" t="str">
        <f t="shared" si="762"/>
        <v/>
      </c>
      <c r="BK128" s="8" t="str">
        <f t="shared" si="763"/>
        <v/>
      </c>
      <c r="BL128" s="173" t="str">
        <f t="shared" si="764"/>
        <v/>
      </c>
      <c r="BM128" s="5" t="str">
        <f t="shared" si="765"/>
        <v/>
      </c>
      <c r="BN128" s="6" t="str">
        <f t="shared" si="766"/>
        <v/>
      </c>
      <c r="BO128" s="4" t="str">
        <f t="shared" si="635"/>
        <v/>
      </c>
      <c r="BP128" s="5" t="str">
        <f t="shared" si="636"/>
        <v/>
      </c>
      <c r="BQ128" s="5" t="str">
        <f t="shared" si="637"/>
        <v/>
      </c>
      <c r="BR128" s="6" t="str">
        <f t="shared" si="638"/>
        <v/>
      </c>
      <c r="BS128" s="4" t="str">
        <f t="shared" si="849"/>
        <v/>
      </c>
      <c r="BT128" s="5" t="str">
        <f t="shared" si="84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67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3"/>
        <v/>
      </c>
      <c r="DC128" s="5" t="str">
        <f t="shared" si="853"/>
        <v/>
      </c>
      <c r="DD128" s="10" t="str">
        <f t="shared" si="659"/>
        <v/>
      </c>
      <c r="DE128" s="9" t="str">
        <f t="shared" si="854"/>
        <v/>
      </c>
      <c r="DF128" s="5" t="str">
        <f t="shared" si="854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8"/>
        <v/>
      </c>
      <c r="ET128" s="5" t="str">
        <f t="shared" si="769"/>
        <v/>
      </c>
      <c r="EU128" s="10" t="str">
        <f t="shared" si="770"/>
        <v/>
      </c>
      <c r="EV128" s="174" t="str">
        <f t="shared" si="771"/>
        <v/>
      </c>
      <c r="EW128" s="9" t="str">
        <f t="shared" si="772"/>
        <v/>
      </c>
      <c r="EX128" s="5" t="str">
        <f t="shared" si="773"/>
        <v/>
      </c>
      <c r="EY128" s="6" t="str">
        <f t="shared" si="699"/>
        <v/>
      </c>
      <c r="EZ128" s="51" t="str">
        <f t="shared" si="700"/>
        <v/>
      </c>
      <c r="FA128" s="173" t="str">
        <f t="shared" si="774"/>
        <v/>
      </c>
      <c r="FB128" s="5" t="str">
        <f t="shared" si="775"/>
        <v/>
      </c>
      <c r="FC128" s="6" t="str">
        <f t="shared" si="776"/>
        <v/>
      </c>
      <c r="FD128" s="4" t="str">
        <f t="shared" si="777"/>
        <v/>
      </c>
      <c r="FE128" s="5" t="str">
        <f t="shared" si="778"/>
        <v/>
      </c>
      <c r="FF128" s="7" t="str">
        <f t="shared" si="701"/>
        <v/>
      </c>
      <c r="FG128" s="173" t="str">
        <f t="shared" si="779"/>
        <v/>
      </c>
      <c r="FH128" s="5" t="str">
        <f t="shared" si="780"/>
        <v/>
      </c>
      <c r="FI128" s="10" t="str">
        <f t="shared" si="781"/>
        <v/>
      </c>
      <c r="FJ128" s="279" t="str">
        <f t="shared" si="702"/>
        <v/>
      </c>
      <c r="FK128" s="4" t="str">
        <f t="shared" si="78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83"/>
        <v/>
      </c>
      <c r="FP128" s="277" t="str">
        <f t="shared" si="629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4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5"/>
        <v/>
      </c>
      <c r="GH128" s="286" t="str">
        <f t="shared" si="786"/>
        <v/>
      </c>
      <c r="GI128" s="281" t="str">
        <f t="shared" si="787"/>
        <v/>
      </c>
      <c r="GJ128" s="167" t="str">
        <f t="shared" si="718"/>
        <v/>
      </c>
      <c r="GK128" s="174" t="str">
        <f t="shared" si="788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89"/>
        <v/>
      </c>
      <c r="GT128" s="343" t="str">
        <f t="shared" si="790"/>
        <v/>
      </c>
      <c r="GU128" s="344" t="str">
        <f t="shared" si="791"/>
        <v/>
      </c>
      <c r="GV128" s="343" t="str">
        <f t="shared" si="726"/>
        <v/>
      </c>
      <c r="GW128" s="345" t="str">
        <f t="shared" si="792"/>
        <v/>
      </c>
      <c r="GX128" s="346" t="str">
        <f t="shared" si="793"/>
        <v/>
      </c>
      <c r="GY128" s="344" t="str">
        <f t="shared" si="794"/>
        <v/>
      </c>
      <c r="GZ128" s="345" t="str">
        <f t="shared" si="795"/>
        <v/>
      </c>
      <c r="HA128" s="342" t="str">
        <f t="shared" si="796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7"/>
        <v/>
      </c>
      <c r="HF128" s="5" t="str">
        <f t="shared" si="798"/>
        <v/>
      </c>
      <c r="HG128" s="343" t="str">
        <f t="shared" si="730"/>
        <v/>
      </c>
      <c r="HH128" s="349" t="str">
        <f t="shared" si="731"/>
        <v/>
      </c>
      <c r="HI128" s="317" t="str">
        <f t="shared" si="799"/>
        <v/>
      </c>
      <c r="HK128" s="310" t="str">
        <f t="shared" si="850"/>
        <v/>
      </c>
      <c r="HL128" s="348" t="str">
        <f t="shared" si="800"/>
        <v/>
      </c>
      <c r="HM128" s="923" t="str">
        <f t="shared" si="801"/>
        <v/>
      </c>
      <c r="HN128" s="924" t="str">
        <f t="shared" si="802"/>
        <v/>
      </c>
      <c r="HO128" s="925"/>
      <c r="HP128" s="926"/>
      <c r="HQ128" s="924" t="str">
        <f t="shared" si="803"/>
        <v/>
      </c>
      <c r="HR128" s="927" t="str">
        <f t="shared" si="804"/>
        <v/>
      </c>
      <c r="HS128" s="879" t="str">
        <f t="shared" si="851"/>
        <v/>
      </c>
      <c r="HT128" s="889" t="str">
        <f t="shared" si="805"/>
        <v/>
      </c>
      <c r="HU128" s="890" t="str">
        <f t="shared" si="806"/>
        <v/>
      </c>
      <c r="HV128" s="886" t="str">
        <f t="shared" si="807"/>
        <v/>
      </c>
      <c r="HW128" s="880" t="str">
        <f t="shared" si="808"/>
        <v/>
      </c>
      <c r="HX128" s="881" t="str">
        <f t="shared" si="809"/>
        <v/>
      </c>
      <c r="HY128" s="880" t="str">
        <f t="shared" si="810"/>
        <v/>
      </c>
      <c r="HZ128" s="882" t="str">
        <f t="shared" si="811"/>
        <v/>
      </c>
      <c r="IA128" s="883" t="str">
        <f t="shared" si="812"/>
        <v/>
      </c>
      <c r="IB128" s="884" t="str">
        <f t="shared" si="813"/>
        <v/>
      </c>
      <c r="IC128" s="855" t="str">
        <f t="shared" si="814"/>
        <v/>
      </c>
      <c r="ID128" s="351" t="str">
        <f t="shared" si="815"/>
        <v/>
      </c>
      <c r="IE128" s="857" t="str">
        <f t="shared" si="816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2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17"/>
        <v/>
      </c>
      <c r="IM128" s="482" t="str">
        <f t="shared" si="733"/>
        <v/>
      </c>
      <c r="IN128" s="670" t="str">
        <f t="shared" si="818"/>
        <v/>
      </c>
      <c r="IO128" s="702"/>
      <c r="IP128" s="5" t="str">
        <f t="shared" si="819"/>
        <v/>
      </c>
      <c r="IQ128" s="714"/>
      <c r="IR128" s="9" t="str">
        <f t="shared" si="820"/>
        <v/>
      </c>
      <c r="IS128" s="5" t="str">
        <f t="shared" si="821"/>
        <v/>
      </c>
      <c r="IT128" s="5" t="str">
        <f t="shared" si="822"/>
        <v/>
      </c>
      <c r="IU128" s="5" t="str">
        <f t="shared" si="823"/>
        <v/>
      </c>
      <c r="IV128" s="670" t="str">
        <f t="shared" si="824"/>
        <v/>
      </c>
      <c r="IW128" s="9" t="str">
        <f t="shared" si="825"/>
        <v/>
      </c>
      <c r="IX128" s="5" t="str">
        <f t="shared" si="826"/>
        <v/>
      </c>
      <c r="IY128" s="5" t="str">
        <f t="shared" si="827"/>
        <v/>
      </c>
      <c r="IZ128" s="5" t="str">
        <f t="shared" si="828"/>
        <v/>
      </c>
      <c r="JA128" s="705" t="str">
        <f t="shared" si="829"/>
        <v/>
      </c>
    </row>
    <row r="129" spans="1:261" ht="15" customHeight="1" x14ac:dyDescent="0.25">
      <c r="A129" s="75" t="str">
        <f t="shared" si="736"/>
        <v/>
      </c>
      <c r="B129" s="578" t="str">
        <f t="shared" si="737"/>
        <v/>
      </c>
      <c r="C129" s="572" t="str">
        <f t="shared" si="738"/>
        <v/>
      </c>
      <c r="D129" s="576" t="str">
        <f t="shared" si="739"/>
        <v/>
      </c>
      <c r="E129" s="580" t="str">
        <f t="shared" si="740"/>
        <v/>
      </c>
      <c r="F129" s="572" t="str">
        <f t="shared" si="741"/>
        <v/>
      </c>
      <c r="G129" s="579" t="str">
        <f t="shared" si="742"/>
        <v/>
      </c>
      <c r="H129" s="580" t="str">
        <f t="shared" si="743"/>
        <v/>
      </c>
      <c r="I129" s="572" t="str">
        <f t="shared" si="744"/>
        <v/>
      </c>
      <c r="J129" s="483" t="str">
        <f t="shared" si="745"/>
        <v/>
      </c>
      <c r="K129" s="806" t="str">
        <f t="shared" si="746"/>
        <v/>
      </c>
      <c r="L129" s="309"/>
      <c r="M129" s="164" t="str">
        <f t="shared" si="747"/>
        <v/>
      </c>
      <c r="N129" s="575" t="str">
        <f t="shared" si="748"/>
        <v/>
      </c>
      <c r="O129" s="572" t="str">
        <f t="shared" si="749"/>
        <v/>
      </c>
      <c r="P129" s="576" t="str">
        <f t="shared" si="750"/>
        <v/>
      </c>
      <c r="Q129" s="528" t="str">
        <f t="shared" si="609"/>
        <v/>
      </c>
      <c r="R129" s="572" t="str">
        <f t="shared" si="830"/>
        <v/>
      </c>
      <c r="S129" s="577" t="str">
        <f t="shared" si="831"/>
        <v/>
      </c>
      <c r="T129" s="578" t="str">
        <f t="shared" si="832"/>
        <v/>
      </c>
      <c r="U129" s="572" t="str">
        <f t="shared" si="833"/>
        <v/>
      </c>
      <c r="V129" s="579" t="str">
        <f t="shared" si="834"/>
        <v/>
      </c>
      <c r="W129" s="528" t="str">
        <f t="shared" si="735"/>
        <v/>
      </c>
      <c r="X129" s="572" t="str">
        <f t="shared" si="835"/>
        <v/>
      </c>
      <c r="Y129" s="573" t="str">
        <f t="shared" si="734"/>
        <v/>
      </c>
      <c r="Z129" s="575" t="str">
        <f t="shared" si="751"/>
        <v/>
      </c>
      <c r="AA129" s="572" t="str">
        <f t="shared" si="752"/>
        <v/>
      </c>
      <c r="AB129" s="572" t="str">
        <f t="shared" si="753"/>
        <v/>
      </c>
      <c r="AC129" s="579" t="str">
        <f t="shared" si="836"/>
        <v/>
      </c>
      <c r="AD129" s="580" t="str">
        <f t="shared" si="837"/>
        <v/>
      </c>
      <c r="AE129" s="572" t="str">
        <f t="shared" si="838"/>
        <v/>
      </c>
      <c r="AF129" s="576" t="str">
        <f t="shared" si="839"/>
        <v/>
      </c>
      <c r="AG129" s="545" t="str">
        <f t="shared" si="840"/>
        <v/>
      </c>
      <c r="AH129" s="546" t="str">
        <f t="shared" si="841"/>
        <v/>
      </c>
      <c r="AI129" s="528" t="str">
        <f t="shared" si="842"/>
        <v/>
      </c>
      <c r="AJ129" s="529" t="str">
        <f t="shared" si="843"/>
        <v/>
      </c>
      <c r="AK129" s="578" t="str">
        <f t="shared" si="844"/>
        <v/>
      </c>
      <c r="AL129" s="572" t="str">
        <f t="shared" si="845"/>
        <v/>
      </c>
      <c r="AM129" s="577" t="str">
        <f t="shared" si="846"/>
        <v/>
      </c>
      <c r="AN129" s="524" t="str">
        <f t="shared" si="847"/>
        <v/>
      </c>
      <c r="AO129" s="525" t="str">
        <f t="shared" si="855"/>
        <v/>
      </c>
      <c r="AP129" s="528" t="str">
        <f t="shared" si="848"/>
        <v/>
      </c>
      <c r="AQ129" s="529" t="str">
        <f t="shared" si="754"/>
        <v/>
      </c>
      <c r="AS129" s="946" t="str">
        <f t="shared" si="852"/>
        <v/>
      </c>
      <c r="AT129" s="942" t="str">
        <f t="shared" si="755"/>
        <v/>
      </c>
      <c r="AU129" s="418"/>
      <c r="AV129" s="164" t="str">
        <f t="shared" si="75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5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58"/>
        <v/>
      </c>
      <c r="BF129" s="4" t="str">
        <f t="shared" si="759"/>
        <v/>
      </c>
      <c r="BG129" s="5" t="str">
        <f t="shared" si="760"/>
        <v/>
      </c>
      <c r="BH129" s="10" t="str">
        <f t="shared" si="761"/>
        <v/>
      </c>
      <c r="BI129" s="9" t="str">
        <f t="shared" si="634"/>
        <v/>
      </c>
      <c r="BJ129" s="5" t="str">
        <f t="shared" si="762"/>
        <v/>
      </c>
      <c r="BK129" s="8" t="str">
        <f t="shared" si="763"/>
        <v/>
      </c>
      <c r="BL129" s="173" t="str">
        <f t="shared" si="764"/>
        <v/>
      </c>
      <c r="BM129" s="5" t="str">
        <f t="shared" si="765"/>
        <v/>
      </c>
      <c r="BN129" s="6" t="str">
        <f t="shared" si="766"/>
        <v/>
      </c>
      <c r="BO129" s="4" t="str">
        <f t="shared" si="635"/>
        <v/>
      </c>
      <c r="BP129" s="5" t="str">
        <f t="shared" si="636"/>
        <v/>
      </c>
      <c r="BQ129" s="5" t="str">
        <f t="shared" si="637"/>
        <v/>
      </c>
      <c r="BR129" s="6" t="str">
        <f t="shared" si="638"/>
        <v/>
      </c>
      <c r="BS129" s="4" t="str">
        <f t="shared" si="849"/>
        <v/>
      </c>
      <c r="BT129" s="5" t="str">
        <f t="shared" si="84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67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3"/>
        <v/>
      </c>
      <c r="DC129" s="5" t="str">
        <f t="shared" si="853"/>
        <v/>
      </c>
      <c r="DD129" s="10" t="str">
        <f t="shared" si="659"/>
        <v/>
      </c>
      <c r="DE129" s="9" t="str">
        <f t="shared" si="854"/>
        <v/>
      </c>
      <c r="DF129" s="5" t="str">
        <f t="shared" si="854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8"/>
        <v/>
      </c>
      <c r="ET129" s="5" t="str">
        <f t="shared" si="769"/>
        <v/>
      </c>
      <c r="EU129" s="10" t="str">
        <f t="shared" si="770"/>
        <v/>
      </c>
      <c r="EV129" s="174" t="str">
        <f t="shared" si="771"/>
        <v/>
      </c>
      <c r="EW129" s="9" t="str">
        <f t="shared" si="772"/>
        <v/>
      </c>
      <c r="EX129" s="5" t="str">
        <f t="shared" si="773"/>
        <v/>
      </c>
      <c r="EY129" s="6" t="str">
        <f t="shared" si="699"/>
        <v/>
      </c>
      <c r="EZ129" s="51" t="str">
        <f t="shared" si="700"/>
        <v/>
      </c>
      <c r="FA129" s="173" t="str">
        <f t="shared" si="774"/>
        <v/>
      </c>
      <c r="FB129" s="5" t="str">
        <f t="shared" si="775"/>
        <v/>
      </c>
      <c r="FC129" s="6" t="str">
        <f t="shared" si="776"/>
        <v/>
      </c>
      <c r="FD129" s="4" t="str">
        <f t="shared" si="777"/>
        <v/>
      </c>
      <c r="FE129" s="5" t="str">
        <f t="shared" si="778"/>
        <v/>
      </c>
      <c r="FF129" s="7" t="str">
        <f t="shared" si="701"/>
        <v/>
      </c>
      <c r="FG129" s="173" t="str">
        <f t="shared" si="779"/>
        <v/>
      </c>
      <c r="FH129" s="5" t="str">
        <f t="shared" si="780"/>
        <v/>
      </c>
      <c r="FI129" s="10" t="str">
        <f t="shared" si="781"/>
        <v/>
      </c>
      <c r="FJ129" s="279" t="str">
        <f t="shared" si="702"/>
        <v/>
      </c>
      <c r="FK129" s="4" t="str">
        <f t="shared" si="78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83"/>
        <v/>
      </c>
      <c r="FP129" s="277" t="str">
        <f t="shared" si="629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4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5"/>
        <v/>
      </c>
      <c r="GH129" s="286" t="str">
        <f t="shared" si="786"/>
        <v/>
      </c>
      <c r="GI129" s="281" t="str">
        <f t="shared" si="787"/>
        <v/>
      </c>
      <c r="GJ129" s="167" t="str">
        <f t="shared" si="718"/>
        <v/>
      </c>
      <c r="GK129" s="174" t="str">
        <f t="shared" si="788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89"/>
        <v/>
      </c>
      <c r="GT129" s="343" t="str">
        <f t="shared" si="790"/>
        <v/>
      </c>
      <c r="GU129" s="344" t="str">
        <f t="shared" si="791"/>
        <v/>
      </c>
      <c r="GV129" s="343" t="str">
        <f t="shared" si="726"/>
        <v/>
      </c>
      <c r="GW129" s="345" t="str">
        <f t="shared" si="792"/>
        <v/>
      </c>
      <c r="GX129" s="346" t="str">
        <f t="shared" si="793"/>
        <v/>
      </c>
      <c r="GY129" s="344" t="str">
        <f t="shared" si="794"/>
        <v/>
      </c>
      <c r="GZ129" s="345" t="str">
        <f t="shared" si="795"/>
        <v/>
      </c>
      <c r="HA129" s="342" t="str">
        <f t="shared" si="796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7"/>
        <v/>
      </c>
      <c r="HF129" s="5" t="str">
        <f t="shared" si="798"/>
        <v/>
      </c>
      <c r="HG129" s="343" t="str">
        <f t="shared" si="730"/>
        <v/>
      </c>
      <c r="HH129" s="349" t="str">
        <f t="shared" si="731"/>
        <v/>
      </c>
      <c r="HI129" s="317" t="str">
        <f t="shared" si="799"/>
        <v/>
      </c>
      <c r="HK129" s="310" t="str">
        <f t="shared" si="850"/>
        <v/>
      </c>
      <c r="HL129" s="348" t="str">
        <f t="shared" si="800"/>
        <v/>
      </c>
      <c r="HM129" s="923" t="str">
        <f t="shared" si="801"/>
        <v/>
      </c>
      <c r="HN129" s="924" t="str">
        <f t="shared" si="802"/>
        <v/>
      </c>
      <c r="HO129" s="925"/>
      <c r="HP129" s="926"/>
      <c r="HQ129" s="924" t="str">
        <f t="shared" si="803"/>
        <v/>
      </c>
      <c r="HR129" s="927" t="str">
        <f t="shared" si="804"/>
        <v/>
      </c>
      <c r="HS129" s="879" t="str">
        <f t="shared" si="851"/>
        <v/>
      </c>
      <c r="HT129" s="889" t="str">
        <f t="shared" si="805"/>
        <v/>
      </c>
      <c r="HU129" s="890" t="str">
        <f t="shared" si="806"/>
        <v/>
      </c>
      <c r="HV129" s="886" t="str">
        <f t="shared" si="807"/>
        <v/>
      </c>
      <c r="HW129" s="880" t="str">
        <f t="shared" si="808"/>
        <v/>
      </c>
      <c r="HX129" s="881" t="str">
        <f t="shared" si="809"/>
        <v/>
      </c>
      <c r="HY129" s="880" t="str">
        <f t="shared" si="810"/>
        <v/>
      </c>
      <c r="HZ129" s="882" t="str">
        <f t="shared" si="811"/>
        <v/>
      </c>
      <c r="IA129" s="883" t="str">
        <f t="shared" si="812"/>
        <v/>
      </c>
      <c r="IB129" s="884" t="str">
        <f t="shared" si="813"/>
        <v/>
      </c>
      <c r="IC129" s="855" t="str">
        <f t="shared" si="814"/>
        <v/>
      </c>
      <c r="ID129" s="351" t="str">
        <f t="shared" si="815"/>
        <v/>
      </c>
      <c r="IE129" s="857" t="str">
        <f t="shared" si="816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2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17"/>
        <v/>
      </c>
      <c r="IM129" s="482" t="str">
        <f t="shared" si="733"/>
        <v/>
      </c>
      <c r="IN129" s="670" t="str">
        <f t="shared" si="818"/>
        <v/>
      </c>
      <c r="IO129" s="702"/>
      <c r="IP129" s="5" t="str">
        <f t="shared" si="819"/>
        <v/>
      </c>
      <c r="IQ129" s="714"/>
      <c r="IR129" s="9" t="str">
        <f t="shared" si="820"/>
        <v/>
      </c>
      <c r="IS129" s="5" t="str">
        <f t="shared" si="821"/>
        <v/>
      </c>
      <c r="IT129" s="5" t="str">
        <f t="shared" si="822"/>
        <v/>
      </c>
      <c r="IU129" s="5" t="str">
        <f t="shared" si="823"/>
        <v/>
      </c>
      <c r="IV129" s="670" t="str">
        <f t="shared" si="824"/>
        <v/>
      </c>
      <c r="IW129" s="9" t="str">
        <f t="shared" si="825"/>
        <v/>
      </c>
      <c r="IX129" s="5" t="str">
        <f t="shared" si="826"/>
        <v/>
      </c>
      <c r="IY129" s="5" t="str">
        <f t="shared" si="827"/>
        <v/>
      </c>
      <c r="IZ129" s="5" t="str">
        <f t="shared" si="828"/>
        <v/>
      </c>
      <c r="JA129" s="705" t="str">
        <f t="shared" si="829"/>
        <v/>
      </c>
    </row>
    <row r="130" spans="1:261" ht="15" customHeight="1" x14ac:dyDescent="0.25">
      <c r="A130" s="75" t="str">
        <f t="shared" si="736"/>
        <v/>
      </c>
      <c r="B130" s="585" t="str">
        <f t="shared" si="737"/>
        <v/>
      </c>
      <c r="C130" s="582" t="str">
        <f t="shared" si="738"/>
        <v/>
      </c>
      <c r="D130" s="583" t="str">
        <f t="shared" si="739"/>
        <v/>
      </c>
      <c r="E130" s="588" t="str">
        <f t="shared" si="740"/>
        <v/>
      </c>
      <c r="F130" s="582" t="str">
        <f t="shared" si="741"/>
        <v/>
      </c>
      <c r="G130" s="586" t="str">
        <f t="shared" si="742"/>
        <v/>
      </c>
      <c r="H130" s="588" t="str">
        <f t="shared" si="743"/>
        <v/>
      </c>
      <c r="I130" s="582" t="str">
        <f t="shared" si="744"/>
        <v/>
      </c>
      <c r="J130" s="491" t="str">
        <f t="shared" si="745"/>
        <v/>
      </c>
      <c r="K130" s="807" t="str">
        <f t="shared" si="746"/>
        <v/>
      </c>
      <c r="L130" s="309"/>
      <c r="M130" s="492" t="str">
        <f t="shared" si="747"/>
        <v/>
      </c>
      <c r="N130" s="581" t="str">
        <f t="shared" si="748"/>
        <v/>
      </c>
      <c r="O130" s="582" t="str">
        <f t="shared" si="749"/>
        <v/>
      </c>
      <c r="P130" s="583" t="str">
        <f t="shared" si="75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51"/>
        <v/>
      </c>
      <c r="AA130" s="582" t="str">
        <f t="shared" si="752"/>
        <v/>
      </c>
      <c r="AB130" s="582" t="str">
        <f t="shared" si="75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54"/>
        <v/>
      </c>
      <c r="AS130" s="947" t="str">
        <f t="shared" si="852"/>
        <v/>
      </c>
      <c r="AT130" s="943" t="str">
        <f t="shared" si="755"/>
        <v/>
      </c>
      <c r="AU130" s="418"/>
      <c r="AV130" s="164" t="str">
        <f t="shared" si="75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58"/>
        <v/>
      </c>
      <c r="BF130" s="498" t="str">
        <f t="shared" si="759"/>
        <v/>
      </c>
      <c r="BG130" s="494" t="str">
        <f t="shared" si="760"/>
        <v/>
      </c>
      <c r="BH130" s="495" t="str">
        <f t="shared" si="761"/>
        <v/>
      </c>
      <c r="BI130" s="496" t="str">
        <f t="shared" ref="BI130:BI150" si="881">IF(ISNUMBER($AV130),BF130+0,"")</f>
        <v/>
      </c>
      <c r="BJ130" s="494" t="str">
        <f t="shared" si="762"/>
        <v/>
      </c>
      <c r="BK130" s="499" t="str">
        <f t="shared" si="763"/>
        <v/>
      </c>
      <c r="BL130" s="502" t="str">
        <f t="shared" si="764"/>
        <v/>
      </c>
      <c r="BM130" s="494" t="str">
        <f t="shared" si="765"/>
        <v/>
      </c>
      <c r="BN130" s="497" t="str">
        <f t="shared" si="76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ref="BP130:BP150" si="883">IF(ISNUMBER($AV130),BF130*(BN130-BK130)-(BI130*BN130-BL130*BK130)+BH130*(BI130-BL130),"")</f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49"/>
        <v/>
      </c>
      <c r="BT130" s="494" t="str">
        <f t="shared" si="84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0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7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3"/>
        <v/>
      </c>
      <c r="DC130" s="494" t="str">
        <f t="shared" si="853"/>
        <v/>
      </c>
      <c r="DD130" s="495" t="str">
        <f t="shared" si="659"/>
        <v/>
      </c>
      <c r="DE130" s="496" t="str">
        <f t="shared" si="854"/>
        <v/>
      </c>
      <c r="DF130" s="494" t="str">
        <f t="shared" si="854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8"/>
        <v/>
      </c>
      <c r="ET130" s="494" t="str">
        <f t="shared" si="769"/>
        <v/>
      </c>
      <c r="EU130" s="495" t="str">
        <f t="shared" si="770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4"/>
        <v/>
      </c>
      <c r="FB130" s="494" t="str">
        <f t="shared" si="775"/>
        <v/>
      </c>
      <c r="FC130" s="497" t="str">
        <f t="shared" si="776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8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1"/>
        <v/>
      </c>
      <c r="GV130" s="343" t="str">
        <f t="shared" ref="GV130:GV150" si="991">IF(ISNUMBER($AV130),GW130*$GL130,"")</f>
        <v/>
      </c>
      <c r="GW130" s="345" t="str">
        <f t="shared" si="792"/>
        <v/>
      </c>
      <c r="GX130" s="346" t="str">
        <f t="shared" si="793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6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7"/>
        <v/>
      </c>
      <c r="HF130" s="5" t="str">
        <f t="shared" si="798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799"/>
        <v/>
      </c>
      <c r="HK130" s="310" t="str">
        <f t="shared" si="850"/>
        <v/>
      </c>
      <c r="HL130" s="348" t="str">
        <f t="shared" si="800"/>
        <v/>
      </c>
      <c r="HM130" s="923" t="str">
        <f t="shared" si="801"/>
        <v/>
      </c>
      <c r="HN130" s="924" t="str">
        <f t="shared" si="802"/>
        <v/>
      </c>
      <c r="HO130" s="925"/>
      <c r="HP130" s="926"/>
      <c r="HQ130" s="924" t="str">
        <f t="shared" si="803"/>
        <v/>
      </c>
      <c r="HR130" s="927" t="str">
        <f t="shared" si="804"/>
        <v/>
      </c>
      <c r="HS130" s="879" t="str">
        <f t="shared" ref="HS130:HS150" si="998">IFERROR(SMALL($GJ$9:$GJ$150,($HK129+1)),"")</f>
        <v/>
      </c>
      <c r="HT130" s="889" t="str">
        <f t="shared" si="805"/>
        <v/>
      </c>
      <c r="HU130" s="890" t="str">
        <f t="shared" si="806"/>
        <v/>
      </c>
      <c r="HV130" s="886" t="str">
        <f t="shared" si="807"/>
        <v/>
      </c>
      <c r="HW130" s="880" t="str">
        <f t="shared" si="808"/>
        <v/>
      </c>
      <c r="HX130" s="881" t="str">
        <f t="shared" si="809"/>
        <v/>
      </c>
      <c r="HY130" s="880" t="str">
        <f t="shared" si="810"/>
        <v/>
      </c>
      <c r="HZ130" s="882" t="str">
        <f t="shared" si="811"/>
        <v/>
      </c>
      <c r="IA130" s="883" t="str">
        <f t="shared" si="812"/>
        <v/>
      </c>
      <c r="IB130" s="884" t="str">
        <f t="shared" si="813"/>
        <v/>
      </c>
      <c r="IC130" s="855" t="str">
        <f t="shared" si="814"/>
        <v/>
      </c>
      <c r="ID130" s="351" t="str">
        <f t="shared" si="815"/>
        <v/>
      </c>
      <c r="IE130" s="857" t="str">
        <f t="shared" si="816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2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17"/>
        <v/>
      </c>
      <c r="IM130" s="482" t="str">
        <f t="shared" si="733"/>
        <v/>
      </c>
      <c r="IN130" s="670" t="str">
        <f t="shared" si="818"/>
        <v/>
      </c>
      <c r="IO130" s="702"/>
      <c r="IP130" s="5" t="str">
        <f t="shared" si="819"/>
        <v/>
      </c>
      <c r="IQ130" s="714"/>
      <c r="IR130" s="9" t="str">
        <f t="shared" si="820"/>
        <v/>
      </c>
      <c r="IS130" s="5" t="str">
        <f t="shared" si="821"/>
        <v/>
      </c>
      <c r="IT130" s="5" t="str">
        <f t="shared" si="822"/>
        <v/>
      </c>
      <c r="IU130" s="5" t="str">
        <f t="shared" si="823"/>
        <v/>
      </c>
      <c r="IV130" s="670" t="str">
        <f t="shared" si="824"/>
        <v/>
      </c>
      <c r="IW130" s="9" t="str">
        <f t="shared" si="825"/>
        <v/>
      </c>
      <c r="IX130" s="5" t="str">
        <f t="shared" si="826"/>
        <v/>
      </c>
      <c r="IY130" s="5" t="str">
        <f t="shared" si="827"/>
        <v/>
      </c>
      <c r="IZ130" s="5" t="str">
        <f t="shared" si="828"/>
        <v/>
      </c>
      <c r="JA130" s="705" t="str">
        <f t="shared" si="829"/>
        <v/>
      </c>
    </row>
    <row r="131" spans="1:261" ht="15" customHeight="1" x14ac:dyDescent="0.25">
      <c r="A131" s="75" t="str">
        <f t="shared" si="736"/>
        <v/>
      </c>
      <c r="B131" s="585" t="str">
        <f t="shared" si="737"/>
        <v/>
      </c>
      <c r="C131" s="582" t="str">
        <f t="shared" si="738"/>
        <v/>
      </c>
      <c r="D131" s="583" t="str">
        <f t="shared" si="739"/>
        <v/>
      </c>
      <c r="E131" s="588" t="str">
        <f t="shared" si="740"/>
        <v/>
      </c>
      <c r="F131" s="582" t="str">
        <f t="shared" si="741"/>
        <v/>
      </c>
      <c r="G131" s="586" t="str">
        <f t="shared" si="742"/>
        <v/>
      </c>
      <c r="H131" s="588" t="str">
        <f t="shared" si="743"/>
        <v/>
      </c>
      <c r="I131" s="582" t="str">
        <f t="shared" si="744"/>
        <v/>
      </c>
      <c r="J131" s="491" t="str">
        <f t="shared" si="745"/>
        <v/>
      </c>
      <c r="K131" s="807" t="str">
        <f t="shared" si="746"/>
        <v/>
      </c>
      <c r="L131" s="309"/>
      <c r="M131" s="492" t="str">
        <f t="shared" si="747"/>
        <v/>
      </c>
      <c r="N131" s="581" t="str">
        <f t="shared" si="748"/>
        <v/>
      </c>
      <c r="O131" s="582" t="str">
        <f t="shared" si="749"/>
        <v/>
      </c>
      <c r="P131" s="583" t="str">
        <f t="shared" si="75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51"/>
        <v/>
      </c>
      <c r="AA131" s="582" t="str">
        <f t="shared" si="752"/>
        <v/>
      </c>
      <c r="AB131" s="582" t="str">
        <f t="shared" si="75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54"/>
        <v/>
      </c>
      <c r="AS131" s="947" t="str">
        <f t="shared" si="852"/>
        <v/>
      </c>
      <c r="AT131" s="943" t="str">
        <f t="shared" si="755"/>
        <v/>
      </c>
      <c r="AU131" s="418"/>
      <c r="AV131" s="164" t="str">
        <f t="shared" si="75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58"/>
        <v/>
      </c>
      <c r="BF131" s="498" t="str">
        <f t="shared" si="759"/>
        <v/>
      </c>
      <c r="BG131" s="494" t="str">
        <f t="shared" si="760"/>
        <v/>
      </c>
      <c r="BH131" s="495" t="str">
        <f t="shared" si="761"/>
        <v/>
      </c>
      <c r="BI131" s="496" t="str">
        <f t="shared" si="881"/>
        <v/>
      </c>
      <c r="BJ131" s="494" t="str">
        <f t="shared" si="762"/>
        <v/>
      </c>
      <c r="BK131" s="499" t="str">
        <f t="shared" si="763"/>
        <v/>
      </c>
      <c r="BL131" s="502" t="str">
        <f t="shared" si="764"/>
        <v/>
      </c>
      <c r="BM131" s="494" t="str">
        <f t="shared" si="765"/>
        <v/>
      </c>
      <c r="BN131" s="497" t="str">
        <f t="shared" si="766"/>
        <v/>
      </c>
      <c r="BO131" s="498" t="str">
        <f t="shared" si="882"/>
        <v/>
      </c>
      <c r="BP131" s="494" t="str">
        <f t="shared" si="883"/>
        <v/>
      </c>
      <c r="BQ131" s="494" t="str">
        <f t="shared" si="884"/>
        <v/>
      </c>
      <c r="BR131" s="497" t="str">
        <f t="shared" si="885"/>
        <v/>
      </c>
      <c r="BS131" s="498" t="str">
        <f t="shared" si="849"/>
        <v/>
      </c>
      <c r="BT131" s="494" t="str">
        <f t="shared" si="84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0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7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3"/>
        <v/>
      </c>
      <c r="DC131" s="494" t="str">
        <f t="shared" si="853"/>
        <v/>
      </c>
      <c r="DD131" s="495" t="str">
        <f t="shared" si="659"/>
        <v/>
      </c>
      <c r="DE131" s="496" t="str">
        <f t="shared" si="854"/>
        <v/>
      </c>
      <c r="DF131" s="494" t="str">
        <f t="shared" si="854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8"/>
        <v/>
      </c>
      <c r="ET131" s="494" t="str">
        <f t="shared" si="769"/>
        <v/>
      </c>
      <c r="EU131" s="495" t="str">
        <f t="shared" si="770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4"/>
        <v/>
      </c>
      <c r="FB131" s="494" t="str">
        <f t="shared" si="775"/>
        <v/>
      </c>
      <c r="FC131" s="497" t="str">
        <f t="shared" si="776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8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1"/>
        <v/>
      </c>
      <c r="GV131" s="343" t="str">
        <f t="shared" si="991"/>
        <v/>
      </c>
      <c r="GW131" s="345" t="str">
        <f t="shared" si="792"/>
        <v/>
      </c>
      <c r="GX131" s="346" t="str">
        <f t="shared" si="793"/>
        <v/>
      </c>
      <c r="GY131" s="344" t="str">
        <f t="shared" si="992"/>
        <v/>
      </c>
      <c r="GZ131" s="345" t="str">
        <f t="shared" si="993"/>
        <v/>
      </c>
      <c r="HA131" s="342" t="str">
        <f t="shared" si="796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7"/>
        <v/>
      </c>
      <c r="HF131" s="5" t="str">
        <f t="shared" si="798"/>
        <v/>
      </c>
      <c r="HG131" s="343" t="str">
        <f t="shared" si="996"/>
        <v/>
      </c>
      <c r="HH131" s="349" t="str">
        <f t="shared" si="997"/>
        <v/>
      </c>
      <c r="HI131" s="317" t="str">
        <f t="shared" si="799"/>
        <v/>
      </c>
      <c r="HK131" s="310" t="str">
        <f t="shared" si="850"/>
        <v/>
      </c>
      <c r="HL131" s="348" t="str">
        <f t="shared" si="800"/>
        <v/>
      </c>
      <c r="HM131" s="923" t="str">
        <f t="shared" si="801"/>
        <v/>
      </c>
      <c r="HN131" s="924" t="str">
        <f t="shared" si="802"/>
        <v/>
      </c>
      <c r="HO131" s="925"/>
      <c r="HP131" s="926"/>
      <c r="HQ131" s="924" t="str">
        <f t="shared" si="803"/>
        <v/>
      </c>
      <c r="HR131" s="927" t="str">
        <f t="shared" si="804"/>
        <v/>
      </c>
      <c r="HS131" s="879" t="str">
        <f t="shared" si="998"/>
        <v/>
      </c>
      <c r="HT131" s="889" t="str">
        <f t="shared" si="805"/>
        <v/>
      </c>
      <c r="HU131" s="890" t="str">
        <f t="shared" si="806"/>
        <v/>
      </c>
      <c r="HV131" s="886" t="str">
        <f t="shared" si="807"/>
        <v/>
      </c>
      <c r="HW131" s="880" t="str">
        <f t="shared" si="808"/>
        <v/>
      </c>
      <c r="HX131" s="881" t="str">
        <f t="shared" si="809"/>
        <v/>
      </c>
      <c r="HY131" s="880" t="str">
        <f t="shared" si="810"/>
        <v/>
      </c>
      <c r="HZ131" s="882" t="str">
        <f t="shared" si="811"/>
        <v/>
      </c>
      <c r="IA131" s="883" t="str">
        <f t="shared" si="812"/>
        <v/>
      </c>
      <c r="IB131" s="884" t="str">
        <f t="shared" si="813"/>
        <v/>
      </c>
      <c r="IC131" s="855" t="str">
        <f t="shared" si="814"/>
        <v/>
      </c>
      <c r="ID131" s="351" t="str">
        <f t="shared" si="815"/>
        <v/>
      </c>
      <c r="IE131" s="857" t="str">
        <f t="shared" si="816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2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17"/>
        <v/>
      </c>
      <c r="IM131" s="482" t="str">
        <f t="shared" si="733"/>
        <v/>
      </c>
      <c r="IN131" s="670" t="str">
        <f t="shared" si="818"/>
        <v/>
      </c>
      <c r="IO131" s="702"/>
      <c r="IP131" s="5" t="str">
        <f t="shared" si="819"/>
        <v/>
      </c>
      <c r="IQ131" s="714"/>
      <c r="IR131" s="9" t="str">
        <f t="shared" si="820"/>
        <v/>
      </c>
      <c r="IS131" s="5" t="str">
        <f t="shared" si="821"/>
        <v/>
      </c>
      <c r="IT131" s="5" t="str">
        <f t="shared" si="822"/>
        <v/>
      </c>
      <c r="IU131" s="5" t="str">
        <f t="shared" si="823"/>
        <v/>
      </c>
      <c r="IV131" s="670" t="str">
        <f t="shared" si="824"/>
        <v/>
      </c>
      <c r="IW131" s="9" t="str">
        <f t="shared" si="825"/>
        <v/>
      </c>
      <c r="IX131" s="5" t="str">
        <f t="shared" si="826"/>
        <v/>
      </c>
      <c r="IY131" s="5" t="str">
        <f t="shared" si="827"/>
        <v/>
      </c>
      <c r="IZ131" s="5" t="str">
        <f t="shared" si="828"/>
        <v/>
      </c>
      <c r="JA131" s="705" t="str">
        <f t="shared" si="829"/>
        <v/>
      </c>
    </row>
    <row r="132" spans="1:261" ht="15" customHeight="1" x14ac:dyDescent="0.25">
      <c r="A132" s="75" t="str">
        <f t="shared" si="736"/>
        <v/>
      </c>
      <c r="B132" s="585" t="str">
        <f t="shared" si="737"/>
        <v/>
      </c>
      <c r="C132" s="582" t="str">
        <f t="shared" si="738"/>
        <v/>
      </c>
      <c r="D132" s="583" t="str">
        <f t="shared" si="739"/>
        <v/>
      </c>
      <c r="E132" s="588" t="str">
        <f t="shared" si="740"/>
        <v/>
      </c>
      <c r="F132" s="582" t="str">
        <f t="shared" si="741"/>
        <v/>
      </c>
      <c r="G132" s="586" t="str">
        <f t="shared" si="742"/>
        <v/>
      </c>
      <c r="H132" s="588" t="str">
        <f t="shared" si="743"/>
        <v/>
      </c>
      <c r="I132" s="582" t="str">
        <f t="shared" si="744"/>
        <v/>
      </c>
      <c r="J132" s="491" t="str">
        <f t="shared" si="745"/>
        <v/>
      </c>
      <c r="K132" s="807" t="str">
        <f t="shared" si="746"/>
        <v/>
      </c>
      <c r="L132" s="309"/>
      <c r="M132" s="492" t="str">
        <f t="shared" si="747"/>
        <v/>
      </c>
      <c r="N132" s="581" t="str">
        <f t="shared" si="748"/>
        <v/>
      </c>
      <c r="O132" s="582" t="str">
        <f t="shared" si="749"/>
        <v/>
      </c>
      <c r="P132" s="583" t="str">
        <f t="shared" si="75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51"/>
        <v/>
      </c>
      <c r="AA132" s="582" t="str">
        <f t="shared" si="752"/>
        <v/>
      </c>
      <c r="AB132" s="582" t="str">
        <f t="shared" si="75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54"/>
        <v/>
      </c>
      <c r="AS132" s="947" t="str">
        <f t="shared" si="852"/>
        <v/>
      </c>
      <c r="AT132" s="943" t="str">
        <f t="shared" si="755"/>
        <v/>
      </c>
      <c r="AU132" s="418"/>
      <c r="AV132" s="164" t="str">
        <f t="shared" si="75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58"/>
        <v/>
      </c>
      <c r="BF132" s="498" t="str">
        <f t="shared" si="759"/>
        <v/>
      </c>
      <c r="BG132" s="494" t="str">
        <f t="shared" si="760"/>
        <v/>
      </c>
      <c r="BH132" s="495" t="str">
        <f t="shared" si="761"/>
        <v/>
      </c>
      <c r="BI132" s="496" t="str">
        <f t="shared" si="881"/>
        <v/>
      </c>
      <c r="BJ132" s="494" t="str">
        <f t="shared" si="762"/>
        <v/>
      </c>
      <c r="BK132" s="499" t="str">
        <f t="shared" si="763"/>
        <v/>
      </c>
      <c r="BL132" s="502" t="str">
        <f t="shared" si="764"/>
        <v/>
      </c>
      <c r="BM132" s="494" t="str">
        <f t="shared" si="765"/>
        <v/>
      </c>
      <c r="BN132" s="497" t="str">
        <f t="shared" si="766"/>
        <v/>
      </c>
      <c r="BO132" s="498" t="str">
        <f t="shared" si="882"/>
        <v/>
      </c>
      <c r="BP132" s="494" t="str">
        <f t="shared" si="883"/>
        <v/>
      </c>
      <c r="BQ132" s="494" t="str">
        <f t="shared" si="884"/>
        <v/>
      </c>
      <c r="BR132" s="497" t="str">
        <f t="shared" si="885"/>
        <v/>
      </c>
      <c r="BS132" s="498" t="str">
        <f t="shared" si="849"/>
        <v/>
      </c>
      <c r="BT132" s="494" t="str">
        <f t="shared" si="84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0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7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3"/>
        <v/>
      </c>
      <c r="DC132" s="494" t="str">
        <f t="shared" si="853"/>
        <v/>
      </c>
      <c r="DD132" s="495" t="str">
        <f t="shared" si="659"/>
        <v/>
      </c>
      <c r="DE132" s="496" t="str">
        <f t="shared" si="854"/>
        <v/>
      </c>
      <c r="DF132" s="494" t="str">
        <f t="shared" si="854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8"/>
        <v/>
      </c>
      <c r="ET132" s="494" t="str">
        <f t="shared" si="769"/>
        <v/>
      </c>
      <c r="EU132" s="495" t="str">
        <f t="shared" si="770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4"/>
        <v/>
      </c>
      <c r="FB132" s="494" t="str">
        <f t="shared" si="775"/>
        <v/>
      </c>
      <c r="FC132" s="497" t="str">
        <f t="shared" si="776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8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1"/>
        <v/>
      </c>
      <c r="GV132" s="343" t="str">
        <f t="shared" si="991"/>
        <v/>
      </c>
      <c r="GW132" s="345" t="str">
        <f t="shared" si="792"/>
        <v/>
      </c>
      <c r="GX132" s="346" t="str">
        <f t="shared" si="793"/>
        <v/>
      </c>
      <c r="GY132" s="344" t="str">
        <f t="shared" si="992"/>
        <v/>
      </c>
      <c r="GZ132" s="345" t="str">
        <f t="shared" si="993"/>
        <v/>
      </c>
      <c r="HA132" s="342" t="str">
        <f t="shared" si="796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7"/>
        <v/>
      </c>
      <c r="HF132" s="5" t="str">
        <f t="shared" si="798"/>
        <v/>
      </c>
      <c r="HG132" s="343" t="str">
        <f t="shared" si="996"/>
        <v/>
      </c>
      <c r="HH132" s="349" t="str">
        <f t="shared" si="997"/>
        <v/>
      </c>
      <c r="HI132" s="317" t="str">
        <f t="shared" si="799"/>
        <v/>
      </c>
      <c r="HK132" s="310" t="str">
        <f t="shared" si="850"/>
        <v/>
      </c>
      <c r="HL132" s="348" t="str">
        <f t="shared" si="800"/>
        <v/>
      </c>
      <c r="HM132" s="923" t="str">
        <f t="shared" si="801"/>
        <v/>
      </c>
      <c r="HN132" s="924" t="str">
        <f t="shared" si="802"/>
        <v/>
      </c>
      <c r="HO132" s="925"/>
      <c r="HP132" s="926"/>
      <c r="HQ132" s="924" t="str">
        <f t="shared" si="803"/>
        <v/>
      </c>
      <c r="HR132" s="927" t="str">
        <f t="shared" si="804"/>
        <v/>
      </c>
      <c r="HS132" s="879" t="str">
        <f t="shared" si="998"/>
        <v/>
      </c>
      <c r="HT132" s="889" t="str">
        <f t="shared" si="805"/>
        <v/>
      </c>
      <c r="HU132" s="890" t="str">
        <f t="shared" si="806"/>
        <v/>
      </c>
      <c r="HV132" s="886" t="str">
        <f t="shared" si="807"/>
        <v/>
      </c>
      <c r="HW132" s="880" t="str">
        <f t="shared" si="808"/>
        <v/>
      </c>
      <c r="HX132" s="881" t="str">
        <f t="shared" si="809"/>
        <v/>
      </c>
      <c r="HY132" s="880" t="str">
        <f t="shared" si="810"/>
        <v/>
      </c>
      <c r="HZ132" s="882" t="str">
        <f t="shared" si="811"/>
        <v/>
      </c>
      <c r="IA132" s="883" t="str">
        <f t="shared" si="812"/>
        <v/>
      </c>
      <c r="IB132" s="884" t="str">
        <f t="shared" si="813"/>
        <v/>
      </c>
      <c r="IC132" s="855" t="str">
        <f t="shared" si="814"/>
        <v/>
      </c>
      <c r="ID132" s="351" t="str">
        <f t="shared" si="815"/>
        <v/>
      </c>
      <c r="IE132" s="857" t="str">
        <f t="shared" si="816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2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17"/>
        <v/>
      </c>
      <c r="IM132" s="482" t="str">
        <f t="shared" si="733"/>
        <v/>
      </c>
      <c r="IN132" s="670" t="str">
        <f t="shared" si="818"/>
        <v/>
      </c>
      <c r="IO132" s="702"/>
      <c r="IP132" s="5" t="str">
        <f t="shared" si="819"/>
        <v/>
      </c>
      <c r="IQ132" s="714"/>
      <c r="IR132" s="9" t="str">
        <f t="shared" si="820"/>
        <v/>
      </c>
      <c r="IS132" s="5" t="str">
        <f t="shared" si="821"/>
        <v/>
      </c>
      <c r="IT132" s="5" t="str">
        <f t="shared" si="822"/>
        <v/>
      </c>
      <c r="IU132" s="5" t="str">
        <f t="shared" si="823"/>
        <v/>
      </c>
      <c r="IV132" s="670" t="str">
        <f t="shared" si="824"/>
        <v/>
      </c>
      <c r="IW132" s="9" t="str">
        <f t="shared" si="825"/>
        <v/>
      </c>
      <c r="IX132" s="5" t="str">
        <f t="shared" si="826"/>
        <v/>
      </c>
      <c r="IY132" s="5" t="str">
        <f t="shared" si="827"/>
        <v/>
      </c>
      <c r="IZ132" s="5" t="str">
        <f t="shared" si="828"/>
        <v/>
      </c>
      <c r="JA132" s="705" t="str">
        <f t="shared" si="829"/>
        <v/>
      </c>
    </row>
    <row r="133" spans="1:261" ht="15" customHeight="1" x14ac:dyDescent="0.25">
      <c r="A133" s="75" t="str">
        <f t="shared" si="736"/>
        <v/>
      </c>
      <c r="B133" s="585" t="str">
        <f t="shared" si="737"/>
        <v/>
      </c>
      <c r="C133" s="582" t="str">
        <f t="shared" si="738"/>
        <v/>
      </c>
      <c r="D133" s="583" t="str">
        <f t="shared" si="739"/>
        <v/>
      </c>
      <c r="E133" s="588" t="str">
        <f t="shared" si="740"/>
        <v/>
      </c>
      <c r="F133" s="582" t="str">
        <f t="shared" si="741"/>
        <v/>
      </c>
      <c r="G133" s="586" t="str">
        <f t="shared" si="742"/>
        <v/>
      </c>
      <c r="H133" s="588" t="str">
        <f t="shared" si="743"/>
        <v/>
      </c>
      <c r="I133" s="582" t="str">
        <f t="shared" si="744"/>
        <v/>
      </c>
      <c r="J133" s="491" t="str">
        <f t="shared" si="745"/>
        <v/>
      </c>
      <c r="K133" s="807" t="str">
        <f t="shared" si="746"/>
        <v/>
      </c>
      <c r="L133" s="309"/>
      <c r="M133" s="492" t="str">
        <f t="shared" si="747"/>
        <v/>
      </c>
      <c r="N133" s="581" t="str">
        <f t="shared" si="748"/>
        <v/>
      </c>
      <c r="O133" s="582" t="str">
        <f t="shared" si="749"/>
        <v/>
      </c>
      <c r="P133" s="583" t="str">
        <f t="shared" si="75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51"/>
        <v/>
      </c>
      <c r="AA133" s="582" t="str">
        <f t="shared" si="752"/>
        <v/>
      </c>
      <c r="AB133" s="582" t="str">
        <f t="shared" si="75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54"/>
        <v/>
      </c>
      <c r="AS133" s="947" t="str">
        <f t="shared" si="852"/>
        <v/>
      </c>
      <c r="AT133" s="943" t="str">
        <f t="shared" si="755"/>
        <v/>
      </c>
      <c r="AU133" s="418"/>
      <c r="AV133" s="164" t="str">
        <f t="shared" si="75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58"/>
        <v/>
      </c>
      <c r="BF133" s="498" t="str">
        <f t="shared" si="759"/>
        <v/>
      </c>
      <c r="BG133" s="494" t="str">
        <f t="shared" si="760"/>
        <v/>
      </c>
      <c r="BH133" s="495" t="str">
        <f t="shared" si="761"/>
        <v/>
      </c>
      <c r="BI133" s="496" t="str">
        <f t="shared" si="881"/>
        <v/>
      </c>
      <c r="BJ133" s="494" t="str">
        <f t="shared" si="762"/>
        <v/>
      </c>
      <c r="BK133" s="499" t="str">
        <f t="shared" si="763"/>
        <v/>
      </c>
      <c r="BL133" s="502" t="str">
        <f t="shared" si="764"/>
        <v/>
      </c>
      <c r="BM133" s="494" t="str">
        <f t="shared" si="765"/>
        <v/>
      </c>
      <c r="BN133" s="497" t="str">
        <f t="shared" si="766"/>
        <v/>
      </c>
      <c r="BO133" s="498" t="str">
        <f t="shared" si="882"/>
        <v/>
      </c>
      <c r="BP133" s="494" t="str">
        <f t="shared" si="883"/>
        <v/>
      </c>
      <c r="BQ133" s="494" t="str">
        <f t="shared" si="884"/>
        <v/>
      </c>
      <c r="BR133" s="497" t="str">
        <f t="shared" si="885"/>
        <v/>
      </c>
      <c r="BS133" s="498" t="str">
        <f t="shared" si="849"/>
        <v/>
      </c>
      <c r="BT133" s="494" t="str">
        <f t="shared" si="84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0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7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3"/>
        <v/>
      </c>
      <c r="DC133" s="494" t="str">
        <f t="shared" si="853"/>
        <v/>
      </c>
      <c r="DD133" s="495" t="str">
        <f t="shared" si="659"/>
        <v/>
      </c>
      <c r="DE133" s="496" t="str">
        <f t="shared" si="854"/>
        <v/>
      </c>
      <c r="DF133" s="494" t="str">
        <f t="shared" si="854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8"/>
        <v/>
      </c>
      <c r="ET133" s="494" t="str">
        <f t="shared" si="769"/>
        <v/>
      </c>
      <c r="EU133" s="495" t="str">
        <f t="shared" si="770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4"/>
        <v/>
      </c>
      <c r="FB133" s="494" t="str">
        <f t="shared" si="775"/>
        <v/>
      </c>
      <c r="FC133" s="497" t="str">
        <f t="shared" si="776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8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1"/>
        <v/>
      </c>
      <c r="GV133" s="343" t="str">
        <f t="shared" si="991"/>
        <v/>
      </c>
      <c r="GW133" s="345" t="str">
        <f t="shared" si="792"/>
        <v/>
      </c>
      <c r="GX133" s="346" t="str">
        <f t="shared" si="793"/>
        <v/>
      </c>
      <c r="GY133" s="344" t="str">
        <f t="shared" si="992"/>
        <v/>
      </c>
      <c r="GZ133" s="345" t="str">
        <f t="shared" si="993"/>
        <v/>
      </c>
      <c r="HA133" s="342" t="str">
        <f t="shared" si="796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7"/>
        <v/>
      </c>
      <c r="HF133" s="5" t="str">
        <f t="shared" si="798"/>
        <v/>
      </c>
      <c r="HG133" s="343" t="str">
        <f t="shared" si="996"/>
        <v/>
      </c>
      <c r="HH133" s="349" t="str">
        <f t="shared" si="997"/>
        <v/>
      </c>
      <c r="HI133" s="317" t="str">
        <f t="shared" si="799"/>
        <v/>
      </c>
      <c r="HK133" s="310" t="str">
        <f t="shared" si="850"/>
        <v/>
      </c>
      <c r="HL133" s="348" t="str">
        <f t="shared" si="800"/>
        <v/>
      </c>
      <c r="HM133" s="923" t="str">
        <f t="shared" si="801"/>
        <v/>
      </c>
      <c r="HN133" s="924" t="str">
        <f t="shared" si="802"/>
        <v/>
      </c>
      <c r="HO133" s="925"/>
      <c r="HP133" s="926"/>
      <c r="HQ133" s="924" t="str">
        <f t="shared" si="803"/>
        <v/>
      </c>
      <c r="HR133" s="927" t="str">
        <f t="shared" si="804"/>
        <v/>
      </c>
      <c r="HS133" s="879" t="str">
        <f t="shared" si="998"/>
        <v/>
      </c>
      <c r="HT133" s="889" t="str">
        <f t="shared" si="805"/>
        <v/>
      </c>
      <c r="HU133" s="890" t="str">
        <f t="shared" si="806"/>
        <v/>
      </c>
      <c r="HV133" s="886" t="str">
        <f t="shared" si="807"/>
        <v/>
      </c>
      <c r="HW133" s="880" t="str">
        <f t="shared" si="808"/>
        <v/>
      </c>
      <c r="HX133" s="881" t="str">
        <f t="shared" si="809"/>
        <v/>
      </c>
      <c r="HY133" s="880" t="str">
        <f t="shared" si="810"/>
        <v/>
      </c>
      <c r="HZ133" s="882" t="str">
        <f t="shared" si="811"/>
        <v/>
      </c>
      <c r="IA133" s="883" t="str">
        <f t="shared" si="812"/>
        <v/>
      </c>
      <c r="IB133" s="884" t="str">
        <f t="shared" si="813"/>
        <v/>
      </c>
      <c r="IC133" s="855" t="str">
        <f t="shared" si="814"/>
        <v/>
      </c>
      <c r="ID133" s="351" t="str">
        <f t="shared" si="815"/>
        <v/>
      </c>
      <c r="IE133" s="857" t="str">
        <f t="shared" si="816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2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17"/>
        <v/>
      </c>
      <c r="IM133" s="482" t="str">
        <f t="shared" si="733"/>
        <v/>
      </c>
      <c r="IN133" s="670" t="str">
        <f t="shared" si="818"/>
        <v/>
      </c>
      <c r="IO133" s="702"/>
      <c r="IP133" s="5" t="str">
        <f t="shared" si="819"/>
        <v/>
      </c>
      <c r="IQ133" s="714"/>
      <c r="IR133" s="9" t="str">
        <f t="shared" si="820"/>
        <v/>
      </c>
      <c r="IS133" s="5" t="str">
        <f t="shared" si="821"/>
        <v/>
      </c>
      <c r="IT133" s="5" t="str">
        <f t="shared" si="822"/>
        <v/>
      </c>
      <c r="IU133" s="5" t="str">
        <f t="shared" si="823"/>
        <v/>
      </c>
      <c r="IV133" s="670" t="str">
        <f t="shared" si="824"/>
        <v/>
      </c>
      <c r="IW133" s="9" t="str">
        <f t="shared" si="825"/>
        <v/>
      </c>
      <c r="IX133" s="5" t="str">
        <f t="shared" si="826"/>
        <v/>
      </c>
      <c r="IY133" s="5" t="str">
        <f t="shared" si="827"/>
        <v/>
      </c>
      <c r="IZ133" s="5" t="str">
        <f t="shared" si="828"/>
        <v/>
      </c>
      <c r="JA133" s="705" t="str">
        <f t="shared" si="829"/>
        <v/>
      </c>
    </row>
    <row r="134" spans="1:261" ht="15" customHeight="1" x14ac:dyDescent="0.25">
      <c r="A134" s="75" t="str">
        <f t="shared" si="736"/>
        <v/>
      </c>
      <c r="B134" s="585" t="str">
        <f t="shared" si="737"/>
        <v/>
      </c>
      <c r="C134" s="582" t="str">
        <f t="shared" si="738"/>
        <v/>
      </c>
      <c r="D134" s="583" t="str">
        <f t="shared" si="739"/>
        <v/>
      </c>
      <c r="E134" s="588" t="str">
        <f t="shared" si="740"/>
        <v/>
      </c>
      <c r="F134" s="582" t="str">
        <f t="shared" si="741"/>
        <v/>
      </c>
      <c r="G134" s="586" t="str">
        <f t="shared" si="742"/>
        <v/>
      </c>
      <c r="H134" s="588" t="str">
        <f t="shared" si="743"/>
        <v/>
      </c>
      <c r="I134" s="582" t="str">
        <f t="shared" si="744"/>
        <v/>
      </c>
      <c r="J134" s="491" t="str">
        <f t="shared" si="745"/>
        <v/>
      </c>
      <c r="K134" s="807" t="str">
        <f t="shared" si="746"/>
        <v/>
      </c>
      <c r="L134" s="309"/>
      <c r="M134" s="492" t="str">
        <f t="shared" si="747"/>
        <v/>
      </c>
      <c r="N134" s="581" t="str">
        <f t="shared" si="748"/>
        <v/>
      </c>
      <c r="O134" s="582" t="str">
        <f t="shared" si="749"/>
        <v/>
      </c>
      <c r="P134" s="583" t="str">
        <f t="shared" si="75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51"/>
        <v/>
      </c>
      <c r="AA134" s="582" t="str">
        <f t="shared" si="752"/>
        <v/>
      </c>
      <c r="AB134" s="582" t="str">
        <f t="shared" si="75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54"/>
        <v/>
      </c>
      <c r="AS134" s="947" t="str">
        <f t="shared" si="852"/>
        <v/>
      </c>
      <c r="AT134" s="943" t="str">
        <f t="shared" si="755"/>
        <v/>
      </c>
      <c r="AU134" s="418"/>
      <c r="AV134" s="164" t="str">
        <f t="shared" si="75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58"/>
        <v/>
      </c>
      <c r="BF134" s="498" t="str">
        <f t="shared" si="759"/>
        <v/>
      </c>
      <c r="BG134" s="494" t="str">
        <f t="shared" si="760"/>
        <v/>
      </c>
      <c r="BH134" s="495" t="str">
        <f t="shared" si="761"/>
        <v/>
      </c>
      <c r="BI134" s="496" t="str">
        <f t="shared" si="881"/>
        <v/>
      </c>
      <c r="BJ134" s="494" t="str">
        <f t="shared" si="762"/>
        <v/>
      </c>
      <c r="BK134" s="499" t="str">
        <f t="shared" si="763"/>
        <v/>
      </c>
      <c r="BL134" s="502" t="str">
        <f t="shared" si="764"/>
        <v/>
      </c>
      <c r="BM134" s="494" t="str">
        <f t="shared" si="765"/>
        <v/>
      </c>
      <c r="BN134" s="497" t="str">
        <f t="shared" si="766"/>
        <v/>
      </c>
      <c r="BO134" s="498" t="str">
        <f t="shared" si="882"/>
        <v/>
      </c>
      <c r="BP134" s="494" t="str">
        <f t="shared" si="883"/>
        <v/>
      </c>
      <c r="BQ134" s="494" t="str">
        <f t="shared" si="884"/>
        <v/>
      </c>
      <c r="BR134" s="497" t="str">
        <f t="shared" si="885"/>
        <v/>
      </c>
      <c r="BS134" s="498" t="str">
        <f t="shared" si="849"/>
        <v/>
      </c>
      <c r="BT134" s="494" t="str">
        <f t="shared" si="84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0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7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3"/>
        <v/>
      </c>
      <c r="DC134" s="494" t="str">
        <f t="shared" si="853"/>
        <v/>
      </c>
      <c r="DD134" s="495" t="str">
        <f t="shared" si="659"/>
        <v/>
      </c>
      <c r="DE134" s="496" t="str">
        <f t="shared" si="854"/>
        <v/>
      </c>
      <c r="DF134" s="494" t="str">
        <f t="shared" si="854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8"/>
        <v/>
      </c>
      <c r="ET134" s="494" t="str">
        <f t="shared" si="769"/>
        <v/>
      </c>
      <c r="EU134" s="495" t="str">
        <f t="shared" si="770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4"/>
        <v/>
      </c>
      <c r="FB134" s="494" t="str">
        <f t="shared" si="775"/>
        <v/>
      </c>
      <c r="FC134" s="497" t="str">
        <f t="shared" si="776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8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1"/>
        <v/>
      </c>
      <c r="GV134" s="343" t="str">
        <f t="shared" si="991"/>
        <v/>
      </c>
      <c r="GW134" s="345" t="str">
        <f t="shared" si="792"/>
        <v/>
      </c>
      <c r="GX134" s="346" t="str">
        <f t="shared" si="793"/>
        <v/>
      </c>
      <c r="GY134" s="344" t="str">
        <f t="shared" si="992"/>
        <v/>
      </c>
      <c r="GZ134" s="345" t="str">
        <f t="shared" si="993"/>
        <v/>
      </c>
      <c r="HA134" s="342" t="str">
        <f t="shared" si="796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7"/>
        <v/>
      </c>
      <c r="HF134" s="5" t="str">
        <f t="shared" si="798"/>
        <v/>
      </c>
      <c r="HG134" s="343" t="str">
        <f t="shared" si="996"/>
        <v/>
      </c>
      <c r="HH134" s="349" t="str">
        <f t="shared" si="997"/>
        <v/>
      </c>
      <c r="HI134" s="317" t="str">
        <f t="shared" si="799"/>
        <v/>
      </c>
      <c r="HK134" s="310" t="str">
        <f t="shared" si="850"/>
        <v/>
      </c>
      <c r="HL134" s="348" t="str">
        <f t="shared" si="800"/>
        <v/>
      </c>
      <c r="HM134" s="923" t="str">
        <f t="shared" si="801"/>
        <v/>
      </c>
      <c r="HN134" s="924" t="str">
        <f t="shared" si="802"/>
        <v/>
      </c>
      <c r="HO134" s="925"/>
      <c r="HP134" s="926"/>
      <c r="HQ134" s="924" t="str">
        <f t="shared" si="803"/>
        <v/>
      </c>
      <c r="HR134" s="927" t="str">
        <f t="shared" si="804"/>
        <v/>
      </c>
      <c r="HS134" s="879" t="str">
        <f t="shared" si="998"/>
        <v/>
      </c>
      <c r="HT134" s="889" t="str">
        <f t="shared" si="805"/>
        <v/>
      </c>
      <c r="HU134" s="890" t="str">
        <f t="shared" si="806"/>
        <v/>
      </c>
      <c r="HV134" s="886" t="str">
        <f t="shared" si="807"/>
        <v/>
      </c>
      <c r="HW134" s="880" t="str">
        <f t="shared" si="808"/>
        <v/>
      </c>
      <c r="HX134" s="881" t="str">
        <f t="shared" si="809"/>
        <v/>
      </c>
      <c r="HY134" s="880" t="str">
        <f t="shared" si="810"/>
        <v/>
      </c>
      <c r="HZ134" s="882" t="str">
        <f t="shared" si="811"/>
        <v/>
      </c>
      <c r="IA134" s="883" t="str">
        <f t="shared" si="812"/>
        <v/>
      </c>
      <c r="IB134" s="884" t="str">
        <f t="shared" si="813"/>
        <v/>
      </c>
      <c r="IC134" s="855" t="str">
        <f t="shared" si="814"/>
        <v/>
      </c>
      <c r="ID134" s="351" t="str">
        <f t="shared" si="815"/>
        <v/>
      </c>
      <c r="IE134" s="857" t="str">
        <f t="shared" si="816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2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17"/>
        <v/>
      </c>
      <c r="IM134" s="482" t="str">
        <f t="shared" si="733"/>
        <v/>
      </c>
      <c r="IN134" s="670" t="str">
        <f t="shared" si="818"/>
        <v/>
      </c>
      <c r="IO134" s="702"/>
      <c r="IP134" s="5" t="str">
        <f t="shared" si="819"/>
        <v/>
      </c>
      <c r="IQ134" s="714"/>
      <c r="IR134" s="9" t="str">
        <f t="shared" si="820"/>
        <v/>
      </c>
      <c r="IS134" s="5" t="str">
        <f t="shared" si="821"/>
        <v/>
      </c>
      <c r="IT134" s="5" t="str">
        <f t="shared" si="822"/>
        <v/>
      </c>
      <c r="IU134" s="5" t="str">
        <f t="shared" si="823"/>
        <v/>
      </c>
      <c r="IV134" s="670" t="str">
        <f t="shared" si="824"/>
        <v/>
      </c>
      <c r="IW134" s="9" t="str">
        <f t="shared" si="825"/>
        <v/>
      </c>
      <c r="IX134" s="5" t="str">
        <f t="shared" si="826"/>
        <v/>
      </c>
      <c r="IY134" s="5" t="str">
        <f t="shared" si="827"/>
        <v/>
      </c>
      <c r="IZ134" s="5" t="str">
        <f t="shared" si="828"/>
        <v/>
      </c>
      <c r="JA134" s="705" t="str">
        <f t="shared" si="829"/>
        <v/>
      </c>
    </row>
    <row r="135" spans="1:261" ht="15" customHeight="1" x14ac:dyDescent="0.25">
      <c r="A135" s="75" t="str">
        <f t="shared" si="736"/>
        <v/>
      </c>
      <c r="B135" s="585" t="str">
        <f t="shared" si="737"/>
        <v/>
      </c>
      <c r="C135" s="582" t="str">
        <f t="shared" si="738"/>
        <v/>
      </c>
      <c r="D135" s="583" t="str">
        <f t="shared" si="739"/>
        <v/>
      </c>
      <c r="E135" s="588" t="str">
        <f t="shared" si="740"/>
        <v/>
      </c>
      <c r="F135" s="582" t="str">
        <f t="shared" si="741"/>
        <v/>
      </c>
      <c r="G135" s="586" t="str">
        <f t="shared" si="742"/>
        <v/>
      </c>
      <c r="H135" s="588" t="str">
        <f t="shared" si="743"/>
        <v/>
      </c>
      <c r="I135" s="582" t="str">
        <f t="shared" si="744"/>
        <v/>
      </c>
      <c r="J135" s="491" t="str">
        <f t="shared" si="745"/>
        <v/>
      </c>
      <c r="K135" s="807" t="str">
        <f t="shared" si="746"/>
        <v/>
      </c>
      <c r="L135" s="309"/>
      <c r="M135" s="492" t="str">
        <f t="shared" si="747"/>
        <v/>
      </c>
      <c r="N135" s="581" t="str">
        <f t="shared" si="748"/>
        <v/>
      </c>
      <c r="O135" s="582" t="str">
        <f t="shared" si="749"/>
        <v/>
      </c>
      <c r="P135" s="583" t="str">
        <f t="shared" si="75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51"/>
        <v/>
      </c>
      <c r="AA135" s="582" t="str">
        <f t="shared" si="752"/>
        <v/>
      </c>
      <c r="AB135" s="582" t="str">
        <f t="shared" si="75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54"/>
        <v/>
      </c>
      <c r="AS135" s="947" t="str">
        <f t="shared" si="852"/>
        <v/>
      </c>
      <c r="AT135" s="943" t="str">
        <f t="shared" si="755"/>
        <v/>
      </c>
      <c r="AU135" s="418"/>
      <c r="AV135" s="164" t="str">
        <f t="shared" si="75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58"/>
        <v/>
      </c>
      <c r="BF135" s="498" t="str">
        <f t="shared" si="759"/>
        <v/>
      </c>
      <c r="BG135" s="494" t="str">
        <f t="shared" si="760"/>
        <v/>
      </c>
      <c r="BH135" s="495" t="str">
        <f t="shared" si="761"/>
        <v/>
      </c>
      <c r="BI135" s="496" t="str">
        <f t="shared" si="881"/>
        <v/>
      </c>
      <c r="BJ135" s="494" t="str">
        <f t="shared" si="762"/>
        <v/>
      </c>
      <c r="BK135" s="499" t="str">
        <f t="shared" si="763"/>
        <v/>
      </c>
      <c r="BL135" s="502" t="str">
        <f t="shared" si="764"/>
        <v/>
      </c>
      <c r="BM135" s="494" t="str">
        <f t="shared" si="765"/>
        <v/>
      </c>
      <c r="BN135" s="497" t="str">
        <f t="shared" si="766"/>
        <v/>
      </c>
      <c r="BO135" s="498" t="str">
        <f t="shared" si="882"/>
        <v/>
      </c>
      <c r="BP135" s="494" t="str">
        <f t="shared" si="883"/>
        <v/>
      </c>
      <c r="BQ135" s="494" t="str">
        <f t="shared" si="884"/>
        <v/>
      </c>
      <c r="BR135" s="497" t="str">
        <f t="shared" si="885"/>
        <v/>
      </c>
      <c r="BS135" s="498" t="str">
        <f t="shared" si="849"/>
        <v/>
      </c>
      <c r="BT135" s="494" t="str">
        <f t="shared" si="84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0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7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3"/>
        <v/>
      </c>
      <c r="DC135" s="494" t="str">
        <f t="shared" si="853"/>
        <v/>
      </c>
      <c r="DD135" s="495" t="str">
        <f t="shared" si="659"/>
        <v/>
      </c>
      <c r="DE135" s="496" t="str">
        <f t="shared" si="854"/>
        <v/>
      </c>
      <c r="DF135" s="494" t="str">
        <f t="shared" si="854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8"/>
        <v/>
      </c>
      <c r="ET135" s="494" t="str">
        <f t="shared" si="769"/>
        <v/>
      </c>
      <c r="EU135" s="495" t="str">
        <f t="shared" si="770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4"/>
        <v/>
      </c>
      <c r="FB135" s="494" t="str">
        <f t="shared" si="775"/>
        <v/>
      </c>
      <c r="FC135" s="497" t="str">
        <f t="shared" si="776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8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1"/>
        <v/>
      </c>
      <c r="GV135" s="343" t="str">
        <f t="shared" si="991"/>
        <v/>
      </c>
      <c r="GW135" s="345" t="str">
        <f t="shared" si="792"/>
        <v/>
      </c>
      <c r="GX135" s="346" t="str">
        <f t="shared" si="793"/>
        <v/>
      </c>
      <c r="GY135" s="344" t="str">
        <f t="shared" si="992"/>
        <v/>
      </c>
      <c r="GZ135" s="345" t="str">
        <f t="shared" si="993"/>
        <v/>
      </c>
      <c r="HA135" s="342" t="str">
        <f t="shared" si="796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7"/>
        <v/>
      </c>
      <c r="HF135" s="5" t="str">
        <f t="shared" si="798"/>
        <v/>
      </c>
      <c r="HG135" s="343" t="str">
        <f t="shared" si="996"/>
        <v/>
      </c>
      <c r="HH135" s="349" t="str">
        <f t="shared" si="997"/>
        <v/>
      </c>
      <c r="HI135" s="317" t="str">
        <f t="shared" si="799"/>
        <v/>
      </c>
      <c r="HK135" s="310" t="str">
        <f t="shared" si="850"/>
        <v/>
      </c>
      <c r="HL135" s="348" t="str">
        <f t="shared" si="800"/>
        <v/>
      </c>
      <c r="HM135" s="923" t="str">
        <f t="shared" si="801"/>
        <v/>
      </c>
      <c r="HN135" s="924" t="str">
        <f t="shared" si="802"/>
        <v/>
      </c>
      <c r="HO135" s="925"/>
      <c r="HP135" s="926"/>
      <c r="HQ135" s="924" t="str">
        <f t="shared" si="803"/>
        <v/>
      </c>
      <c r="HR135" s="927" t="str">
        <f t="shared" si="804"/>
        <v/>
      </c>
      <c r="HS135" s="879" t="str">
        <f t="shared" si="998"/>
        <v/>
      </c>
      <c r="HT135" s="889" t="str">
        <f t="shared" si="805"/>
        <v/>
      </c>
      <c r="HU135" s="890" t="str">
        <f t="shared" si="806"/>
        <v/>
      </c>
      <c r="HV135" s="886" t="str">
        <f t="shared" si="807"/>
        <v/>
      </c>
      <c r="HW135" s="880" t="str">
        <f t="shared" si="808"/>
        <v/>
      </c>
      <c r="HX135" s="881" t="str">
        <f t="shared" si="809"/>
        <v/>
      </c>
      <c r="HY135" s="880" t="str">
        <f t="shared" si="810"/>
        <v/>
      </c>
      <c r="HZ135" s="882" t="str">
        <f t="shared" si="811"/>
        <v/>
      </c>
      <c r="IA135" s="883" t="str">
        <f t="shared" si="812"/>
        <v/>
      </c>
      <c r="IB135" s="884" t="str">
        <f t="shared" si="813"/>
        <v/>
      </c>
      <c r="IC135" s="855" t="str">
        <f t="shared" si="814"/>
        <v/>
      </c>
      <c r="ID135" s="351" t="str">
        <f t="shared" si="815"/>
        <v/>
      </c>
      <c r="IE135" s="857" t="str">
        <f t="shared" si="816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2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17"/>
        <v/>
      </c>
      <c r="IM135" s="482" t="str">
        <f t="shared" si="733"/>
        <v/>
      </c>
      <c r="IN135" s="670" t="str">
        <f t="shared" si="818"/>
        <v/>
      </c>
      <c r="IO135" s="702"/>
      <c r="IP135" s="5" t="str">
        <f t="shared" si="819"/>
        <v/>
      </c>
      <c r="IQ135" s="714"/>
      <c r="IR135" s="9" t="str">
        <f t="shared" si="820"/>
        <v/>
      </c>
      <c r="IS135" s="5" t="str">
        <f t="shared" si="821"/>
        <v/>
      </c>
      <c r="IT135" s="5" t="str">
        <f t="shared" si="822"/>
        <v/>
      </c>
      <c r="IU135" s="5" t="str">
        <f t="shared" si="823"/>
        <v/>
      </c>
      <c r="IV135" s="670" t="str">
        <f t="shared" si="824"/>
        <v/>
      </c>
      <c r="IW135" s="9" t="str">
        <f t="shared" si="825"/>
        <v/>
      </c>
      <c r="IX135" s="5" t="str">
        <f t="shared" si="826"/>
        <v/>
      </c>
      <c r="IY135" s="5" t="str">
        <f t="shared" si="827"/>
        <v/>
      </c>
      <c r="IZ135" s="5" t="str">
        <f t="shared" si="828"/>
        <v/>
      </c>
      <c r="JA135" s="705" t="str">
        <f t="shared" si="829"/>
        <v/>
      </c>
    </row>
    <row r="136" spans="1:261" ht="15" customHeight="1" x14ac:dyDescent="0.25">
      <c r="A136" s="75" t="str">
        <f t="shared" si="736"/>
        <v/>
      </c>
      <c r="B136" s="585" t="str">
        <f t="shared" si="737"/>
        <v/>
      </c>
      <c r="C136" s="582" t="str">
        <f t="shared" si="738"/>
        <v/>
      </c>
      <c r="D136" s="583" t="str">
        <f t="shared" si="739"/>
        <v/>
      </c>
      <c r="E136" s="588" t="str">
        <f t="shared" si="740"/>
        <v/>
      </c>
      <c r="F136" s="582" t="str">
        <f t="shared" si="741"/>
        <v/>
      </c>
      <c r="G136" s="586" t="str">
        <f t="shared" si="742"/>
        <v/>
      </c>
      <c r="H136" s="588" t="str">
        <f t="shared" si="743"/>
        <v/>
      </c>
      <c r="I136" s="582" t="str">
        <f t="shared" si="744"/>
        <v/>
      </c>
      <c r="J136" s="491" t="str">
        <f t="shared" si="745"/>
        <v/>
      </c>
      <c r="K136" s="807" t="str">
        <f t="shared" si="746"/>
        <v/>
      </c>
      <c r="L136" s="309"/>
      <c r="M136" s="492" t="str">
        <f t="shared" si="747"/>
        <v/>
      </c>
      <c r="N136" s="581" t="str">
        <f t="shared" si="748"/>
        <v/>
      </c>
      <c r="O136" s="582" t="str">
        <f t="shared" si="749"/>
        <v/>
      </c>
      <c r="P136" s="583" t="str">
        <f t="shared" si="75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51"/>
        <v/>
      </c>
      <c r="AA136" s="582" t="str">
        <f t="shared" si="752"/>
        <v/>
      </c>
      <c r="AB136" s="582" t="str">
        <f t="shared" si="75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54"/>
        <v/>
      </c>
      <c r="AS136" s="947" t="str">
        <f t="shared" si="852"/>
        <v/>
      </c>
      <c r="AT136" s="943" t="str">
        <f t="shared" si="755"/>
        <v/>
      </c>
      <c r="AU136" s="418"/>
      <c r="AV136" s="164" t="str">
        <f t="shared" si="75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58"/>
        <v/>
      </c>
      <c r="BF136" s="498" t="str">
        <f t="shared" si="759"/>
        <v/>
      </c>
      <c r="BG136" s="494" t="str">
        <f t="shared" si="760"/>
        <v/>
      </c>
      <c r="BH136" s="495" t="str">
        <f t="shared" si="761"/>
        <v/>
      </c>
      <c r="BI136" s="496" t="str">
        <f t="shared" si="881"/>
        <v/>
      </c>
      <c r="BJ136" s="494" t="str">
        <f t="shared" si="762"/>
        <v/>
      </c>
      <c r="BK136" s="499" t="str">
        <f t="shared" si="763"/>
        <v/>
      </c>
      <c r="BL136" s="502" t="str">
        <f t="shared" si="764"/>
        <v/>
      </c>
      <c r="BM136" s="494" t="str">
        <f t="shared" si="765"/>
        <v/>
      </c>
      <c r="BN136" s="497" t="str">
        <f t="shared" si="766"/>
        <v/>
      </c>
      <c r="BO136" s="498" t="str">
        <f t="shared" si="882"/>
        <v/>
      </c>
      <c r="BP136" s="494" t="str">
        <f t="shared" si="883"/>
        <v/>
      </c>
      <c r="BQ136" s="494" t="str">
        <f t="shared" si="884"/>
        <v/>
      </c>
      <c r="BR136" s="497" t="str">
        <f t="shared" si="885"/>
        <v/>
      </c>
      <c r="BS136" s="498" t="str">
        <f t="shared" si="849"/>
        <v/>
      </c>
      <c r="BT136" s="494" t="str">
        <f t="shared" si="84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0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7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3"/>
        <v/>
      </c>
      <c r="DC136" s="494" t="str">
        <f t="shared" si="853"/>
        <v/>
      </c>
      <c r="DD136" s="495" t="str">
        <f t="shared" si="659"/>
        <v/>
      </c>
      <c r="DE136" s="496" t="str">
        <f t="shared" si="854"/>
        <v/>
      </c>
      <c r="DF136" s="494" t="str">
        <f t="shared" si="854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8"/>
        <v/>
      </c>
      <c r="ET136" s="494" t="str">
        <f t="shared" si="769"/>
        <v/>
      </c>
      <c r="EU136" s="495" t="str">
        <f t="shared" si="770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4"/>
        <v/>
      </c>
      <c r="FB136" s="494" t="str">
        <f t="shared" si="775"/>
        <v/>
      </c>
      <c r="FC136" s="497" t="str">
        <f t="shared" si="776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8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1"/>
        <v/>
      </c>
      <c r="GV136" s="343" t="str">
        <f t="shared" si="991"/>
        <v/>
      </c>
      <c r="GW136" s="345" t="str">
        <f t="shared" si="792"/>
        <v/>
      </c>
      <c r="GX136" s="346" t="str">
        <f t="shared" si="793"/>
        <v/>
      </c>
      <c r="GY136" s="344" t="str">
        <f t="shared" si="992"/>
        <v/>
      </c>
      <c r="GZ136" s="345" t="str">
        <f t="shared" si="993"/>
        <v/>
      </c>
      <c r="HA136" s="342" t="str">
        <f t="shared" si="796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7"/>
        <v/>
      </c>
      <c r="HF136" s="5" t="str">
        <f t="shared" si="798"/>
        <v/>
      </c>
      <c r="HG136" s="343" t="str">
        <f t="shared" si="996"/>
        <v/>
      </c>
      <c r="HH136" s="349" t="str">
        <f t="shared" si="997"/>
        <v/>
      </c>
      <c r="HI136" s="317" t="str">
        <f t="shared" si="799"/>
        <v/>
      </c>
      <c r="HK136" s="310" t="str">
        <f t="shared" si="850"/>
        <v/>
      </c>
      <c r="HL136" s="348" t="str">
        <f t="shared" si="800"/>
        <v/>
      </c>
      <c r="HM136" s="923" t="str">
        <f t="shared" si="801"/>
        <v/>
      </c>
      <c r="HN136" s="924" t="str">
        <f t="shared" si="802"/>
        <v/>
      </c>
      <c r="HO136" s="925"/>
      <c r="HP136" s="926"/>
      <c r="HQ136" s="924" t="str">
        <f t="shared" si="803"/>
        <v/>
      </c>
      <c r="HR136" s="927" t="str">
        <f t="shared" si="804"/>
        <v/>
      </c>
      <c r="HS136" s="879" t="str">
        <f t="shared" si="998"/>
        <v/>
      </c>
      <c r="HT136" s="889" t="str">
        <f t="shared" si="805"/>
        <v/>
      </c>
      <c r="HU136" s="890" t="str">
        <f t="shared" si="806"/>
        <v/>
      </c>
      <c r="HV136" s="886" t="str">
        <f t="shared" si="807"/>
        <v/>
      </c>
      <c r="HW136" s="880" t="str">
        <f t="shared" si="808"/>
        <v/>
      </c>
      <c r="HX136" s="881" t="str">
        <f t="shared" si="809"/>
        <v/>
      </c>
      <c r="HY136" s="880" t="str">
        <f t="shared" si="810"/>
        <v/>
      </c>
      <c r="HZ136" s="882" t="str">
        <f t="shared" si="811"/>
        <v/>
      </c>
      <c r="IA136" s="883" t="str">
        <f t="shared" si="812"/>
        <v/>
      </c>
      <c r="IB136" s="884" t="str">
        <f t="shared" si="813"/>
        <v/>
      </c>
      <c r="IC136" s="855" t="str">
        <f t="shared" si="814"/>
        <v/>
      </c>
      <c r="ID136" s="351" t="str">
        <f t="shared" si="815"/>
        <v/>
      </c>
      <c r="IE136" s="857" t="str">
        <f t="shared" si="816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2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17"/>
        <v/>
      </c>
      <c r="IM136" s="482" t="str">
        <f t="shared" si="733"/>
        <v/>
      </c>
      <c r="IN136" s="670" t="str">
        <f t="shared" si="818"/>
        <v/>
      </c>
      <c r="IO136" s="702"/>
      <c r="IP136" s="5" t="str">
        <f t="shared" si="819"/>
        <v/>
      </c>
      <c r="IQ136" s="714"/>
      <c r="IR136" s="9" t="str">
        <f t="shared" si="820"/>
        <v/>
      </c>
      <c r="IS136" s="5" t="str">
        <f t="shared" si="821"/>
        <v/>
      </c>
      <c r="IT136" s="5" t="str">
        <f t="shared" si="822"/>
        <v/>
      </c>
      <c r="IU136" s="5" t="str">
        <f t="shared" si="823"/>
        <v/>
      </c>
      <c r="IV136" s="670" t="str">
        <f t="shared" si="824"/>
        <v/>
      </c>
      <c r="IW136" s="9" t="str">
        <f t="shared" si="825"/>
        <v/>
      </c>
      <c r="IX136" s="5" t="str">
        <f t="shared" si="826"/>
        <v/>
      </c>
      <c r="IY136" s="5" t="str">
        <f t="shared" si="827"/>
        <v/>
      </c>
      <c r="IZ136" s="5" t="str">
        <f t="shared" si="828"/>
        <v/>
      </c>
      <c r="JA136" s="705" t="str">
        <f t="shared" si="829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585" t="str">
        <f t="shared" ref="B137:B150" si="1000">IFERROR(Q292+($A137*-E137),"")</f>
        <v/>
      </c>
      <c r="C137" s="582" t="str">
        <f t="shared" ref="C137:C150" si="1001">IFERROR(R292+($A137*-F137),"")</f>
        <v/>
      </c>
      <c r="D137" s="583" t="str">
        <f t="shared" ref="D137:D150" si="1002">IFERROR(S292+($A137*-G137),"")</f>
        <v/>
      </c>
      <c r="E137" s="588" t="str">
        <f t="shared" ref="E137:E150" si="1003">T292</f>
        <v/>
      </c>
      <c r="F137" s="582" t="str">
        <f t="shared" ref="F137:F150" si="1004">U292</f>
        <v/>
      </c>
      <c r="G137" s="586" t="str">
        <f t="shared" ref="G137:G150" si="1005">V292</f>
        <v/>
      </c>
      <c r="H137" s="588" t="str">
        <f t="shared" ref="H137:H150" si="1006">W292</f>
        <v/>
      </c>
      <c r="I137" s="582" t="str">
        <f t="shared" ref="I137:I150" si="1007">X292</f>
        <v/>
      </c>
      <c r="J137" s="491" t="str">
        <f t="shared" ref="J137:J150" si="1008">IF(Y292=0,"",Y292)</f>
        <v/>
      </c>
      <c r="K137" s="807" t="str">
        <f t="shared" ref="K137:K150" si="1009">Z292</f>
        <v/>
      </c>
      <c r="L137" s="309"/>
      <c r="M137" s="492" t="str">
        <f t="shared" ref="M137:M150" si="1010">IF(J137="","",VALUE(J137))</f>
        <v/>
      </c>
      <c r="N137" s="581" t="str">
        <f t="shared" ref="N137:N150" si="1011">IF(M137="","",B137)</f>
        <v/>
      </c>
      <c r="O137" s="582" t="str">
        <f t="shared" ref="O137:O150" si="1012">IF(M137="","",C137)</f>
        <v/>
      </c>
      <c r="P137" s="583" t="str">
        <f t="shared" ref="P137:P150" si="1013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14">IF(M137="","",-E137)</f>
        <v/>
      </c>
      <c r="AA137" s="582" t="str">
        <f t="shared" ref="AA137:AA150" si="1015">IF(M137="","",-F137)</f>
        <v/>
      </c>
      <c r="AB137" s="582" t="str">
        <f t="shared" ref="AB137:AB150" si="1016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17">IF(M137="","",DEGREES(ATAN(($AS$5*SIN(RADIANS(90)))/(($X137*2*PI())-($AS$5*COS(RADIANS(90)))))))</f>
        <v/>
      </c>
      <c r="AS137" s="947" t="str">
        <f t="shared" si="852"/>
        <v/>
      </c>
      <c r="AT137" s="943" t="str">
        <f t="shared" ref="AT137:AT150" si="1018">IF(M137="","",Y137+(((AS137-$AS$9)*$AS$6)*-1))</f>
        <v/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1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2"/>
        <v/>
      </c>
      <c r="BP137" s="494" t="str">
        <f t="shared" si="883"/>
        <v/>
      </c>
      <c r="BQ137" s="494" t="str">
        <f t="shared" si="884"/>
        <v/>
      </c>
      <c r="BR137" s="497" t="str">
        <f t="shared" si="885"/>
        <v/>
      </c>
      <c r="BS137" s="498" t="str">
        <f t="shared" si="849"/>
        <v/>
      </c>
      <c r="BT137" s="494" t="str">
        <f t="shared" si="84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0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3"/>
        <v/>
      </c>
      <c r="DC137" s="494" t="str">
        <f t="shared" si="853"/>
        <v/>
      </c>
      <c r="DD137" s="495" t="str">
        <f t="shared" si="659"/>
        <v/>
      </c>
      <c r="DE137" s="496" t="str">
        <f t="shared" si="854"/>
        <v/>
      </c>
      <c r="DF137" s="494" t="str">
        <f t="shared" si="854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4"/>
        <v/>
      </c>
      <c r="FB137" s="494" t="str">
        <f t="shared" si="775"/>
        <v/>
      </c>
      <c r="FC137" s="497" t="str">
        <f t="shared" si="776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8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1"/>
        <v/>
      </c>
      <c r="GV137" s="343" t="str">
        <f t="shared" si="991"/>
        <v/>
      </c>
      <c r="GW137" s="345" t="str">
        <f t="shared" si="792"/>
        <v/>
      </c>
      <c r="GX137" s="346" t="str">
        <f t="shared" si="793"/>
        <v/>
      </c>
      <c r="GY137" s="344" t="str">
        <f t="shared" si="992"/>
        <v/>
      </c>
      <c r="GZ137" s="345" t="str">
        <f t="shared" si="993"/>
        <v/>
      </c>
      <c r="HA137" s="342" t="str">
        <f t="shared" si="796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7"/>
        <v/>
      </c>
      <c r="HF137" s="5" t="str">
        <f t="shared" si="798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0"/>
        <v/>
      </c>
      <c r="HL137" s="348" t="str">
        <f t="shared" ref="HL137:HL150" si="1034">IF(ISNUMBER($HS137),INDEX(HI$9:HI$150,MATCH($HS137,$GJ$9:$GJ$150,0)),"")</f>
        <v/>
      </c>
      <c r="HM137" s="923" t="str">
        <f t="shared" ref="HM137:HM150" si="1035">IF(ISNUMBER($HL137),INDEX(GO$9:GO$150,MATCH($HL137,$AV$9:$AV$150,0)),"")</f>
        <v/>
      </c>
      <c r="HN137" s="924" t="str">
        <f t="shared" ref="HN137:HN150" si="1036">IF(ISNUMBER($HL137),INDEX(AO$9:AO$150,MATCH($HL137,$AV$9:$AV$150,0)),"")</f>
        <v/>
      </c>
      <c r="HO137" s="925"/>
      <c r="HP137" s="926"/>
      <c r="HQ137" s="924" t="str">
        <f t="shared" ref="HQ137:HQ150" si="1037">IF(ISNUMBER($HL137),INDEX(GQ$9:GQ$150,MATCH($HL137,$AV$9:$AV$150,0)),"")</f>
        <v/>
      </c>
      <c r="HR137" s="927" t="str">
        <f t="shared" ref="HR137:HR150" si="1038">IF(ISNUMBER($HL137),INDEX(GP$9:GP$150,MATCH($HL137,$AV$9:$AV$150,0)),"")</f>
        <v/>
      </c>
      <c r="HS137" s="879" t="str">
        <f t="shared" si="998"/>
        <v/>
      </c>
      <c r="HT137" s="889" t="str">
        <f t="shared" ref="HT137:HT150" si="1039">IF(ISNUMBER($HL137),INDEX(GL$9:GL$150,MATCH($HL137,$AV$9:$AV$150,0)),"")</f>
        <v/>
      </c>
      <c r="HU137" s="890" t="str">
        <f t="shared" ref="HU137:HU150" si="1040">IF(ISNUMBER($HL137),INDEX(GM$9:GM$150,MATCH($HL137,$AV$9:$AV$150,0)),"")</f>
        <v/>
      </c>
      <c r="HV137" s="886" t="str">
        <f t="shared" ref="HV137:HV150" si="1041">IF(ISNUMBER($HL137),INDEX(GN$9:GN$150,MATCH($HL137,$AV$9:$AV$150,0)),"")</f>
        <v/>
      </c>
      <c r="HW137" s="880" t="str">
        <f t="shared" ref="HW137:HW150" si="1042">IF(ISNUMBER($HL137),INDEX(GW$9:GW$150,MATCH($HL137,$AV$9:$AV$150,0)),"")</f>
        <v/>
      </c>
      <c r="HX137" s="881" t="str">
        <f t="shared" ref="HX137:HX150" si="1043">IF(ISNUMBER($HL137),INDEX(GX$9:GX$150,MATCH($HL137,$AV$9:$AV$150,0)),"")</f>
        <v/>
      </c>
      <c r="HY137" s="880" t="str">
        <f t="shared" ref="HY137:HY150" si="1044">IF(ISNUMBER($HL137),INDEX(GS$9:GS$150,MATCH($HL137,$AV$9:$AV$150,0)),"")</f>
        <v/>
      </c>
      <c r="HZ137" s="882" t="str">
        <f t="shared" ref="HZ137:HZ150" si="1045">IF(ISNUMBER($HL137),INDEX(GU$9:GU$150,MATCH($HL137,$AV$9:$AV$150,0)),"")</f>
        <v/>
      </c>
      <c r="IA137" s="883" t="str">
        <f t="shared" ref="IA137:IA150" si="1046">IF(ISNUMBER($HL137),INDEX(GY$9:GY$150,MATCH($HL137,$AV$9:$AV$150,0)),"")</f>
        <v/>
      </c>
      <c r="IB137" s="884" t="str">
        <f t="shared" ref="IB137:IB150" si="1047">IF(ISNUMBER($HL137),INDEX(GR$9:GR$150,MATCH($HL137,$AV$9:$AV$150,0)),"")</f>
        <v/>
      </c>
      <c r="IC137" s="855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57" t="str">
        <f t="shared" ref="IE137:IE150" si="1050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2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51">IF(ISNUMBER($IK137),INDEX($K$9:$K$150,MATCH($IK137,$M$9:$M$150,0)),$K137)</f>
        <v/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585" t="str">
        <f t="shared" si="1000"/>
        <v/>
      </c>
      <c r="C138" s="582" t="str">
        <f t="shared" si="1001"/>
        <v/>
      </c>
      <c r="D138" s="583" t="str">
        <f t="shared" si="1002"/>
        <v/>
      </c>
      <c r="E138" s="588" t="str">
        <f t="shared" si="1003"/>
        <v/>
      </c>
      <c r="F138" s="582" t="str">
        <f t="shared" si="1004"/>
        <v/>
      </c>
      <c r="G138" s="586" t="str">
        <f t="shared" si="1005"/>
        <v/>
      </c>
      <c r="H138" s="588" t="str">
        <f t="shared" si="1006"/>
        <v/>
      </c>
      <c r="I138" s="582" t="str">
        <f t="shared" si="1007"/>
        <v/>
      </c>
      <c r="J138" s="491" t="str">
        <f t="shared" si="1008"/>
        <v/>
      </c>
      <c r="K138" s="807" t="str">
        <f t="shared" si="1009"/>
        <v/>
      </c>
      <c r="L138" s="309"/>
      <c r="M138" s="492" t="str">
        <f t="shared" si="1010"/>
        <v/>
      </c>
      <c r="N138" s="581" t="str">
        <f t="shared" si="1011"/>
        <v/>
      </c>
      <c r="O138" s="582" t="str">
        <f t="shared" si="1012"/>
        <v/>
      </c>
      <c r="P138" s="583" t="str">
        <f t="shared" si="1013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14"/>
        <v/>
      </c>
      <c r="AA138" s="582" t="str">
        <f t="shared" si="1015"/>
        <v/>
      </c>
      <c r="AB138" s="582" t="str">
        <f t="shared" si="1016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17"/>
        <v/>
      </c>
      <c r="AS138" s="947" t="str">
        <f t="shared" si="852"/>
        <v/>
      </c>
      <c r="AT138" s="943" t="str">
        <f t="shared" si="1018"/>
        <v/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1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2"/>
        <v/>
      </c>
      <c r="BP138" s="494" t="str">
        <f t="shared" si="883"/>
        <v/>
      </c>
      <c r="BQ138" s="494" t="str">
        <f t="shared" si="884"/>
        <v/>
      </c>
      <c r="BR138" s="497" t="str">
        <f t="shared" si="885"/>
        <v/>
      </c>
      <c r="BS138" s="498" t="str">
        <f t="shared" si="849"/>
        <v/>
      </c>
      <c r="BT138" s="494" t="str">
        <f t="shared" si="84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0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3"/>
        <v/>
      </c>
      <c r="DC138" s="494" t="str">
        <f t="shared" si="853"/>
        <v/>
      </c>
      <c r="DD138" s="495" t="str">
        <f t="shared" si="659"/>
        <v/>
      </c>
      <c r="DE138" s="496" t="str">
        <f t="shared" si="854"/>
        <v/>
      </c>
      <c r="DF138" s="494" t="str">
        <f t="shared" si="854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4"/>
        <v/>
      </c>
      <c r="FB138" s="494" t="str">
        <f t="shared" si="775"/>
        <v/>
      </c>
      <c r="FC138" s="497" t="str">
        <f t="shared" si="776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8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1"/>
        <v/>
      </c>
      <c r="GV138" s="343" t="str">
        <f t="shared" si="991"/>
        <v/>
      </c>
      <c r="GW138" s="345" t="str">
        <f t="shared" si="792"/>
        <v/>
      </c>
      <c r="GX138" s="346" t="str">
        <f t="shared" si="793"/>
        <v/>
      </c>
      <c r="GY138" s="344" t="str">
        <f t="shared" si="992"/>
        <v/>
      </c>
      <c r="GZ138" s="345" t="str">
        <f t="shared" si="993"/>
        <v/>
      </c>
      <c r="HA138" s="342" t="str">
        <f t="shared" si="796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7"/>
        <v/>
      </c>
      <c r="HF138" s="5" t="str">
        <f t="shared" si="798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23" t="str">
        <f t="shared" si="1035"/>
        <v/>
      </c>
      <c r="HN138" s="924" t="str">
        <f t="shared" si="1036"/>
        <v/>
      </c>
      <c r="HO138" s="925"/>
      <c r="HP138" s="926"/>
      <c r="HQ138" s="924" t="str">
        <f t="shared" si="1037"/>
        <v/>
      </c>
      <c r="HR138" s="927" t="str">
        <f t="shared" si="1038"/>
        <v/>
      </c>
      <c r="HS138" s="879" t="str">
        <f t="shared" si="998"/>
        <v/>
      </c>
      <c r="HT138" s="889" t="str">
        <f t="shared" si="1039"/>
        <v/>
      </c>
      <c r="HU138" s="890" t="str">
        <f t="shared" si="1040"/>
        <v/>
      </c>
      <c r="HV138" s="886" t="str">
        <f t="shared" si="1041"/>
        <v/>
      </c>
      <c r="HW138" s="880" t="str">
        <f t="shared" si="1042"/>
        <v/>
      </c>
      <c r="HX138" s="881" t="str">
        <f t="shared" si="1043"/>
        <v/>
      </c>
      <c r="HY138" s="880" t="str">
        <f t="shared" si="1044"/>
        <v/>
      </c>
      <c r="HZ138" s="882" t="str">
        <f t="shared" si="1045"/>
        <v/>
      </c>
      <c r="IA138" s="883" t="str">
        <f t="shared" si="1046"/>
        <v/>
      </c>
      <c r="IB138" s="884" t="str">
        <f t="shared" si="1047"/>
        <v/>
      </c>
      <c r="IC138" s="855" t="str">
        <f t="shared" si="1048"/>
        <v/>
      </c>
      <c r="ID138" s="351" t="str">
        <f t="shared" si="1049"/>
        <v/>
      </c>
      <c r="IE138" s="857" t="str">
        <f t="shared" si="1050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2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51"/>
        <v/>
      </c>
      <c r="IM138" s="482" t="str">
        <f t="shared" si="733"/>
        <v/>
      </c>
      <c r="IN138" s="670" t="str">
        <f t="shared" si="1052"/>
        <v/>
      </c>
      <c r="IO138" s="702"/>
      <c r="IP138" s="5" t="str">
        <f t="shared" si="1053"/>
        <v/>
      </c>
      <c r="IQ138" s="714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70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705" t="str">
        <f t="shared" si="1063"/>
        <v/>
      </c>
    </row>
    <row r="139" spans="1:261" ht="15" customHeight="1" x14ac:dyDescent="0.25">
      <c r="A139" s="75" t="str">
        <f t="shared" si="999"/>
        <v/>
      </c>
      <c r="B139" s="585" t="str">
        <f t="shared" si="1000"/>
        <v/>
      </c>
      <c r="C139" s="582" t="str">
        <f t="shared" si="1001"/>
        <v/>
      </c>
      <c r="D139" s="583" t="str">
        <f t="shared" si="1002"/>
        <v/>
      </c>
      <c r="E139" s="588" t="str">
        <f t="shared" si="1003"/>
        <v/>
      </c>
      <c r="F139" s="582" t="str">
        <f t="shared" si="1004"/>
        <v/>
      </c>
      <c r="G139" s="586" t="str">
        <f t="shared" si="1005"/>
        <v/>
      </c>
      <c r="H139" s="588" t="str">
        <f t="shared" si="1006"/>
        <v/>
      </c>
      <c r="I139" s="582" t="str">
        <f t="shared" si="1007"/>
        <v/>
      </c>
      <c r="J139" s="491" t="str">
        <f t="shared" si="1008"/>
        <v/>
      </c>
      <c r="K139" s="807" t="str">
        <f t="shared" si="1009"/>
        <v/>
      </c>
      <c r="L139" s="309"/>
      <c r="M139" s="492" t="str">
        <f t="shared" si="1010"/>
        <v/>
      </c>
      <c r="N139" s="581" t="str">
        <f t="shared" si="1011"/>
        <v/>
      </c>
      <c r="O139" s="582" t="str">
        <f t="shared" si="1012"/>
        <v/>
      </c>
      <c r="P139" s="583" t="str">
        <f t="shared" si="1013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14"/>
        <v/>
      </c>
      <c r="AA139" s="582" t="str">
        <f t="shared" si="1015"/>
        <v/>
      </c>
      <c r="AB139" s="582" t="str">
        <f t="shared" si="1016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17"/>
        <v/>
      </c>
      <c r="AS139" s="947" t="str">
        <f t="shared" ref="AS139:AS150" si="1065">IF(G139="","",IF(AND(W139&lt;(AS138+180),W139&gt;(AS138-180)),W139,IF(W139&gt;(AS138+180),W139-360,IF(W139&lt;(AS138-180),W139+360,"Error"))))</f>
        <v/>
      </c>
      <c r="AT139" s="943" t="str">
        <f t="shared" si="1018"/>
        <v/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1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2"/>
        <v/>
      </c>
      <c r="BP139" s="494" t="str">
        <f t="shared" si="883"/>
        <v/>
      </c>
      <c r="BQ139" s="494" t="str">
        <f t="shared" si="884"/>
        <v/>
      </c>
      <c r="BR139" s="497" t="str">
        <f t="shared" si="885"/>
        <v/>
      </c>
      <c r="BS139" s="498" t="str">
        <f t="shared" si="849"/>
        <v/>
      </c>
      <c r="BT139" s="494" t="str">
        <f t="shared" si="84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0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3"/>
        <v/>
      </c>
      <c r="DC139" s="494" t="str">
        <f t="shared" si="853"/>
        <v/>
      </c>
      <c r="DD139" s="495" t="str">
        <f t="shared" si="659"/>
        <v/>
      </c>
      <c r="DE139" s="496" t="str">
        <f t="shared" si="854"/>
        <v/>
      </c>
      <c r="DF139" s="494" t="str">
        <f t="shared" si="854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4"/>
        <v/>
      </c>
      <c r="FB139" s="494" t="str">
        <f t="shared" si="775"/>
        <v/>
      </c>
      <c r="FC139" s="497" t="str">
        <f t="shared" si="776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8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1"/>
        <v/>
      </c>
      <c r="GV139" s="343" t="str">
        <f t="shared" si="991"/>
        <v/>
      </c>
      <c r="GW139" s="345" t="str">
        <f t="shared" si="792"/>
        <v/>
      </c>
      <c r="GX139" s="346" t="str">
        <f t="shared" si="793"/>
        <v/>
      </c>
      <c r="GY139" s="344" t="str">
        <f t="shared" si="992"/>
        <v/>
      </c>
      <c r="GZ139" s="345" t="str">
        <f t="shared" si="993"/>
        <v/>
      </c>
      <c r="HA139" s="342" t="str">
        <f t="shared" si="796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7"/>
        <v/>
      </c>
      <c r="HF139" s="5" t="str">
        <f t="shared" si="798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23" t="str">
        <f t="shared" si="1035"/>
        <v/>
      </c>
      <c r="HN139" s="924" t="str">
        <f t="shared" si="1036"/>
        <v/>
      </c>
      <c r="HO139" s="925"/>
      <c r="HP139" s="926"/>
      <c r="HQ139" s="924" t="str">
        <f t="shared" si="1037"/>
        <v/>
      </c>
      <c r="HR139" s="927" t="str">
        <f t="shared" si="1038"/>
        <v/>
      </c>
      <c r="HS139" s="879" t="str">
        <f t="shared" si="998"/>
        <v/>
      </c>
      <c r="HT139" s="889" t="str">
        <f t="shared" si="1039"/>
        <v/>
      </c>
      <c r="HU139" s="890" t="str">
        <f t="shared" si="1040"/>
        <v/>
      </c>
      <c r="HV139" s="886" t="str">
        <f t="shared" si="1041"/>
        <v/>
      </c>
      <c r="HW139" s="880" t="str">
        <f t="shared" si="1042"/>
        <v/>
      </c>
      <c r="HX139" s="881" t="str">
        <f t="shared" si="1043"/>
        <v/>
      </c>
      <c r="HY139" s="880" t="str">
        <f t="shared" si="1044"/>
        <v/>
      </c>
      <c r="HZ139" s="882" t="str">
        <f t="shared" si="1045"/>
        <v/>
      </c>
      <c r="IA139" s="883" t="str">
        <f t="shared" si="1046"/>
        <v/>
      </c>
      <c r="IB139" s="884" t="str">
        <f t="shared" si="1047"/>
        <v/>
      </c>
      <c r="IC139" s="855" t="str">
        <f t="shared" si="1048"/>
        <v/>
      </c>
      <c r="ID139" s="351" t="str">
        <f t="shared" si="1049"/>
        <v/>
      </c>
      <c r="IE139" s="857" t="str">
        <f t="shared" si="1050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66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51"/>
        <v/>
      </c>
      <c r="IM139" s="482" t="str">
        <f t="shared" ref="IM139:IM150" si="1067">IF(ISNUMBER($IK139),INDEX($K$9:$K$150,MATCH($II139,$M$9:$M$150,0)),"")</f>
        <v/>
      </c>
      <c r="IN139" s="670" t="str">
        <f t="shared" si="1052"/>
        <v/>
      </c>
      <c r="IO139" s="702"/>
      <c r="IP139" s="5" t="str">
        <f t="shared" si="1053"/>
        <v/>
      </c>
      <c r="IQ139" s="714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70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705" t="str">
        <f t="shared" si="1063"/>
        <v/>
      </c>
    </row>
    <row r="140" spans="1:261" ht="15" customHeight="1" x14ac:dyDescent="0.25">
      <c r="A140" s="75" t="str">
        <f t="shared" si="999"/>
        <v/>
      </c>
      <c r="B140" s="585" t="str">
        <f t="shared" si="1000"/>
        <v/>
      </c>
      <c r="C140" s="582" t="str">
        <f t="shared" si="1001"/>
        <v/>
      </c>
      <c r="D140" s="583" t="str">
        <f t="shared" si="1002"/>
        <v/>
      </c>
      <c r="E140" s="588" t="str">
        <f t="shared" si="1003"/>
        <v/>
      </c>
      <c r="F140" s="582" t="str">
        <f t="shared" si="1004"/>
        <v/>
      </c>
      <c r="G140" s="586" t="str">
        <f t="shared" si="1005"/>
        <v/>
      </c>
      <c r="H140" s="588" t="str">
        <f t="shared" si="1006"/>
        <v/>
      </c>
      <c r="I140" s="582" t="str">
        <f t="shared" si="1007"/>
        <v/>
      </c>
      <c r="J140" s="491" t="str">
        <f t="shared" si="1008"/>
        <v/>
      </c>
      <c r="K140" s="807" t="str">
        <f t="shared" si="1009"/>
        <v/>
      </c>
      <c r="L140" s="309"/>
      <c r="M140" s="492" t="str">
        <f t="shared" si="1010"/>
        <v/>
      </c>
      <c r="N140" s="581" t="str">
        <f t="shared" si="1011"/>
        <v/>
      </c>
      <c r="O140" s="582" t="str">
        <f t="shared" si="1012"/>
        <v/>
      </c>
      <c r="P140" s="583" t="str">
        <f t="shared" si="1013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14"/>
        <v/>
      </c>
      <c r="AA140" s="582" t="str">
        <f t="shared" si="1015"/>
        <v/>
      </c>
      <c r="AB140" s="582" t="str">
        <f t="shared" si="1016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17"/>
        <v/>
      </c>
      <c r="AS140" s="947" t="str">
        <f t="shared" si="1065"/>
        <v/>
      </c>
      <c r="AT140" s="943" t="str">
        <f t="shared" si="1018"/>
        <v/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1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2"/>
        <v/>
      </c>
      <c r="BP140" s="494" t="str">
        <f t="shared" si="883"/>
        <v/>
      </c>
      <c r="BQ140" s="494" t="str">
        <f t="shared" si="884"/>
        <v/>
      </c>
      <c r="BR140" s="497" t="str">
        <f t="shared" si="885"/>
        <v/>
      </c>
      <c r="BS140" s="498" t="str">
        <f t="shared" si="849"/>
        <v/>
      </c>
      <c r="BT140" s="494" t="str">
        <f t="shared" si="84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0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3"/>
        <v/>
      </c>
      <c r="DC140" s="494" t="str">
        <f t="shared" si="853"/>
        <v/>
      </c>
      <c r="DD140" s="495" t="str">
        <f t="shared" si="659"/>
        <v/>
      </c>
      <c r="DE140" s="496" t="str">
        <f t="shared" si="854"/>
        <v/>
      </c>
      <c r="DF140" s="494" t="str">
        <f t="shared" si="854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4"/>
        <v/>
      </c>
      <c r="FB140" s="494" t="str">
        <f t="shared" si="775"/>
        <v/>
      </c>
      <c r="FC140" s="497" t="str">
        <f t="shared" si="776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8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1"/>
        <v/>
      </c>
      <c r="GV140" s="343" t="str">
        <f t="shared" si="991"/>
        <v/>
      </c>
      <c r="GW140" s="345" t="str">
        <f t="shared" si="792"/>
        <v/>
      </c>
      <c r="GX140" s="346" t="str">
        <f t="shared" si="793"/>
        <v/>
      </c>
      <c r="GY140" s="344" t="str">
        <f t="shared" si="992"/>
        <v/>
      </c>
      <c r="GZ140" s="345" t="str">
        <f t="shared" si="993"/>
        <v/>
      </c>
      <c r="HA140" s="342" t="str">
        <f t="shared" si="796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7"/>
        <v/>
      </c>
      <c r="HF140" s="5" t="str">
        <f t="shared" si="798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23" t="str">
        <f t="shared" si="1035"/>
        <v/>
      </c>
      <c r="HN140" s="924" t="str">
        <f t="shared" si="1036"/>
        <v/>
      </c>
      <c r="HO140" s="925"/>
      <c r="HP140" s="926"/>
      <c r="HQ140" s="924" t="str">
        <f t="shared" si="1037"/>
        <v/>
      </c>
      <c r="HR140" s="927" t="str">
        <f t="shared" si="1038"/>
        <v/>
      </c>
      <c r="HS140" s="879" t="str">
        <f t="shared" si="998"/>
        <v/>
      </c>
      <c r="HT140" s="889" t="str">
        <f t="shared" si="1039"/>
        <v/>
      </c>
      <c r="HU140" s="890" t="str">
        <f t="shared" si="1040"/>
        <v/>
      </c>
      <c r="HV140" s="886" t="str">
        <f t="shared" si="1041"/>
        <v/>
      </c>
      <c r="HW140" s="880" t="str">
        <f t="shared" si="1042"/>
        <v/>
      </c>
      <c r="HX140" s="881" t="str">
        <f t="shared" si="1043"/>
        <v/>
      </c>
      <c r="HY140" s="880" t="str">
        <f t="shared" si="1044"/>
        <v/>
      </c>
      <c r="HZ140" s="882" t="str">
        <f t="shared" si="1045"/>
        <v/>
      </c>
      <c r="IA140" s="883" t="str">
        <f t="shared" si="1046"/>
        <v/>
      </c>
      <c r="IB140" s="884" t="str">
        <f t="shared" si="1047"/>
        <v/>
      </c>
      <c r="IC140" s="855" t="str">
        <f t="shared" si="1048"/>
        <v/>
      </c>
      <c r="ID140" s="351" t="str">
        <f t="shared" si="1049"/>
        <v/>
      </c>
      <c r="IE140" s="857" t="str">
        <f t="shared" si="1050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66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51"/>
        <v/>
      </c>
      <c r="IM140" s="482" t="str">
        <f t="shared" si="1067"/>
        <v/>
      </c>
      <c r="IN140" s="670" t="str">
        <f t="shared" si="1052"/>
        <v/>
      </c>
      <c r="IO140" s="702"/>
      <c r="IP140" s="5" t="str">
        <f t="shared" si="1053"/>
        <v/>
      </c>
      <c r="IQ140" s="714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70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705" t="str">
        <f t="shared" si="1063"/>
        <v/>
      </c>
    </row>
    <row r="141" spans="1:261" ht="15" customHeight="1" x14ac:dyDescent="0.25">
      <c r="A141" s="75" t="str">
        <f t="shared" si="999"/>
        <v/>
      </c>
      <c r="B141" s="585" t="str">
        <f t="shared" si="1000"/>
        <v/>
      </c>
      <c r="C141" s="582" t="str">
        <f t="shared" si="1001"/>
        <v/>
      </c>
      <c r="D141" s="583" t="str">
        <f t="shared" si="1002"/>
        <v/>
      </c>
      <c r="E141" s="588" t="str">
        <f t="shared" si="1003"/>
        <v/>
      </c>
      <c r="F141" s="582" t="str">
        <f t="shared" si="1004"/>
        <v/>
      </c>
      <c r="G141" s="586" t="str">
        <f t="shared" si="1005"/>
        <v/>
      </c>
      <c r="H141" s="588" t="str">
        <f t="shared" si="1006"/>
        <v/>
      </c>
      <c r="I141" s="582" t="str">
        <f t="shared" si="1007"/>
        <v/>
      </c>
      <c r="J141" s="491" t="str">
        <f t="shared" si="1008"/>
        <v/>
      </c>
      <c r="K141" s="807" t="str">
        <f t="shared" si="1009"/>
        <v/>
      </c>
      <c r="L141" s="309"/>
      <c r="M141" s="492" t="str">
        <f t="shared" si="1010"/>
        <v/>
      </c>
      <c r="N141" s="581" t="str">
        <f t="shared" si="1011"/>
        <v/>
      </c>
      <c r="O141" s="582" t="str">
        <f t="shared" si="1012"/>
        <v/>
      </c>
      <c r="P141" s="583" t="str">
        <f t="shared" si="1013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14"/>
        <v/>
      </c>
      <c r="AA141" s="582" t="str">
        <f t="shared" si="1015"/>
        <v/>
      </c>
      <c r="AB141" s="582" t="str">
        <f t="shared" si="1016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17"/>
        <v/>
      </c>
      <c r="AS141" s="947" t="str">
        <f t="shared" si="1065"/>
        <v/>
      </c>
      <c r="AT141" s="943" t="str">
        <f t="shared" si="1018"/>
        <v/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1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2"/>
        <v/>
      </c>
      <c r="BP141" s="494" t="str">
        <f t="shared" si="883"/>
        <v/>
      </c>
      <c r="BQ141" s="494" t="str">
        <f t="shared" si="884"/>
        <v/>
      </c>
      <c r="BR141" s="497" t="str">
        <f t="shared" si="885"/>
        <v/>
      </c>
      <c r="BS141" s="498" t="str">
        <f t="shared" si="849"/>
        <v/>
      </c>
      <c r="BT141" s="494" t="str">
        <f t="shared" si="84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0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3"/>
        <v/>
      </c>
      <c r="DC141" s="494" t="str">
        <f t="shared" si="853"/>
        <v/>
      </c>
      <c r="DD141" s="495" t="str">
        <f t="shared" si="659"/>
        <v/>
      </c>
      <c r="DE141" s="496" t="str">
        <f t="shared" si="854"/>
        <v/>
      </c>
      <c r="DF141" s="494" t="str">
        <f t="shared" si="854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4"/>
        <v/>
      </c>
      <c r="FB141" s="494" t="str">
        <f t="shared" si="775"/>
        <v/>
      </c>
      <c r="FC141" s="497" t="str">
        <f t="shared" si="776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8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1"/>
        <v/>
      </c>
      <c r="GV141" s="343" t="str">
        <f t="shared" si="991"/>
        <v/>
      </c>
      <c r="GW141" s="345" t="str">
        <f t="shared" si="792"/>
        <v/>
      </c>
      <c r="GX141" s="346" t="str">
        <f t="shared" si="793"/>
        <v/>
      </c>
      <c r="GY141" s="344" t="str">
        <f t="shared" si="992"/>
        <v/>
      </c>
      <c r="GZ141" s="345" t="str">
        <f t="shared" si="993"/>
        <v/>
      </c>
      <c r="HA141" s="342" t="str">
        <f t="shared" si="796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7"/>
        <v/>
      </c>
      <c r="HF141" s="5" t="str">
        <f t="shared" si="798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23" t="str">
        <f t="shared" si="1035"/>
        <v/>
      </c>
      <c r="HN141" s="924" t="str">
        <f t="shared" si="1036"/>
        <v/>
      </c>
      <c r="HO141" s="925"/>
      <c r="HP141" s="926"/>
      <c r="HQ141" s="924" t="str">
        <f t="shared" si="1037"/>
        <v/>
      </c>
      <c r="HR141" s="927" t="str">
        <f t="shared" si="1038"/>
        <v/>
      </c>
      <c r="HS141" s="879" t="str">
        <f t="shared" si="998"/>
        <v/>
      </c>
      <c r="HT141" s="889" t="str">
        <f t="shared" si="1039"/>
        <v/>
      </c>
      <c r="HU141" s="890" t="str">
        <f t="shared" si="1040"/>
        <v/>
      </c>
      <c r="HV141" s="886" t="str">
        <f t="shared" si="1041"/>
        <v/>
      </c>
      <c r="HW141" s="880" t="str">
        <f t="shared" si="1042"/>
        <v/>
      </c>
      <c r="HX141" s="881" t="str">
        <f t="shared" si="1043"/>
        <v/>
      </c>
      <c r="HY141" s="880" t="str">
        <f t="shared" si="1044"/>
        <v/>
      </c>
      <c r="HZ141" s="882" t="str">
        <f t="shared" si="1045"/>
        <v/>
      </c>
      <c r="IA141" s="883" t="str">
        <f t="shared" si="1046"/>
        <v/>
      </c>
      <c r="IB141" s="884" t="str">
        <f t="shared" si="1047"/>
        <v/>
      </c>
      <c r="IC141" s="855" t="str">
        <f t="shared" si="1048"/>
        <v/>
      </c>
      <c r="ID141" s="351" t="str">
        <f t="shared" si="1049"/>
        <v/>
      </c>
      <c r="IE141" s="857" t="str">
        <f t="shared" si="1050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66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51"/>
        <v/>
      </c>
      <c r="IM141" s="482" t="str">
        <f t="shared" si="1067"/>
        <v/>
      </c>
      <c r="IN141" s="670" t="str">
        <f t="shared" si="1052"/>
        <v/>
      </c>
      <c r="IO141" s="702"/>
      <c r="IP141" s="5" t="str">
        <f t="shared" si="1053"/>
        <v/>
      </c>
      <c r="IQ141" s="714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70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705" t="str">
        <f t="shared" si="1063"/>
        <v/>
      </c>
    </row>
    <row r="142" spans="1:261" ht="15" customHeight="1" x14ac:dyDescent="0.25">
      <c r="A142" s="75" t="str">
        <f t="shared" si="999"/>
        <v/>
      </c>
      <c r="B142" s="585" t="str">
        <f t="shared" si="1000"/>
        <v/>
      </c>
      <c r="C142" s="582" t="str">
        <f t="shared" si="1001"/>
        <v/>
      </c>
      <c r="D142" s="583" t="str">
        <f t="shared" si="1002"/>
        <v/>
      </c>
      <c r="E142" s="588" t="str">
        <f t="shared" si="1003"/>
        <v/>
      </c>
      <c r="F142" s="582" t="str">
        <f t="shared" si="1004"/>
        <v/>
      </c>
      <c r="G142" s="586" t="str">
        <f t="shared" si="1005"/>
        <v/>
      </c>
      <c r="H142" s="588" t="str">
        <f t="shared" si="1006"/>
        <v/>
      </c>
      <c r="I142" s="582" t="str">
        <f t="shared" si="1007"/>
        <v/>
      </c>
      <c r="J142" s="491" t="str">
        <f t="shared" si="1008"/>
        <v/>
      </c>
      <c r="K142" s="807" t="str">
        <f t="shared" si="1009"/>
        <v/>
      </c>
      <c r="L142" s="309"/>
      <c r="M142" s="492" t="str">
        <f t="shared" si="1010"/>
        <v/>
      </c>
      <c r="N142" s="581" t="str">
        <f t="shared" si="1011"/>
        <v/>
      </c>
      <c r="O142" s="582" t="str">
        <f t="shared" si="1012"/>
        <v/>
      </c>
      <c r="P142" s="583" t="str">
        <f t="shared" si="1013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14"/>
        <v/>
      </c>
      <c r="AA142" s="582" t="str">
        <f t="shared" si="1015"/>
        <v/>
      </c>
      <c r="AB142" s="582" t="str">
        <f t="shared" si="1016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17"/>
        <v/>
      </c>
      <c r="AS142" s="947" t="str">
        <f t="shared" si="1065"/>
        <v/>
      </c>
      <c r="AT142" s="943" t="str">
        <f t="shared" si="1018"/>
        <v/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1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2"/>
        <v/>
      </c>
      <c r="BP142" s="494" t="str">
        <f t="shared" si="883"/>
        <v/>
      </c>
      <c r="BQ142" s="494" t="str">
        <f t="shared" si="884"/>
        <v/>
      </c>
      <c r="BR142" s="497" t="str">
        <f t="shared" si="885"/>
        <v/>
      </c>
      <c r="BS142" s="498" t="str">
        <f t="shared" si="849"/>
        <v/>
      </c>
      <c r="BT142" s="494" t="str">
        <f t="shared" si="84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0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3"/>
        <v/>
      </c>
      <c r="DC142" s="494" t="str">
        <f t="shared" si="853"/>
        <v/>
      </c>
      <c r="DD142" s="495" t="str">
        <f t="shared" si="659"/>
        <v/>
      </c>
      <c r="DE142" s="496" t="str">
        <f t="shared" si="854"/>
        <v/>
      </c>
      <c r="DF142" s="494" t="str">
        <f t="shared" si="854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4"/>
        <v/>
      </c>
      <c r="FB142" s="494" t="str">
        <f t="shared" si="775"/>
        <v/>
      </c>
      <c r="FC142" s="497" t="str">
        <f t="shared" si="776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8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1"/>
        <v/>
      </c>
      <c r="GV142" s="343" t="str">
        <f t="shared" si="991"/>
        <v/>
      </c>
      <c r="GW142" s="345" t="str">
        <f t="shared" si="792"/>
        <v/>
      </c>
      <c r="GX142" s="346" t="str">
        <f t="shared" si="793"/>
        <v/>
      </c>
      <c r="GY142" s="344" t="str">
        <f t="shared" si="992"/>
        <v/>
      </c>
      <c r="GZ142" s="345" t="str">
        <f t="shared" si="993"/>
        <v/>
      </c>
      <c r="HA142" s="342" t="str">
        <f t="shared" si="796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7"/>
        <v/>
      </c>
      <c r="HF142" s="5" t="str">
        <f t="shared" si="798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23" t="str">
        <f t="shared" si="1035"/>
        <v/>
      </c>
      <c r="HN142" s="924" t="str">
        <f t="shared" si="1036"/>
        <v/>
      </c>
      <c r="HO142" s="925"/>
      <c r="HP142" s="926"/>
      <c r="HQ142" s="924" t="str">
        <f t="shared" si="1037"/>
        <v/>
      </c>
      <c r="HR142" s="927" t="str">
        <f t="shared" si="1038"/>
        <v/>
      </c>
      <c r="HS142" s="879" t="str">
        <f t="shared" si="998"/>
        <v/>
      </c>
      <c r="HT142" s="889" t="str">
        <f t="shared" si="1039"/>
        <v/>
      </c>
      <c r="HU142" s="890" t="str">
        <f t="shared" si="1040"/>
        <v/>
      </c>
      <c r="HV142" s="886" t="str">
        <f t="shared" si="1041"/>
        <v/>
      </c>
      <c r="HW142" s="880" t="str">
        <f t="shared" si="1042"/>
        <v/>
      </c>
      <c r="HX142" s="881" t="str">
        <f t="shared" si="1043"/>
        <v/>
      </c>
      <c r="HY142" s="880" t="str">
        <f t="shared" si="1044"/>
        <v/>
      </c>
      <c r="HZ142" s="882" t="str">
        <f t="shared" si="1045"/>
        <v/>
      </c>
      <c r="IA142" s="883" t="str">
        <f t="shared" si="1046"/>
        <v/>
      </c>
      <c r="IB142" s="884" t="str">
        <f t="shared" si="1047"/>
        <v/>
      </c>
      <c r="IC142" s="855" t="str">
        <f t="shared" si="1048"/>
        <v/>
      </c>
      <c r="ID142" s="351" t="str">
        <f t="shared" si="1049"/>
        <v/>
      </c>
      <c r="IE142" s="857" t="str">
        <f t="shared" si="1050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66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51"/>
        <v/>
      </c>
      <c r="IM142" s="482" t="str">
        <f t="shared" si="1067"/>
        <v/>
      </c>
      <c r="IN142" s="670" t="str">
        <f t="shared" si="1052"/>
        <v/>
      </c>
      <c r="IO142" s="702"/>
      <c r="IP142" s="5" t="str">
        <f t="shared" si="1053"/>
        <v/>
      </c>
      <c r="IQ142" s="714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70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705" t="str">
        <f t="shared" si="1063"/>
        <v/>
      </c>
    </row>
    <row r="143" spans="1:261" ht="15" customHeight="1" x14ac:dyDescent="0.25">
      <c r="A143" s="75" t="str">
        <f t="shared" si="999"/>
        <v/>
      </c>
      <c r="B143" s="585" t="str">
        <f t="shared" si="1000"/>
        <v/>
      </c>
      <c r="C143" s="582" t="str">
        <f t="shared" si="1001"/>
        <v/>
      </c>
      <c r="D143" s="583" t="str">
        <f t="shared" si="1002"/>
        <v/>
      </c>
      <c r="E143" s="588" t="str">
        <f t="shared" si="1003"/>
        <v/>
      </c>
      <c r="F143" s="582" t="str">
        <f t="shared" si="1004"/>
        <v/>
      </c>
      <c r="G143" s="586" t="str">
        <f t="shared" si="1005"/>
        <v/>
      </c>
      <c r="H143" s="588" t="str">
        <f t="shared" si="1006"/>
        <v/>
      </c>
      <c r="I143" s="582" t="str">
        <f t="shared" si="1007"/>
        <v/>
      </c>
      <c r="J143" s="491" t="str">
        <f t="shared" si="1008"/>
        <v/>
      </c>
      <c r="K143" s="807" t="str">
        <f t="shared" si="1009"/>
        <v/>
      </c>
      <c r="L143" s="309"/>
      <c r="M143" s="492" t="str">
        <f t="shared" si="1010"/>
        <v/>
      </c>
      <c r="N143" s="581" t="str">
        <f t="shared" si="1011"/>
        <v/>
      </c>
      <c r="O143" s="582" t="str">
        <f t="shared" si="1012"/>
        <v/>
      </c>
      <c r="P143" s="583" t="str">
        <f t="shared" si="1013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14"/>
        <v/>
      </c>
      <c r="AA143" s="582" t="str">
        <f t="shared" si="1015"/>
        <v/>
      </c>
      <c r="AB143" s="582" t="str">
        <f t="shared" si="1016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17"/>
        <v/>
      </c>
      <c r="AS143" s="947" t="str">
        <f t="shared" si="1065"/>
        <v/>
      </c>
      <c r="AT143" s="943" t="str">
        <f t="shared" si="1018"/>
        <v/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1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2"/>
        <v/>
      </c>
      <c r="BP143" s="494" t="str">
        <f t="shared" si="883"/>
        <v/>
      </c>
      <c r="BQ143" s="494" t="str">
        <f t="shared" si="884"/>
        <v/>
      </c>
      <c r="BR143" s="497" t="str">
        <f t="shared" si="885"/>
        <v/>
      </c>
      <c r="BS143" s="498" t="str">
        <f t="shared" si="849"/>
        <v/>
      </c>
      <c r="BT143" s="494" t="str">
        <f t="shared" si="84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0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3"/>
        <v/>
      </c>
      <c r="DC143" s="494" t="str">
        <f t="shared" si="853"/>
        <v/>
      </c>
      <c r="DD143" s="495" t="str">
        <f t="shared" si="659"/>
        <v/>
      </c>
      <c r="DE143" s="496" t="str">
        <f t="shared" si="854"/>
        <v/>
      </c>
      <c r="DF143" s="494" t="str">
        <f t="shared" si="854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4"/>
        <v/>
      </c>
      <c r="FB143" s="494" t="str">
        <f t="shared" si="775"/>
        <v/>
      </c>
      <c r="FC143" s="497" t="str">
        <f t="shared" si="776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8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1"/>
        <v/>
      </c>
      <c r="GV143" s="343" t="str">
        <f t="shared" si="991"/>
        <v/>
      </c>
      <c r="GW143" s="345" t="str">
        <f t="shared" si="792"/>
        <v/>
      </c>
      <c r="GX143" s="346" t="str">
        <f t="shared" si="793"/>
        <v/>
      </c>
      <c r="GY143" s="344" t="str">
        <f t="shared" si="992"/>
        <v/>
      </c>
      <c r="GZ143" s="345" t="str">
        <f t="shared" si="993"/>
        <v/>
      </c>
      <c r="HA143" s="342" t="str">
        <f t="shared" si="796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7"/>
        <v/>
      </c>
      <c r="HF143" s="5" t="str">
        <f t="shared" si="798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23" t="str">
        <f t="shared" si="1035"/>
        <v/>
      </c>
      <c r="HN143" s="924" t="str">
        <f t="shared" si="1036"/>
        <v/>
      </c>
      <c r="HO143" s="925"/>
      <c r="HP143" s="926"/>
      <c r="HQ143" s="924" t="str">
        <f t="shared" si="1037"/>
        <v/>
      </c>
      <c r="HR143" s="927" t="str">
        <f t="shared" si="1038"/>
        <v/>
      </c>
      <c r="HS143" s="879" t="str">
        <f t="shared" si="998"/>
        <v/>
      </c>
      <c r="HT143" s="889" t="str">
        <f t="shared" si="1039"/>
        <v/>
      </c>
      <c r="HU143" s="890" t="str">
        <f t="shared" si="1040"/>
        <v/>
      </c>
      <c r="HV143" s="886" t="str">
        <f t="shared" si="1041"/>
        <v/>
      </c>
      <c r="HW143" s="880" t="str">
        <f t="shared" si="1042"/>
        <v/>
      </c>
      <c r="HX143" s="881" t="str">
        <f t="shared" si="1043"/>
        <v/>
      </c>
      <c r="HY143" s="880" t="str">
        <f t="shared" si="1044"/>
        <v/>
      </c>
      <c r="HZ143" s="882" t="str">
        <f t="shared" si="1045"/>
        <v/>
      </c>
      <c r="IA143" s="883" t="str">
        <f t="shared" si="1046"/>
        <v/>
      </c>
      <c r="IB143" s="884" t="str">
        <f t="shared" si="1047"/>
        <v/>
      </c>
      <c r="IC143" s="855" t="str">
        <f t="shared" si="1048"/>
        <v/>
      </c>
      <c r="ID143" s="351" t="str">
        <f t="shared" si="1049"/>
        <v/>
      </c>
      <c r="IE143" s="857" t="str">
        <f t="shared" si="1050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66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51"/>
        <v/>
      </c>
      <c r="IM143" s="482" t="str">
        <f t="shared" si="1067"/>
        <v/>
      </c>
      <c r="IN143" s="670" t="str">
        <f t="shared" si="1052"/>
        <v/>
      </c>
      <c r="IO143" s="702"/>
      <c r="IP143" s="5" t="str">
        <f t="shared" si="1053"/>
        <v/>
      </c>
      <c r="IQ143" s="714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70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705" t="str">
        <f t="shared" si="1063"/>
        <v/>
      </c>
    </row>
    <row r="144" spans="1:261" ht="15" customHeight="1" x14ac:dyDescent="0.25">
      <c r="A144" s="75" t="str">
        <f t="shared" si="999"/>
        <v/>
      </c>
      <c r="B144" s="585" t="str">
        <f t="shared" si="1000"/>
        <v/>
      </c>
      <c r="C144" s="582" t="str">
        <f t="shared" si="1001"/>
        <v/>
      </c>
      <c r="D144" s="583" t="str">
        <f t="shared" si="1002"/>
        <v/>
      </c>
      <c r="E144" s="588" t="str">
        <f t="shared" si="1003"/>
        <v/>
      </c>
      <c r="F144" s="582" t="str">
        <f t="shared" si="1004"/>
        <v/>
      </c>
      <c r="G144" s="586" t="str">
        <f t="shared" si="1005"/>
        <v/>
      </c>
      <c r="H144" s="588" t="str">
        <f t="shared" si="1006"/>
        <v/>
      </c>
      <c r="I144" s="582" t="str">
        <f t="shared" si="1007"/>
        <v/>
      </c>
      <c r="J144" s="491" t="str">
        <f t="shared" si="1008"/>
        <v/>
      </c>
      <c r="K144" s="807" t="str">
        <f t="shared" si="1009"/>
        <v/>
      </c>
      <c r="L144" s="309"/>
      <c r="M144" s="492" t="str">
        <f t="shared" si="1010"/>
        <v/>
      </c>
      <c r="N144" s="581" t="str">
        <f t="shared" si="1011"/>
        <v/>
      </c>
      <c r="O144" s="582" t="str">
        <f t="shared" si="1012"/>
        <v/>
      </c>
      <c r="P144" s="583" t="str">
        <f t="shared" si="1013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14"/>
        <v/>
      </c>
      <c r="AA144" s="582" t="str">
        <f t="shared" si="1015"/>
        <v/>
      </c>
      <c r="AB144" s="582" t="str">
        <f t="shared" si="1016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17"/>
        <v/>
      </c>
      <c r="AS144" s="947" t="str">
        <f t="shared" si="1065"/>
        <v/>
      </c>
      <c r="AT144" s="943" t="str">
        <f t="shared" si="1018"/>
        <v/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1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2"/>
        <v/>
      </c>
      <c r="BP144" s="494" t="str">
        <f t="shared" si="883"/>
        <v/>
      </c>
      <c r="BQ144" s="494" t="str">
        <f t="shared" si="884"/>
        <v/>
      </c>
      <c r="BR144" s="497" t="str">
        <f t="shared" si="885"/>
        <v/>
      </c>
      <c r="BS144" s="498" t="str">
        <f t="shared" si="849"/>
        <v/>
      </c>
      <c r="BT144" s="494" t="str">
        <f t="shared" si="84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0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3"/>
        <v/>
      </c>
      <c r="DC144" s="494" t="str">
        <f t="shared" si="853"/>
        <v/>
      </c>
      <c r="DD144" s="495" t="str">
        <f t="shared" si="659"/>
        <v/>
      </c>
      <c r="DE144" s="496" t="str">
        <f t="shared" si="854"/>
        <v/>
      </c>
      <c r="DF144" s="494" t="str">
        <f t="shared" si="854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4"/>
        <v/>
      </c>
      <c r="FB144" s="494" t="str">
        <f t="shared" si="775"/>
        <v/>
      </c>
      <c r="FC144" s="497" t="str">
        <f t="shared" si="776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8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1"/>
        <v/>
      </c>
      <c r="GV144" s="343" t="str">
        <f t="shared" si="991"/>
        <v/>
      </c>
      <c r="GW144" s="345" t="str">
        <f t="shared" si="792"/>
        <v/>
      </c>
      <c r="GX144" s="346" t="str">
        <f t="shared" si="793"/>
        <v/>
      </c>
      <c r="GY144" s="344" t="str">
        <f t="shared" si="992"/>
        <v/>
      </c>
      <c r="GZ144" s="345" t="str">
        <f t="shared" si="993"/>
        <v/>
      </c>
      <c r="HA144" s="342" t="str">
        <f t="shared" si="796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7"/>
        <v/>
      </c>
      <c r="HF144" s="5" t="str">
        <f t="shared" si="798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23" t="str">
        <f t="shared" si="1035"/>
        <v/>
      </c>
      <c r="HN144" s="924" t="str">
        <f t="shared" si="1036"/>
        <v/>
      </c>
      <c r="HO144" s="925"/>
      <c r="HP144" s="926"/>
      <c r="HQ144" s="924" t="str">
        <f t="shared" si="1037"/>
        <v/>
      </c>
      <c r="HR144" s="927" t="str">
        <f t="shared" si="1038"/>
        <v/>
      </c>
      <c r="HS144" s="879" t="str">
        <f t="shared" si="998"/>
        <v/>
      </c>
      <c r="HT144" s="889" t="str">
        <f t="shared" si="1039"/>
        <v/>
      </c>
      <c r="HU144" s="890" t="str">
        <f t="shared" si="1040"/>
        <v/>
      </c>
      <c r="HV144" s="886" t="str">
        <f t="shared" si="1041"/>
        <v/>
      </c>
      <c r="HW144" s="880" t="str">
        <f t="shared" si="1042"/>
        <v/>
      </c>
      <c r="HX144" s="881" t="str">
        <f t="shared" si="1043"/>
        <v/>
      </c>
      <c r="HY144" s="880" t="str">
        <f t="shared" si="1044"/>
        <v/>
      </c>
      <c r="HZ144" s="882" t="str">
        <f t="shared" si="1045"/>
        <v/>
      </c>
      <c r="IA144" s="883" t="str">
        <f t="shared" si="1046"/>
        <v/>
      </c>
      <c r="IB144" s="884" t="str">
        <f t="shared" si="1047"/>
        <v/>
      </c>
      <c r="IC144" s="855" t="str">
        <f t="shared" si="1048"/>
        <v/>
      </c>
      <c r="ID144" s="351" t="str">
        <f t="shared" si="1049"/>
        <v/>
      </c>
      <c r="IE144" s="857" t="str">
        <f t="shared" si="1050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66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51"/>
        <v/>
      </c>
      <c r="IM144" s="482" t="str">
        <f t="shared" si="1067"/>
        <v/>
      </c>
      <c r="IN144" s="670" t="str">
        <f t="shared" si="1052"/>
        <v/>
      </c>
      <c r="IO144" s="702"/>
      <c r="IP144" s="5" t="str">
        <f t="shared" si="1053"/>
        <v/>
      </c>
      <c r="IQ144" s="714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70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705" t="str">
        <f t="shared" si="1063"/>
        <v/>
      </c>
    </row>
    <row r="145" spans="1:261" ht="15" customHeight="1" x14ac:dyDescent="0.25">
      <c r="A145" s="75" t="str">
        <f t="shared" si="999"/>
        <v/>
      </c>
      <c r="B145" s="585" t="str">
        <f t="shared" si="1000"/>
        <v/>
      </c>
      <c r="C145" s="582" t="str">
        <f t="shared" si="1001"/>
        <v/>
      </c>
      <c r="D145" s="583" t="str">
        <f t="shared" si="1002"/>
        <v/>
      </c>
      <c r="E145" s="588" t="str">
        <f t="shared" si="1003"/>
        <v/>
      </c>
      <c r="F145" s="582" t="str">
        <f t="shared" si="1004"/>
        <v/>
      </c>
      <c r="G145" s="586" t="str">
        <f t="shared" si="1005"/>
        <v/>
      </c>
      <c r="H145" s="588" t="str">
        <f t="shared" si="1006"/>
        <v/>
      </c>
      <c r="I145" s="582" t="str">
        <f t="shared" si="1007"/>
        <v/>
      </c>
      <c r="J145" s="491" t="str">
        <f t="shared" si="1008"/>
        <v/>
      </c>
      <c r="K145" s="807" t="str">
        <f t="shared" si="1009"/>
        <v/>
      </c>
      <c r="L145" s="309"/>
      <c r="M145" s="492" t="str">
        <f t="shared" si="1010"/>
        <v/>
      </c>
      <c r="N145" s="581" t="str">
        <f t="shared" si="1011"/>
        <v/>
      </c>
      <c r="O145" s="582" t="str">
        <f t="shared" si="1012"/>
        <v/>
      </c>
      <c r="P145" s="583" t="str">
        <f t="shared" si="1013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14"/>
        <v/>
      </c>
      <c r="AA145" s="582" t="str">
        <f t="shared" si="1015"/>
        <v/>
      </c>
      <c r="AB145" s="582" t="str">
        <f t="shared" si="1016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17"/>
        <v/>
      </c>
      <c r="AS145" s="947" t="str">
        <f t="shared" si="1065"/>
        <v/>
      </c>
      <c r="AT145" s="943" t="str">
        <f t="shared" si="1018"/>
        <v/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1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2"/>
        <v/>
      </c>
      <c r="BP145" s="494" t="str">
        <f t="shared" si="883"/>
        <v/>
      </c>
      <c r="BQ145" s="494" t="str">
        <f t="shared" si="884"/>
        <v/>
      </c>
      <c r="BR145" s="497" t="str">
        <f t="shared" si="885"/>
        <v/>
      </c>
      <c r="BS145" s="498" t="str">
        <f t="shared" si="849"/>
        <v/>
      </c>
      <c r="BT145" s="494" t="str">
        <f t="shared" si="84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0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3"/>
        <v/>
      </c>
      <c r="DC145" s="494" t="str">
        <f t="shared" si="853"/>
        <v/>
      </c>
      <c r="DD145" s="495" t="str">
        <f t="shared" si="659"/>
        <v/>
      </c>
      <c r="DE145" s="496" t="str">
        <f t="shared" si="854"/>
        <v/>
      </c>
      <c r="DF145" s="494" t="str">
        <f t="shared" si="854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4"/>
        <v/>
      </c>
      <c r="FB145" s="494" t="str">
        <f t="shared" si="775"/>
        <v/>
      </c>
      <c r="FC145" s="497" t="str">
        <f t="shared" si="776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8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1"/>
        <v/>
      </c>
      <c r="GV145" s="343" t="str">
        <f t="shared" si="991"/>
        <v/>
      </c>
      <c r="GW145" s="345" t="str">
        <f t="shared" si="792"/>
        <v/>
      </c>
      <c r="GX145" s="346" t="str">
        <f t="shared" si="793"/>
        <v/>
      </c>
      <c r="GY145" s="344" t="str">
        <f t="shared" si="992"/>
        <v/>
      </c>
      <c r="GZ145" s="345" t="str">
        <f t="shared" si="993"/>
        <v/>
      </c>
      <c r="HA145" s="342" t="str">
        <f t="shared" si="796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7"/>
        <v/>
      </c>
      <c r="HF145" s="5" t="str">
        <f t="shared" si="798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23" t="str">
        <f t="shared" si="1035"/>
        <v/>
      </c>
      <c r="HN145" s="924" t="str">
        <f t="shared" si="1036"/>
        <v/>
      </c>
      <c r="HO145" s="925"/>
      <c r="HP145" s="926"/>
      <c r="HQ145" s="924" t="str">
        <f t="shared" si="1037"/>
        <v/>
      </c>
      <c r="HR145" s="927" t="str">
        <f t="shared" si="1038"/>
        <v/>
      </c>
      <c r="HS145" s="879" t="str">
        <f t="shared" si="998"/>
        <v/>
      </c>
      <c r="HT145" s="889" t="str">
        <f t="shared" si="1039"/>
        <v/>
      </c>
      <c r="HU145" s="890" t="str">
        <f t="shared" si="1040"/>
        <v/>
      </c>
      <c r="HV145" s="886" t="str">
        <f t="shared" si="1041"/>
        <v/>
      </c>
      <c r="HW145" s="880" t="str">
        <f t="shared" si="1042"/>
        <v/>
      </c>
      <c r="HX145" s="881" t="str">
        <f t="shared" si="1043"/>
        <v/>
      </c>
      <c r="HY145" s="880" t="str">
        <f t="shared" si="1044"/>
        <v/>
      </c>
      <c r="HZ145" s="882" t="str">
        <f t="shared" si="1045"/>
        <v/>
      </c>
      <c r="IA145" s="883" t="str">
        <f t="shared" si="1046"/>
        <v/>
      </c>
      <c r="IB145" s="884" t="str">
        <f t="shared" si="1047"/>
        <v/>
      </c>
      <c r="IC145" s="855" t="str">
        <f t="shared" si="1048"/>
        <v/>
      </c>
      <c r="ID145" s="351" t="str">
        <f t="shared" si="1049"/>
        <v/>
      </c>
      <c r="IE145" s="857" t="str">
        <f t="shared" si="1050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66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51"/>
        <v/>
      </c>
      <c r="IM145" s="482" t="str">
        <f t="shared" si="1067"/>
        <v/>
      </c>
      <c r="IN145" s="670" t="str">
        <f t="shared" si="1052"/>
        <v/>
      </c>
      <c r="IO145" s="702"/>
      <c r="IP145" s="5" t="str">
        <f t="shared" si="1053"/>
        <v/>
      </c>
      <c r="IQ145" s="714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70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705" t="str">
        <f t="shared" si="1063"/>
        <v/>
      </c>
    </row>
    <row r="146" spans="1:261" ht="15" customHeight="1" x14ac:dyDescent="0.25">
      <c r="A146" s="75" t="str">
        <f t="shared" si="999"/>
        <v/>
      </c>
      <c r="B146" s="585" t="str">
        <f t="shared" si="1000"/>
        <v/>
      </c>
      <c r="C146" s="582" t="str">
        <f t="shared" si="1001"/>
        <v/>
      </c>
      <c r="D146" s="583" t="str">
        <f t="shared" si="1002"/>
        <v/>
      </c>
      <c r="E146" s="588" t="str">
        <f t="shared" si="1003"/>
        <v/>
      </c>
      <c r="F146" s="582" t="str">
        <f t="shared" si="1004"/>
        <v/>
      </c>
      <c r="G146" s="586" t="str">
        <f t="shared" si="1005"/>
        <v/>
      </c>
      <c r="H146" s="588" t="str">
        <f t="shared" si="1006"/>
        <v/>
      </c>
      <c r="I146" s="582" t="str">
        <f t="shared" si="1007"/>
        <v/>
      </c>
      <c r="J146" s="491" t="str">
        <f t="shared" si="1008"/>
        <v/>
      </c>
      <c r="K146" s="807" t="str">
        <f t="shared" si="1009"/>
        <v/>
      </c>
      <c r="L146" s="309"/>
      <c r="M146" s="492" t="str">
        <f t="shared" si="1010"/>
        <v/>
      </c>
      <c r="N146" s="581" t="str">
        <f t="shared" si="1011"/>
        <v/>
      </c>
      <c r="O146" s="582" t="str">
        <f t="shared" si="1012"/>
        <v/>
      </c>
      <c r="P146" s="583" t="str">
        <f t="shared" si="1013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14"/>
        <v/>
      </c>
      <c r="AA146" s="582" t="str">
        <f t="shared" si="1015"/>
        <v/>
      </c>
      <c r="AB146" s="582" t="str">
        <f t="shared" si="1016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17"/>
        <v/>
      </c>
      <c r="AS146" s="947" t="str">
        <f t="shared" si="1065"/>
        <v/>
      </c>
      <c r="AT146" s="943" t="str">
        <f t="shared" si="1018"/>
        <v/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1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2"/>
        <v/>
      </c>
      <c r="BP146" s="494" t="str">
        <f t="shared" si="883"/>
        <v/>
      </c>
      <c r="BQ146" s="494" t="str">
        <f t="shared" si="884"/>
        <v/>
      </c>
      <c r="BR146" s="497" t="str">
        <f t="shared" si="885"/>
        <v/>
      </c>
      <c r="BS146" s="498" t="str">
        <f t="shared" si="849"/>
        <v/>
      </c>
      <c r="BT146" s="494" t="str">
        <f t="shared" si="84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0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3"/>
        <v/>
      </c>
      <c r="DC146" s="494" t="str">
        <f t="shared" si="853"/>
        <v/>
      </c>
      <c r="DD146" s="495" t="str">
        <f t="shared" si="659"/>
        <v/>
      </c>
      <c r="DE146" s="496" t="str">
        <f t="shared" si="854"/>
        <v/>
      </c>
      <c r="DF146" s="494" t="str">
        <f t="shared" si="854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4"/>
        <v/>
      </c>
      <c r="FB146" s="494" t="str">
        <f t="shared" si="775"/>
        <v/>
      </c>
      <c r="FC146" s="497" t="str">
        <f t="shared" si="776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8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1"/>
        <v/>
      </c>
      <c r="GV146" s="343" t="str">
        <f t="shared" si="991"/>
        <v/>
      </c>
      <c r="GW146" s="345" t="str">
        <f t="shared" si="792"/>
        <v/>
      </c>
      <c r="GX146" s="346" t="str">
        <f t="shared" si="793"/>
        <v/>
      </c>
      <c r="GY146" s="344" t="str">
        <f t="shared" si="992"/>
        <v/>
      </c>
      <c r="GZ146" s="345" t="str">
        <f t="shared" si="993"/>
        <v/>
      </c>
      <c r="HA146" s="342" t="str">
        <f t="shared" si="796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7"/>
        <v/>
      </c>
      <c r="HF146" s="5" t="str">
        <f t="shared" si="798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23" t="str">
        <f t="shared" si="1035"/>
        <v/>
      </c>
      <c r="HN146" s="924" t="str">
        <f t="shared" si="1036"/>
        <v/>
      </c>
      <c r="HO146" s="925"/>
      <c r="HP146" s="926"/>
      <c r="HQ146" s="924" t="str">
        <f t="shared" si="1037"/>
        <v/>
      </c>
      <c r="HR146" s="927" t="str">
        <f t="shared" si="1038"/>
        <v/>
      </c>
      <c r="HS146" s="879" t="str">
        <f t="shared" si="998"/>
        <v/>
      </c>
      <c r="HT146" s="889" t="str">
        <f t="shared" si="1039"/>
        <v/>
      </c>
      <c r="HU146" s="890" t="str">
        <f t="shared" si="1040"/>
        <v/>
      </c>
      <c r="HV146" s="886" t="str">
        <f t="shared" si="1041"/>
        <v/>
      </c>
      <c r="HW146" s="880" t="str">
        <f t="shared" si="1042"/>
        <v/>
      </c>
      <c r="HX146" s="881" t="str">
        <f t="shared" si="1043"/>
        <v/>
      </c>
      <c r="HY146" s="880" t="str">
        <f t="shared" si="1044"/>
        <v/>
      </c>
      <c r="HZ146" s="882" t="str">
        <f t="shared" si="1045"/>
        <v/>
      </c>
      <c r="IA146" s="883" t="str">
        <f t="shared" si="1046"/>
        <v/>
      </c>
      <c r="IB146" s="884" t="str">
        <f t="shared" si="1047"/>
        <v/>
      </c>
      <c r="IC146" s="855" t="str">
        <f t="shared" si="1048"/>
        <v/>
      </c>
      <c r="ID146" s="351" t="str">
        <f t="shared" si="1049"/>
        <v/>
      </c>
      <c r="IE146" s="857" t="str">
        <f t="shared" si="1050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66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51"/>
        <v/>
      </c>
      <c r="IM146" s="482" t="str">
        <f t="shared" si="1067"/>
        <v/>
      </c>
      <c r="IN146" s="670" t="str">
        <f t="shared" si="1052"/>
        <v/>
      </c>
      <c r="IO146" s="702"/>
      <c r="IP146" s="5" t="str">
        <f t="shared" si="1053"/>
        <v/>
      </c>
      <c r="IQ146" s="714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70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705" t="str">
        <f t="shared" si="1063"/>
        <v/>
      </c>
    </row>
    <row r="147" spans="1:261" ht="15" customHeight="1" x14ac:dyDescent="0.25">
      <c r="A147" s="75" t="str">
        <f t="shared" si="999"/>
        <v/>
      </c>
      <c r="B147" s="585" t="str">
        <f t="shared" si="1000"/>
        <v/>
      </c>
      <c r="C147" s="582" t="str">
        <f t="shared" si="1001"/>
        <v/>
      </c>
      <c r="D147" s="583" t="str">
        <f t="shared" si="1002"/>
        <v/>
      </c>
      <c r="E147" s="588" t="str">
        <f t="shared" si="1003"/>
        <v/>
      </c>
      <c r="F147" s="582" t="str">
        <f t="shared" si="1004"/>
        <v/>
      </c>
      <c r="G147" s="586" t="str">
        <f t="shared" si="1005"/>
        <v/>
      </c>
      <c r="H147" s="588" t="str">
        <f t="shared" si="1006"/>
        <v/>
      </c>
      <c r="I147" s="582" t="str">
        <f t="shared" si="1007"/>
        <v/>
      </c>
      <c r="J147" s="491" t="str">
        <f t="shared" si="1008"/>
        <v/>
      </c>
      <c r="K147" s="807" t="str">
        <f t="shared" si="1009"/>
        <v/>
      </c>
      <c r="L147" s="309"/>
      <c r="M147" s="492" t="str">
        <f t="shared" si="1010"/>
        <v/>
      </c>
      <c r="N147" s="581" t="str">
        <f t="shared" si="1011"/>
        <v/>
      </c>
      <c r="O147" s="582" t="str">
        <f t="shared" si="1012"/>
        <v/>
      </c>
      <c r="P147" s="583" t="str">
        <f t="shared" si="1013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14"/>
        <v/>
      </c>
      <c r="AA147" s="582" t="str">
        <f t="shared" si="1015"/>
        <v/>
      </c>
      <c r="AB147" s="582" t="str">
        <f t="shared" si="1016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17"/>
        <v/>
      </c>
      <c r="AS147" s="947" t="str">
        <f t="shared" si="1065"/>
        <v/>
      </c>
      <c r="AT147" s="943" t="str">
        <f t="shared" si="1018"/>
        <v/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1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2"/>
        <v/>
      </c>
      <c r="BP147" s="494" t="str">
        <f t="shared" si="883"/>
        <v/>
      </c>
      <c r="BQ147" s="494" t="str">
        <f t="shared" si="884"/>
        <v/>
      </c>
      <c r="BR147" s="497" t="str">
        <f t="shared" si="885"/>
        <v/>
      </c>
      <c r="BS147" s="498" t="str">
        <f t="shared" si="849"/>
        <v/>
      </c>
      <c r="BT147" s="494" t="str">
        <f t="shared" si="84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0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3"/>
        <v/>
      </c>
      <c r="DC147" s="494" t="str">
        <f t="shared" si="853"/>
        <v/>
      </c>
      <c r="DD147" s="495" t="str">
        <f t="shared" si="659"/>
        <v/>
      </c>
      <c r="DE147" s="496" t="str">
        <f t="shared" si="854"/>
        <v/>
      </c>
      <c r="DF147" s="494" t="str">
        <f t="shared" si="854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4"/>
        <v/>
      </c>
      <c r="FB147" s="494" t="str">
        <f t="shared" si="775"/>
        <v/>
      </c>
      <c r="FC147" s="497" t="str">
        <f t="shared" si="776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8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1"/>
        <v/>
      </c>
      <c r="GV147" s="343" t="str">
        <f t="shared" si="991"/>
        <v/>
      </c>
      <c r="GW147" s="345" t="str">
        <f t="shared" si="792"/>
        <v/>
      </c>
      <c r="GX147" s="346" t="str">
        <f t="shared" si="793"/>
        <v/>
      </c>
      <c r="GY147" s="344" t="str">
        <f t="shared" si="992"/>
        <v/>
      </c>
      <c r="GZ147" s="345" t="str">
        <f t="shared" si="993"/>
        <v/>
      </c>
      <c r="HA147" s="342" t="str">
        <f t="shared" si="796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7"/>
        <v/>
      </c>
      <c r="HF147" s="5" t="str">
        <f t="shared" si="798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23" t="str">
        <f t="shared" si="1035"/>
        <v/>
      </c>
      <c r="HN147" s="924" t="str">
        <f t="shared" si="1036"/>
        <v/>
      </c>
      <c r="HO147" s="925"/>
      <c r="HP147" s="926"/>
      <c r="HQ147" s="924" t="str">
        <f t="shared" si="1037"/>
        <v/>
      </c>
      <c r="HR147" s="927" t="str">
        <f t="shared" si="1038"/>
        <v/>
      </c>
      <c r="HS147" s="879" t="str">
        <f t="shared" si="998"/>
        <v/>
      </c>
      <c r="HT147" s="889" t="str">
        <f t="shared" si="1039"/>
        <v/>
      </c>
      <c r="HU147" s="890" t="str">
        <f t="shared" si="1040"/>
        <v/>
      </c>
      <c r="HV147" s="886" t="str">
        <f t="shared" si="1041"/>
        <v/>
      </c>
      <c r="HW147" s="880" t="str">
        <f t="shared" si="1042"/>
        <v/>
      </c>
      <c r="HX147" s="881" t="str">
        <f t="shared" si="1043"/>
        <v/>
      </c>
      <c r="HY147" s="880" t="str">
        <f t="shared" si="1044"/>
        <v/>
      </c>
      <c r="HZ147" s="882" t="str">
        <f t="shared" si="1045"/>
        <v/>
      </c>
      <c r="IA147" s="883" t="str">
        <f t="shared" si="1046"/>
        <v/>
      </c>
      <c r="IB147" s="884" t="str">
        <f t="shared" si="1047"/>
        <v/>
      </c>
      <c r="IC147" s="855" t="str">
        <f t="shared" si="1048"/>
        <v/>
      </c>
      <c r="ID147" s="351" t="str">
        <f t="shared" si="1049"/>
        <v/>
      </c>
      <c r="IE147" s="857" t="str">
        <f t="shared" si="1050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66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51"/>
        <v/>
      </c>
      <c r="IM147" s="482" t="str">
        <f t="shared" si="1067"/>
        <v/>
      </c>
      <c r="IN147" s="670" t="str">
        <f t="shared" si="1052"/>
        <v/>
      </c>
      <c r="IO147" s="702"/>
      <c r="IP147" s="5" t="str">
        <f t="shared" si="1053"/>
        <v/>
      </c>
      <c r="IQ147" s="714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70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705" t="str">
        <f t="shared" si="1063"/>
        <v/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17"/>
        <v/>
      </c>
      <c r="AS148" s="947" t="str">
        <f t="shared" si="1065"/>
        <v/>
      </c>
      <c r="AT148" s="943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1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2"/>
        <v/>
      </c>
      <c r="BP148" s="494" t="str">
        <f t="shared" si="883"/>
        <v/>
      </c>
      <c r="BQ148" s="494" t="str">
        <f t="shared" si="884"/>
        <v/>
      </c>
      <c r="BR148" s="497" t="str">
        <f t="shared" si="885"/>
        <v/>
      </c>
      <c r="BS148" s="498" t="str">
        <f t="shared" si="849"/>
        <v/>
      </c>
      <c r="BT148" s="494" t="str">
        <f t="shared" si="84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0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3"/>
        <v/>
      </c>
      <c r="DC148" s="494" t="str">
        <f t="shared" si="853"/>
        <v/>
      </c>
      <c r="DD148" s="495" t="str">
        <f t="shared" si="659"/>
        <v/>
      </c>
      <c r="DE148" s="496" t="str">
        <f t="shared" si="854"/>
        <v/>
      </c>
      <c r="DF148" s="494" t="str">
        <f t="shared" si="854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4"/>
        <v/>
      </c>
      <c r="FB148" s="494" t="str">
        <f t="shared" si="775"/>
        <v/>
      </c>
      <c r="FC148" s="497" t="str">
        <f t="shared" si="776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8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1"/>
        <v/>
      </c>
      <c r="GV148" s="343" t="str">
        <f t="shared" si="991"/>
        <v/>
      </c>
      <c r="GW148" s="345" t="str">
        <f t="shared" si="792"/>
        <v/>
      </c>
      <c r="GX148" s="346" t="str">
        <f t="shared" si="793"/>
        <v/>
      </c>
      <c r="GY148" s="344" t="str">
        <f t="shared" si="992"/>
        <v/>
      </c>
      <c r="GZ148" s="345" t="str">
        <f t="shared" si="993"/>
        <v/>
      </c>
      <c r="HA148" s="342" t="str">
        <f t="shared" si="796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7"/>
        <v/>
      </c>
      <c r="HF148" s="5" t="str">
        <f t="shared" si="798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23" t="str">
        <f t="shared" si="1035"/>
        <v/>
      </c>
      <c r="HN148" s="924" t="str">
        <f t="shared" si="1036"/>
        <v/>
      </c>
      <c r="HO148" s="925"/>
      <c r="HP148" s="926"/>
      <c r="HQ148" s="924" t="str">
        <f t="shared" si="1037"/>
        <v/>
      </c>
      <c r="HR148" s="927" t="str">
        <f t="shared" si="1038"/>
        <v/>
      </c>
      <c r="HS148" s="879" t="str">
        <f t="shared" si="998"/>
        <v/>
      </c>
      <c r="HT148" s="889" t="str">
        <f t="shared" si="1039"/>
        <v/>
      </c>
      <c r="HU148" s="890" t="str">
        <f t="shared" si="1040"/>
        <v/>
      </c>
      <c r="HV148" s="886" t="str">
        <f t="shared" si="1041"/>
        <v/>
      </c>
      <c r="HW148" s="880" t="str">
        <f t="shared" si="1042"/>
        <v/>
      </c>
      <c r="HX148" s="881" t="str">
        <f t="shared" si="1043"/>
        <v/>
      </c>
      <c r="HY148" s="880" t="str">
        <f t="shared" si="1044"/>
        <v/>
      </c>
      <c r="HZ148" s="882" t="str">
        <f t="shared" si="1045"/>
        <v/>
      </c>
      <c r="IA148" s="883" t="str">
        <f t="shared" si="1046"/>
        <v/>
      </c>
      <c r="IB148" s="884" t="str">
        <f t="shared" si="1047"/>
        <v/>
      </c>
      <c r="IC148" s="855" t="str">
        <f t="shared" si="1048"/>
        <v/>
      </c>
      <c r="ID148" s="351" t="str">
        <f t="shared" si="1049"/>
        <v/>
      </c>
      <c r="IE148" s="857" t="str">
        <f t="shared" si="1050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17"/>
        <v/>
      </c>
      <c r="AS149" s="947" t="str">
        <f t="shared" si="1065"/>
        <v/>
      </c>
      <c r="AT149" s="943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1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2"/>
        <v/>
      </c>
      <c r="BP149" s="494" t="str">
        <f t="shared" si="883"/>
        <v/>
      </c>
      <c r="BQ149" s="494" t="str">
        <f t="shared" si="884"/>
        <v/>
      </c>
      <c r="BR149" s="497" t="str">
        <f t="shared" si="885"/>
        <v/>
      </c>
      <c r="BS149" s="498" t="str">
        <f t="shared" si="849"/>
        <v/>
      </c>
      <c r="BT149" s="494" t="str">
        <f t="shared" si="84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0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3"/>
        <v/>
      </c>
      <c r="DC149" s="494" t="str">
        <f t="shared" si="853"/>
        <v/>
      </c>
      <c r="DD149" s="495" t="str">
        <f t="shared" si="659"/>
        <v/>
      </c>
      <c r="DE149" s="496" t="str">
        <f t="shared" si="854"/>
        <v/>
      </c>
      <c r="DF149" s="494" t="str">
        <f t="shared" si="854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4"/>
        <v/>
      </c>
      <c r="FB149" s="494" t="str">
        <f t="shared" si="775"/>
        <v/>
      </c>
      <c r="FC149" s="497" t="str">
        <f t="shared" si="776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8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1"/>
        <v/>
      </c>
      <c r="GV149" s="343" t="str">
        <f t="shared" si="991"/>
        <v/>
      </c>
      <c r="GW149" s="345" t="str">
        <f t="shared" si="792"/>
        <v/>
      </c>
      <c r="GX149" s="346" t="str">
        <f t="shared" si="793"/>
        <v/>
      </c>
      <c r="GY149" s="344" t="str">
        <f t="shared" si="992"/>
        <v/>
      </c>
      <c r="GZ149" s="345" t="str">
        <f t="shared" si="993"/>
        <v/>
      </c>
      <c r="HA149" s="342" t="str">
        <f t="shared" si="796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7"/>
        <v/>
      </c>
      <c r="HF149" s="5" t="str">
        <f t="shared" si="798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23" t="str">
        <f t="shared" si="1035"/>
        <v/>
      </c>
      <c r="HN149" s="924" t="str">
        <f t="shared" si="1036"/>
        <v/>
      </c>
      <c r="HO149" s="925"/>
      <c r="HP149" s="926"/>
      <c r="HQ149" s="924" t="str">
        <f t="shared" si="1037"/>
        <v/>
      </c>
      <c r="HR149" s="927" t="str">
        <f t="shared" si="1038"/>
        <v/>
      </c>
      <c r="HS149" s="879" t="str">
        <f t="shared" si="998"/>
        <v/>
      </c>
      <c r="HT149" s="889" t="str">
        <f t="shared" si="1039"/>
        <v/>
      </c>
      <c r="HU149" s="890" t="str">
        <f t="shared" si="1040"/>
        <v/>
      </c>
      <c r="HV149" s="886" t="str">
        <f t="shared" si="1041"/>
        <v/>
      </c>
      <c r="HW149" s="880" t="str">
        <f t="shared" si="1042"/>
        <v/>
      </c>
      <c r="HX149" s="881" t="str">
        <f t="shared" si="1043"/>
        <v/>
      </c>
      <c r="HY149" s="880" t="str">
        <f t="shared" si="1044"/>
        <v/>
      </c>
      <c r="HZ149" s="882" t="str">
        <f t="shared" si="1045"/>
        <v/>
      </c>
      <c r="IA149" s="883" t="str">
        <f t="shared" si="1046"/>
        <v/>
      </c>
      <c r="IB149" s="884" t="str">
        <f t="shared" si="1047"/>
        <v/>
      </c>
      <c r="IC149" s="855" t="str">
        <f t="shared" si="1048"/>
        <v/>
      </c>
      <c r="ID149" s="351" t="str">
        <f t="shared" si="1049"/>
        <v/>
      </c>
      <c r="IE149" s="857" t="str">
        <f t="shared" si="1050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17"/>
        <v/>
      </c>
      <c r="AS150" s="948" t="str">
        <f t="shared" si="1065"/>
        <v/>
      </c>
      <c r="AT150" s="944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1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2"/>
        <v/>
      </c>
      <c r="BP150" s="13" t="str">
        <f t="shared" si="883"/>
        <v/>
      </c>
      <c r="BQ150" s="13" t="str">
        <f t="shared" si="884"/>
        <v/>
      </c>
      <c r="BR150" s="14" t="str">
        <f t="shared" si="885"/>
        <v/>
      </c>
      <c r="BS150" s="12" t="str">
        <f t="shared" si="849"/>
        <v/>
      </c>
      <c r="BT150" s="13" t="str">
        <f t="shared" si="84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0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3"/>
        <v/>
      </c>
      <c r="DC150" s="13" t="str">
        <f t="shared" si="853"/>
        <v/>
      </c>
      <c r="DD150" s="18" t="str">
        <f t="shared" si="659"/>
        <v/>
      </c>
      <c r="DE150" s="17" t="str">
        <f t="shared" si="854"/>
        <v/>
      </c>
      <c r="DF150" s="13" t="str">
        <f t="shared" si="854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4"/>
        <v/>
      </c>
      <c r="FB150" s="256" t="str">
        <f t="shared" si="775"/>
        <v/>
      </c>
      <c r="FC150" s="259" t="str">
        <f t="shared" si="776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8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1"/>
        <v/>
      </c>
      <c r="GV150" s="343" t="str">
        <f t="shared" si="991"/>
        <v/>
      </c>
      <c r="GW150" s="345" t="str">
        <f t="shared" si="792"/>
        <v/>
      </c>
      <c r="GX150" s="346" t="str">
        <f t="shared" si="793"/>
        <v/>
      </c>
      <c r="GY150" s="344" t="str">
        <f t="shared" si="992"/>
        <v/>
      </c>
      <c r="GZ150" s="345" t="str">
        <f t="shared" si="993"/>
        <v/>
      </c>
      <c r="HA150" s="342" t="str">
        <f t="shared" si="796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7"/>
        <v/>
      </c>
      <c r="HF150" s="5" t="str">
        <f t="shared" si="798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23" t="str">
        <f t="shared" si="1035"/>
        <v/>
      </c>
      <c r="HN150" s="924" t="str">
        <f t="shared" si="1036"/>
        <v/>
      </c>
      <c r="HO150" s="925"/>
      <c r="HP150" s="926"/>
      <c r="HQ150" s="924" t="str">
        <f t="shared" si="1037"/>
        <v/>
      </c>
      <c r="HR150" s="927" t="str">
        <f t="shared" si="1038"/>
        <v/>
      </c>
      <c r="HS150" s="879" t="str">
        <f t="shared" si="998"/>
        <v/>
      </c>
      <c r="HT150" s="889" t="str">
        <f t="shared" si="1039"/>
        <v/>
      </c>
      <c r="HU150" s="890" t="str">
        <f t="shared" si="1040"/>
        <v/>
      </c>
      <c r="HV150" s="886" t="str">
        <f t="shared" si="1041"/>
        <v/>
      </c>
      <c r="HW150" s="880" t="str">
        <f t="shared" si="1042"/>
        <v/>
      </c>
      <c r="HX150" s="881" t="str">
        <f t="shared" si="1043"/>
        <v/>
      </c>
      <c r="HY150" s="880" t="str">
        <f t="shared" si="1044"/>
        <v/>
      </c>
      <c r="HZ150" s="882" t="str">
        <f t="shared" si="1045"/>
        <v/>
      </c>
      <c r="IA150" s="883" t="str">
        <f t="shared" si="1046"/>
        <v/>
      </c>
      <c r="IB150" s="884" t="str">
        <f t="shared" si="1047"/>
        <v/>
      </c>
      <c r="IC150" s="855" t="str">
        <f t="shared" si="1048"/>
        <v/>
      </c>
      <c r="ID150" s="351" t="str">
        <f t="shared" si="1049"/>
        <v/>
      </c>
      <c r="IE150" s="857" t="str">
        <f t="shared" si="1050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73" t="s">
        <v>42</v>
      </c>
      <c r="C157" s="1074"/>
      <c r="D157" s="1074"/>
      <c r="E157" s="1074"/>
      <c r="F157" s="1074"/>
      <c r="G157" s="1074"/>
      <c r="H157" s="1074"/>
      <c r="I157" s="1074"/>
      <c r="J157" s="1074"/>
      <c r="K157" s="1074"/>
      <c r="L157" s="1074"/>
      <c r="M157" s="1074"/>
      <c r="N157" s="1074"/>
      <c r="O157" s="1075"/>
      <c r="BC157" t="s">
        <v>101</v>
      </c>
      <c r="BD157" s="219">
        <v>0</v>
      </c>
    </row>
    <row r="158" spans="1:261" ht="15" customHeight="1" x14ac:dyDescent="0.25">
      <c r="B158" s="1076"/>
      <c r="C158" s="1077"/>
      <c r="D158" s="1077"/>
      <c r="E158" s="1077"/>
      <c r="F158" s="1077"/>
      <c r="G158" s="1077"/>
      <c r="H158" s="1077"/>
      <c r="I158" s="1077"/>
      <c r="J158" s="1077"/>
      <c r="K158" s="1077"/>
      <c r="L158" s="1077"/>
      <c r="M158" s="1077"/>
      <c r="N158" s="1077"/>
      <c r="O158" s="1078"/>
      <c r="BC158" t="s">
        <v>102</v>
      </c>
      <c r="BD158" s="219">
        <v>0.01</v>
      </c>
    </row>
    <row r="159" spans="1:261" ht="15" customHeight="1" x14ac:dyDescent="0.25">
      <c r="B159" s="1076"/>
      <c r="C159" s="1077"/>
      <c r="D159" s="1077"/>
      <c r="E159" s="1077"/>
      <c r="F159" s="1077"/>
      <c r="G159" s="1077"/>
      <c r="H159" s="1077"/>
      <c r="I159" s="1077"/>
      <c r="J159" s="1077"/>
      <c r="K159" s="1077"/>
      <c r="L159" s="1077"/>
      <c r="M159" s="1077"/>
      <c r="N159" s="1077"/>
      <c r="O159" s="1078"/>
      <c r="AJ159" s="31" t="s">
        <v>349</v>
      </c>
      <c r="AU159"/>
    </row>
    <row r="160" spans="1:261" ht="15" customHeight="1" x14ac:dyDescent="0.25">
      <c r="B160" s="1079" t="str">
        <f>CONCATENATE(B162," ; ",E162," ; ",H163)</f>
        <v>Absolute-Point ; Incremental-Vector Point ; Radius</v>
      </c>
      <c r="C160" s="1080"/>
      <c r="D160" s="1080"/>
      <c r="E160" s="1080"/>
      <c r="F160" s="1080"/>
      <c r="G160" s="1080"/>
      <c r="H160" s="1080"/>
      <c r="I160" s="1080"/>
      <c r="J160" s="1080"/>
      <c r="K160" s="1080"/>
      <c r="L160" s="1080"/>
      <c r="M160" s="1080"/>
      <c r="N160" s="1080"/>
      <c r="O160" s="1081"/>
      <c r="AJ160" s="82">
        <f>COUNT(_xlfn.ANCHORARRAY($AJ$164))</f>
        <v>198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79"/>
      <c r="C161" s="1080"/>
      <c r="D161" s="1080"/>
      <c r="E161" s="1080"/>
      <c r="F161" s="1080"/>
      <c r="G161" s="1080"/>
      <c r="H161" s="1080"/>
      <c r="I161" s="1080"/>
      <c r="J161" s="1080"/>
      <c r="K161" s="1080"/>
      <c r="L161" s="1080"/>
      <c r="M161" s="1080"/>
      <c r="N161" s="1080"/>
      <c r="O161" s="1081"/>
      <c r="AJ161" s="967"/>
      <c r="AK161" s="967"/>
      <c r="AL161" s="968" t="s">
        <v>421</v>
      </c>
      <c r="AM161" s="967"/>
      <c r="AN161" s="967"/>
      <c r="AO161" s="967"/>
      <c r="AP161" s="967"/>
      <c r="AQ161" s="967"/>
      <c r="AR161" s="967"/>
      <c r="AS161" s="967"/>
      <c r="AT161" s="967"/>
      <c r="AU161" s="967"/>
      <c r="AV161" s="967"/>
      <c r="BC161" t="s">
        <v>151</v>
      </c>
      <c r="BD161" s="199">
        <v>0.433</v>
      </c>
      <c r="BE161" s="162">
        <f t="shared" ref="BE161:BE168" si="1068">BD161+$BD$157</f>
        <v>0.433</v>
      </c>
      <c r="BF161" s="162">
        <f t="shared" ref="BF161:BF168" si="1069">BD161+$BD$158</f>
        <v>0.443</v>
      </c>
    </row>
    <row r="162" spans="2:58" x14ac:dyDescent="0.25">
      <c r="B162" s="1335" t="s">
        <v>40</v>
      </c>
      <c r="C162" s="1175"/>
      <c r="D162" s="1336"/>
      <c r="E162" s="1174" t="s">
        <v>41</v>
      </c>
      <c r="F162" s="1175"/>
      <c r="G162" s="1176"/>
      <c r="H162" s="994" t="s">
        <v>305</v>
      </c>
      <c r="I162" s="1014"/>
      <c r="J162" s="995"/>
      <c r="K162" s="994" t="s">
        <v>386</v>
      </c>
      <c r="L162" s="1082"/>
      <c r="M162" s="951"/>
      <c r="N162" s="1337" t="s">
        <v>398</v>
      </c>
      <c r="O162" s="1338"/>
      <c r="AF162" s="31" t="s">
        <v>87</v>
      </c>
      <c r="AG162" s="31" t="s">
        <v>37</v>
      </c>
      <c r="AH162" s="31" t="s">
        <v>419</v>
      </c>
      <c r="AI162" s="31" t="s">
        <v>417</v>
      </c>
      <c r="AJ162" s="967"/>
      <c r="AK162" s="967"/>
      <c r="AL162" s="968" t="s">
        <v>55</v>
      </c>
      <c r="AM162" s="968" t="s">
        <v>244</v>
      </c>
      <c r="AN162" s="968" t="s">
        <v>107</v>
      </c>
      <c r="AO162" s="968" t="s">
        <v>26</v>
      </c>
      <c r="AP162" s="968" t="s">
        <v>411</v>
      </c>
      <c r="AQ162" s="968" t="s">
        <v>30</v>
      </c>
      <c r="AR162" s="967"/>
      <c r="AS162" s="967"/>
      <c r="AT162" s="967"/>
      <c r="AU162" s="967"/>
      <c r="AV162" s="967"/>
      <c r="BC162" t="s">
        <v>152</v>
      </c>
      <c r="BD162" s="199">
        <v>0.48099999999999998</v>
      </c>
      <c r="BE162" s="162">
        <f t="shared" si="1068"/>
        <v>0.48099999999999998</v>
      </c>
      <c r="BF162" s="162">
        <f t="shared" si="1069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407</v>
      </c>
      <c r="L163" s="39" t="s">
        <v>337</v>
      </c>
      <c r="M163" s="868" t="s">
        <v>402</v>
      </c>
      <c r="N163" s="929" t="s">
        <v>406</v>
      </c>
      <c r="O163" s="930" t="s">
        <v>397</v>
      </c>
      <c r="AE163" s="31" t="s">
        <v>413</v>
      </c>
      <c r="AF163" s="31" t="s">
        <v>418</v>
      </c>
      <c r="AG163" s="31" t="s">
        <v>415</v>
      </c>
      <c r="AH163" s="31" t="s">
        <v>420</v>
      </c>
      <c r="AI163" s="31" t="s">
        <v>416</v>
      </c>
      <c r="AJ163" s="968" t="s">
        <v>414</v>
      </c>
      <c r="AK163" s="968" t="s">
        <v>412</v>
      </c>
      <c r="AL163" s="968" t="s">
        <v>8</v>
      </c>
      <c r="AM163" s="968" t="s">
        <v>9</v>
      </c>
      <c r="AN163" s="968" t="s">
        <v>10</v>
      </c>
      <c r="AO163" s="968" t="s">
        <v>408</v>
      </c>
      <c r="AP163" s="968" t="s">
        <v>409</v>
      </c>
      <c r="AQ163" s="968" t="s">
        <v>410</v>
      </c>
      <c r="AR163" s="969" t="s">
        <v>337</v>
      </c>
      <c r="AS163" s="970"/>
      <c r="AT163" s="970"/>
      <c r="AU163" s="970"/>
      <c r="AV163" s="718" t="s">
        <v>78</v>
      </c>
      <c r="AW163" s="31" t="s">
        <v>402</v>
      </c>
      <c r="AX163" s="31" t="s">
        <v>26</v>
      </c>
      <c r="AY163" s="31" t="s">
        <v>422</v>
      </c>
      <c r="BC163" t="s">
        <v>153</v>
      </c>
      <c r="BD163" s="199">
        <v>0.52900000000000003</v>
      </c>
      <c r="BE163" s="162">
        <f t="shared" si="1068"/>
        <v>0.52900000000000003</v>
      </c>
      <c r="BF163" s="162">
        <f t="shared" si="1069"/>
        <v>0.53900000000000003</v>
      </c>
    </row>
    <row r="164" spans="2:58" ht="15.75" thickTop="1" x14ac:dyDescent="0.25">
      <c r="B164" s="645">
        <v>-2.92E-2</v>
      </c>
      <c r="C164" s="646">
        <v>0.30019999999999969</v>
      </c>
      <c r="D164" s="647">
        <v>-0.57069999999999999</v>
      </c>
      <c r="E164" s="648">
        <v>0.93358042649720174</v>
      </c>
      <c r="F164" s="646">
        <v>0</v>
      </c>
      <c r="G164" s="649">
        <v>-0.35836794954530027</v>
      </c>
      <c r="H164" s="648">
        <v>0.26600000000000001</v>
      </c>
      <c r="I164" s="933">
        <v>0.52</v>
      </c>
      <c r="J164" s="937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952" t="s">
        <v>403</v>
      </c>
      <c r="M164" s="953">
        <v>15</v>
      </c>
      <c r="N164" s="954" t="s">
        <v>9</v>
      </c>
      <c r="O164" s="955"/>
      <c r="Q164" s="162">
        <f t="shared" ref="Q164:Q195" si="1070">IFERROR(INDEX(B$164:B$305,MATCH($Y164,$J$164:$J$305,0)),"")</f>
        <v>-2.92E-2</v>
      </c>
      <c r="R164" s="162">
        <f t="shared" ref="R164:R195" si="1071">IFERROR(INDEX(C$164:C$305,MATCH($Y164,$J$164:$J$305,0)),"")</f>
        <v>0.30019999999999969</v>
      </c>
      <c r="S164" s="162">
        <f t="shared" ref="S164:S195" si="1072">IFERROR(INDEX(D$164:D$305,MATCH($Y164,$J$164:$J$305,0)),"")</f>
        <v>-0.57069999999999999</v>
      </c>
      <c r="T164" s="162">
        <f t="shared" ref="T164:T195" si="1073">IFERROR(IF($N164="Y",-1*INDEX(E$164:E$305,MATCH($Y164,$J$164:$J$305,0)),INDEX(E$164:E$305,MATCH($Y164,$J$164:$J$305,0))),"")</f>
        <v>-0.93358042649720174</v>
      </c>
      <c r="U164" s="162">
        <f t="shared" ref="U164:U195" si="1074">IFERROR(IF($N164="Y",-1*INDEX(F$164:F$305,MATCH($Y164,$J$164:$J$305,0)),INDEX(F$164:F$305,MATCH($Y164,$J$164:$J$305,0))),"")</f>
        <v>0</v>
      </c>
      <c r="V164" s="162">
        <f t="shared" ref="V164:V195" si="1075">IFERROR(IF($N164="Y",-1*INDEX(G$164:G$305,MATCH($Y164,$J$164:$J$305,0)),INDEX(G$164:G$305,MATCH($Y164,$J$164:$J$305,0))),"")</f>
        <v>0.35836794954530027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76">IFERROR(INDEX(I$164:I$305,MATCH($Y164,$J$164:$J$305,0)),"")</f>
        <v>0.52</v>
      </c>
      <c r="Y164" s="75" cm="1">
        <f t="array" ref="Y164:Y19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31">
        <f t="shared" ref="Z164:Z195" si="1077">IFERROR(INDEX(K$164:K$305,MATCH($Y164,$J$164:$J$305,0)),"")</f>
        <v>1313</v>
      </c>
      <c r="AC164" s="166" cm="1">
        <f t="array" ref="AC164:AC181">_xlfn.UNIQUE(VALUE(_xlfn.ANCHORARRAY($AF$164)+ROUND((_xlfn.ANCHORARRAY($AG$164)/10),2)+ROUND((_xlfn.ANCHORARRAY($AI$164)/100000),5)))</f>
        <v>6.1000099999999993</v>
      </c>
      <c r="AD164" s="75" cm="1">
        <f t="array" ref="AD164:AD181">(ROW(_xlfn.ANCHORARRAY($AC$164):$AC164)-ROW($AC$164)-COUNT(_xlfn.ANCHORARRAY($AC$164))+1)*0.53125</f>
        <v>-9.03125</v>
      </c>
      <c r="AE164" s="75" cm="1">
        <f t="array" ref="AE164:AE361">ROUNDDOWN((_xlfn.ANCHORARRAY(AJ164)*1000),0)/1000</f>
        <v>6.1180000000000003</v>
      </c>
      <c r="AF164" s="82" cm="1">
        <f t="array" ref="AF164:AF361">ROUNDDOWN(_xlfn.ANCHORARRAY(AJ164),0)</f>
        <v>6</v>
      </c>
      <c r="AG164" s="82" cm="1">
        <f t="array" ref="AG164:AG361">VALUE(RIGHT(ROUNDDOWN(_xlfn.ANCHORARRAY(AJ164)*10,0),1))</f>
        <v>1</v>
      </c>
      <c r="AH164" s="82" cm="1">
        <f t="array" ref="AH164:AH361">VALUE(LEFT(RIGHT((_xlfn.ANCHORARRAY($AJ$164)*100000),2),1))</f>
        <v>1</v>
      </c>
      <c r="AI164" s="82" cm="1">
        <f t="array" ref="AI164:AI361">MOD(_xlfn.ANCHORARRAY($AJ$164)*10000,1)*10</f>
        <v>1.0000000000582077</v>
      </c>
      <c r="AJ164" s="166" cm="1">
        <f t="array" ref="AJ164:AJ36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6.1181100000000006</v>
      </c>
      <c r="AK164" s="82" t="str" cm="1">
        <f t="array" ref="AK164:AK361">IF(_xlfn.ANCHORARRAY($AH$164)=1,"Model Space",_xlfn.ANCHORARRAY($AJ$164)-0.0001)</f>
        <v>Model Space</v>
      </c>
      <c r="AL164" s="162" cm="1">
        <f t="array" ref="AL164:AL361">IF(_xlfn.ANCHORARRAY($AH$164)=1,INDEX(_xlfn.ANCHORARRAY($AD$164),MATCH((_xlfn.ANCHORARRAY($AF$164)+(_xlfn.ANCHORARRAY($AG$164)/10)+ROUND((_xlfn.ANCHORARRAY($AI$164)/100000),5)),_xlfn.ANCHORARRAY($AC$164),0)),0)</f>
        <v>-9.03125</v>
      </c>
      <c r="AM164" s="162" cm="1">
        <f t="array" ref="AM164:AM361">IF(_xlfn.ANCHORARRAY($AH$164)=1,-INDEX($R$9:$R$150,MATCH(_xlfn.ANCHORARRAY($AE$164),$M$9:$M$150,0)),0)</f>
        <v>-3.764890060112914</v>
      </c>
      <c r="AN164" s="162" cm="1">
        <f t="array" ref="AN164:AN361">IF(_xlfn.ANCHORARRAY($AH$164)=1,INDEX($AT$9:$AT$150,MATCH(_xlfn.ANCHORARRAY($AE$164),$M$9:$M$150,0))+((_xlfn.ANCHORARRAY($AI$164)-1)*-AS5),0)</f>
        <v>-1.4199506658855809</v>
      </c>
      <c r="AO164" s="162" cm="1">
        <f t="array" ref="AO164:AO361">IF(_xlfn.ANCHORARRAY($AH$164)=1,INDEX($AN$9:$AN$150,MATCH(_xlfn.ANCHORARRAY($AE$164),$M$9:$M$150,0)),IF(_xlfn.ANCHORARRAY($AH$164)=2,_xlfn.ANCHORARRAY($AY$164),0))</f>
        <v>-82.885234373821604</v>
      </c>
      <c r="AP164" s="162" cm="1">
        <f t="array" ref="AP164:AP361">IF(_xlfn.ANCHORARRAY($AH$164)=1,INDEX($AO$9:$AO$150,MATCH(_xlfn.ANCHORARRAY($AE$164),$M$9:$M$150,0)),0)</f>
        <v>29.815366732757649</v>
      </c>
      <c r="AQ164" s="162" cm="1">
        <f t="array" ref="AQ164:AQ361">IF(_xlfn.ANCHORARRAY($AJ$164)="value",0,0)</f>
        <v>0</v>
      </c>
      <c r="AR164" s="710" t="str" cm="1">
        <f t="array" ref="AR164:AR361">INDEX($L$164:$L$305,MATCH(_xlfn.ANCHORARRAY($AE$164),$J$164:$J$305,0))</f>
        <v>CPS-31650-00r1.asm</v>
      </c>
      <c r="AV164" s="82" t="str" cm="1">
        <f t="array" ref="AV164:AV361">INDEX(Settings!$C$3:$K$4,_xlfn.ANCHORARRAY(Assy.Model!$AG$164),_xlfn.ANCHORARRAY(Assy.Model!$AF$164))</f>
        <v>127,0,255</v>
      </c>
      <c r="AW164" s="966" cm="1">
        <f t="array" ref="AW164:AW361">INDEX($M$164:$M$305,MATCH(_xlfn.ANCHORARRAY($AE$164),$J$164:$J$305,0))</f>
        <v>-90</v>
      </c>
      <c r="AX164" s="966" cm="1">
        <f t="array" ref="AX164:AX361">INDEX($AN$9:$AN$150,MATCH(_xlfn.ANCHORARRAY($AE$164),$M$9:$M$150,0))</f>
        <v>-82.885234373821604</v>
      </c>
      <c r="AY164" s="966" cm="1">
        <f t="array" ref="AY164:AY361">IF(_xlfn.ANCHORARRAY($AH$164)=2,(-_xlfn.ANCHORARRAY($AW$164)+_xlfn.ANCHORARRAY($AX$164)),0)</f>
        <v>0</v>
      </c>
      <c r="AZ164" s="489"/>
      <c r="BC164" t="s">
        <v>154</v>
      </c>
      <c r="BD164" s="199">
        <v>0.57699999999999996</v>
      </c>
      <c r="BE164" s="162">
        <f t="shared" si="1068"/>
        <v>0.57699999999999996</v>
      </c>
      <c r="BF164" s="162">
        <f t="shared" si="1069"/>
        <v>0.58699999999999997</v>
      </c>
    </row>
    <row r="165" spans="2:58" x14ac:dyDescent="0.25">
      <c r="B165" s="650">
        <v>-2.92E-2</v>
      </c>
      <c r="C165" s="651">
        <v>1.0299999999999996</v>
      </c>
      <c r="D165" s="652">
        <v>-0.4249</v>
      </c>
      <c r="E165" s="653">
        <v>0.96592582628906831</v>
      </c>
      <c r="F165" s="651">
        <v>0</v>
      </c>
      <c r="G165" s="654">
        <v>-0.25881904510252074</v>
      </c>
      <c r="H165" s="653">
        <v>0.314</v>
      </c>
      <c r="I165" s="934">
        <v>0.52</v>
      </c>
      <c r="J165" s="938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56" t="s">
        <v>423</v>
      </c>
      <c r="M165" s="957">
        <v>15</v>
      </c>
      <c r="N165" s="958" t="s">
        <v>9</v>
      </c>
      <c r="O165" s="959"/>
      <c r="Q165" s="162">
        <f t="shared" si="1070"/>
        <v>-2.92E-2</v>
      </c>
      <c r="R165" s="162">
        <f t="shared" si="1071"/>
        <v>1.0299999999999996</v>
      </c>
      <c r="S165" s="162">
        <f t="shared" si="1072"/>
        <v>-0.4249</v>
      </c>
      <c r="T165" s="162">
        <f t="shared" si="1073"/>
        <v>-0.96592582628906831</v>
      </c>
      <c r="U165" s="162">
        <f t="shared" si="1074"/>
        <v>0</v>
      </c>
      <c r="V165" s="162">
        <f t="shared" si="1075"/>
        <v>0.25881904510252074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76"/>
        <v>0.52</v>
      </c>
      <c r="Y165" s="75">
        <v>1.1040000000000001</v>
      </c>
      <c r="Z165" s="931">
        <f t="shared" si="1077"/>
        <v>1613</v>
      </c>
      <c r="AA165" s="82"/>
      <c r="AB165" s="75"/>
      <c r="AC165" s="166">
        <v>5.1000099999999993</v>
      </c>
      <c r="AD165" s="166">
        <v>-8.5</v>
      </c>
      <c r="AE165" s="75">
        <v>6.1150000000000002</v>
      </c>
      <c r="AF165" s="82">
        <v>6</v>
      </c>
      <c r="AG165" s="82">
        <v>1</v>
      </c>
      <c r="AH165" s="82">
        <v>1</v>
      </c>
      <c r="AI165" s="82">
        <v>1.0000000000582077</v>
      </c>
      <c r="AJ165" s="166">
        <v>6.1151100000000005</v>
      </c>
      <c r="AK165" s="82" t="str">
        <v>Model Space</v>
      </c>
      <c r="AL165" s="162">
        <v>-9.03125</v>
      </c>
      <c r="AM165" s="162">
        <v>-3.5254923686512205</v>
      </c>
      <c r="AN165" s="162">
        <v>-0.74866903609878088</v>
      </c>
      <c r="AO165" s="162">
        <v>-66.2714608329415</v>
      </c>
      <c r="AP165" s="162">
        <v>20.591551472358034</v>
      </c>
      <c r="AQ165" s="162">
        <v>0</v>
      </c>
      <c r="AR165" s="710" t="str">
        <v>CPS-31654-00(.020)r1.asm</v>
      </c>
      <c r="AV165" s="82" t="str">
        <v>127,0,255</v>
      </c>
      <c r="AW165" s="966">
        <v>-67.47999999999999</v>
      </c>
      <c r="AX165" s="966">
        <v>-66.2714608329415</v>
      </c>
      <c r="AY165" s="966">
        <v>0</v>
      </c>
      <c r="BC165" t="s">
        <v>155</v>
      </c>
      <c r="BD165" s="199">
        <v>0.625</v>
      </c>
      <c r="BE165" s="162">
        <f t="shared" si="1068"/>
        <v>0.625</v>
      </c>
      <c r="BF165" s="162">
        <f t="shared" si="1069"/>
        <v>0.63500000000000001</v>
      </c>
    </row>
    <row r="166" spans="2:58" x14ac:dyDescent="0.25">
      <c r="B166" s="650">
        <v>-2.92E-2</v>
      </c>
      <c r="C166" s="651">
        <v>1.7829999999999997</v>
      </c>
      <c r="D166" s="652">
        <v>-0.22310000000000013</v>
      </c>
      <c r="E166" s="653">
        <v>0.96592582628906831</v>
      </c>
      <c r="F166" s="651">
        <v>0</v>
      </c>
      <c r="G166" s="654">
        <v>-0.25881904510252074</v>
      </c>
      <c r="H166" s="653">
        <v>0.314</v>
      </c>
      <c r="I166" s="934">
        <v>0.52</v>
      </c>
      <c r="J166" s="938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56" t="s">
        <v>404</v>
      </c>
      <c r="M166" s="957">
        <v>15</v>
      </c>
      <c r="N166" s="958" t="s">
        <v>9</v>
      </c>
      <c r="O166" s="959"/>
      <c r="Q166" s="162">
        <f t="shared" si="1070"/>
        <v>-2.92E-2</v>
      </c>
      <c r="R166" s="162">
        <f t="shared" si="1071"/>
        <v>1.7829999999999997</v>
      </c>
      <c r="S166" s="162">
        <f t="shared" si="1072"/>
        <v>-0.22310000000000013</v>
      </c>
      <c r="T166" s="162">
        <f t="shared" si="1073"/>
        <v>-0.96592582628906831</v>
      </c>
      <c r="U166" s="162">
        <f t="shared" si="1074"/>
        <v>0</v>
      </c>
      <c r="V166" s="162">
        <f t="shared" si="1075"/>
        <v>0.25881904510252074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76"/>
        <v>0.52</v>
      </c>
      <c r="Y166" s="75">
        <v>1.107</v>
      </c>
      <c r="Z166" s="931">
        <f t="shared" si="1077"/>
        <v>1613</v>
      </c>
      <c r="AA166" s="82"/>
      <c r="AB166" s="75"/>
      <c r="AC166" s="166">
        <v>4.1000099999999993</v>
      </c>
      <c r="AD166" s="166">
        <v>-7.96875</v>
      </c>
      <c r="AE166" s="75">
        <v>6.1120000000000001</v>
      </c>
      <c r="AF166" s="82">
        <v>6</v>
      </c>
      <c r="AG166" s="82">
        <v>1</v>
      </c>
      <c r="AH166" s="82">
        <v>1</v>
      </c>
      <c r="AI166" s="82">
        <v>1.0000000000582077</v>
      </c>
      <c r="AJ166" s="166">
        <v>6.1121100000000004</v>
      </c>
      <c r="AK166" s="82" t="str">
        <v>Model Space</v>
      </c>
      <c r="AL166" s="162">
        <v>-9.03125</v>
      </c>
      <c r="AM166" s="162">
        <v>-3.034372922278215</v>
      </c>
      <c r="AN166" s="162">
        <v>-0.15716492347649752</v>
      </c>
      <c r="AO166" s="162">
        <v>-45.079118877652334</v>
      </c>
      <c r="AP166" s="162">
        <v>15.955967967082886</v>
      </c>
      <c r="AQ166" s="162">
        <v>0</v>
      </c>
      <c r="AR166" s="710" t="str">
        <v>CPS-31654-00(.020)r1.asm</v>
      </c>
      <c r="AV166" s="82" t="str">
        <v>127,0,255</v>
      </c>
      <c r="AW166" s="966">
        <v>-34.049999999999997</v>
      </c>
      <c r="AX166" s="966">
        <v>-45.079118877652334</v>
      </c>
      <c r="AY166" s="966">
        <v>0</v>
      </c>
      <c r="BC166" t="s">
        <v>156</v>
      </c>
      <c r="BD166" s="199">
        <v>0.66500000000000004</v>
      </c>
      <c r="BE166" s="162">
        <f t="shared" si="1068"/>
        <v>0.66500000000000004</v>
      </c>
      <c r="BF166" s="162">
        <f t="shared" si="1069"/>
        <v>0.67500000000000004</v>
      </c>
    </row>
    <row r="167" spans="2:58" x14ac:dyDescent="0.25">
      <c r="B167" s="650">
        <v>-1.4000000000000002E-2</v>
      </c>
      <c r="C167" s="651">
        <v>2.5526</v>
      </c>
      <c r="D167" s="652">
        <v>-0.16470000000000001</v>
      </c>
      <c r="E167" s="653">
        <v>0.96339317828794302</v>
      </c>
      <c r="F167" s="651">
        <v>-0.10587285650845474</v>
      </c>
      <c r="G167" s="654">
        <v>-0.24630168956585693</v>
      </c>
      <c r="H167" s="653">
        <v>0.314</v>
      </c>
      <c r="I167" s="934">
        <v>0.52</v>
      </c>
      <c r="J167" s="938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56" t="s">
        <v>405</v>
      </c>
      <c r="M167" s="957">
        <v>-11.469999999999999</v>
      </c>
      <c r="N167" s="958" t="s">
        <v>9</v>
      </c>
      <c r="O167" s="959"/>
      <c r="Q167" s="162">
        <f t="shared" si="1070"/>
        <v>-1.4000000000000002E-2</v>
      </c>
      <c r="R167" s="162">
        <f t="shared" si="1071"/>
        <v>2.5526</v>
      </c>
      <c r="S167" s="162">
        <f t="shared" si="1072"/>
        <v>-0.16470000000000001</v>
      </c>
      <c r="T167" s="162">
        <f t="shared" si="1073"/>
        <v>-0.96339317828794302</v>
      </c>
      <c r="U167" s="162">
        <f t="shared" si="1074"/>
        <v>0.10587285650845474</v>
      </c>
      <c r="V167" s="162">
        <f t="shared" si="1075"/>
        <v>0.24630168956585693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76"/>
        <v>0.52</v>
      </c>
      <c r="Y167" s="75">
        <v>1.1100000000000001</v>
      </c>
      <c r="Z167" s="931">
        <f t="shared" si="1077"/>
        <v>1613</v>
      </c>
      <c r="AA167" s="82"/>
      <c r="AB167" s="75"/>
      <c r="AC167" s="166">
        <v>3.1000100000000002</v>
      </c>
      <c r="AD167" s="166">
        <v>-7.4375</v>
      </c>
      <c r="AE167" s="75">
        <v>6.109</v>
      </c>
      <c r="AF167" s="82">
        <v>6</v>
      </c>
      <c r="AG167" s="82">
        <v>1</v>
      </c>
      <c r="AH167" s="82">
        <v>1</v>
      </c>
      <c r="AI167" s="82">
        <v>1.0000000000582077</v>
      </c>
      <c r="AJ167" s="166">
        <v>6.1091100000000003</v>
      </c>
      <c r="AK167" s="82" t="str">
        <v>Model Space</v>
      </c>
      <c r="AL167" s="162">
        <v>-9.03125</v>
      </c>
      <c r="AM167" s="162">
        <v>-2.2943562371825985</v>
      </c>
      <c r="AN167" s="162">
        <v>7.0998887501496077E-2</v>
      </c>
      <c r="AO167" s="162">
        <v>-13.927402596117105</v>
      </c>
      <c r="AP167" s="162">
        <v>15.442472381298492</v>
      </c>
      <c r="AQ167" s="162">
        <v>0</v>
      </c>
      <c r="AR167" s="710" t="str">
        <v>CPS-31654-00(.020)r1.asm</v>
      </c>
      <c r="AV167" s="82" t="str">
        <v>127,0,255</v>
      </c>
      <c r="AW167" s="966">
        <v>-0.29000000000000625</v>
      </c>
      <c r="AX167" s="966">
        <v>-13.927402596117105</v>
      </c>
      <c r="AY167" s="966">
        <v>0</v>
      </c>
      <c r="BC167" t="s">
        <v>157</v>
      </c>
      <c r="BD167" s="199">
        <v>0.70799999999999996</v>
      </c>
      <c r="BE167" s="162">
        <f t="shared" si="1068"/>
        <v>0.70799999999999996</v>
      </c>
      <c r="BF167" s="162">
        <f t="shared" si="1069"/>
        <v>0.71799999999999997</v>
      </c>
    </row>
    <row r="168" spans="2:58" x14ac:dyDescent="0.25">
      <c r="B168" s="650">
        <v>3.3800000000000031E-2</v>
      </c>
      <c r="C168" s="651">
        <v>3.2368999999999994</v>
      </c>
      <c r="D168" s="652">
        <v>-0.53249999999999986</v>
      </c>
      <c r="E168" s="653">
        <v>0.95880790980406616</v>
      </c>
      <c r="F168" s="651">
        <v>-0.23283115881656075</v>
      </c>
      <c r="G168" s="654">
        <v>-0.16271768060446049</v>
      </c>
      <c r="H168" s="653">
        <v>0.314</v>
      </c>
      <c r="I168" s="934">
        <v>0.52</v>
      </c>
      <c r="J168" s="938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56" t="s">
        <v>404</v>
      </c>
      <c r="M168" s="957">
        <v>-45.319999999999993</v>
      </c>
      <c r="N168" s="958" t="s">
        <v>9</v>
      </c>
      <c r="O168" s="959"/>
      <c r="Q168" s="162">
        <f t="shared" si="1070"/>
        <v>3.3800000000000031E-2</v>
      </c>
      <c r="R168" s="162">
        <f t="shared" si="1071"/>
        <v>3.2368999999999994</v>
      </c>
      <c r="S168" s="162">
        <f t="shared" si="1072"/>
        <v>-0.53249999999999986</v>
      </c>
      <c r="T168" s="162">
        <f t="shared" si="1073"/>
        <v>-0.95880790980406616</v>
      </c>
      <c r="U168" s="162">
        <f t="shared" si="1074"/>
        <v>0.23283115881656075</v>
      </c>
      <c r="V168" s="162">
        <f t="shared" si="1075"/>
        <v>0.16271768060446049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76"/>
        <v>0.52</v>
      </c>
      <c r="Y168" s="75">
        <v>1.113</v>
      </c>
      <c r="Z168" s="931">
        <f t="shared" si="1077"/>
        <v>1613</v>
      </c>
      <c r="AA168" s="82"/>
      <c r="AB168" s="75"/>
      <c r="AC168" s="166">
        <v>2.1000100000000002</v>
      </c>
      <c r="AD168" s="166">
        <v>-6.90625</v>
      </c>
      <c r="AE168" s="75">
        <v>5.12</v>
      </c>
      <c r="AF168" s="82">
        <v>5</v>
      </c>
      <c r="AG168" s="82">
        <v>1</v>
      </c>
      <c r="AH168" s="82">
        <v>1</v>
      </c>
      <c r="AI168" s="82">
        <v>1.0000000000582077</v>
      </c>
      <c r="AJ168" s="166">
        <v>5.1201100000000004</v>
      </c>
      <c r="AK168" s="82" t="str">
        <v>Model Space</v>
      </c>
      <c r="AL168" s="162">
        <v>-8.5</v>
      </c>
      <c r="AM168" s="162">
        <v>-3.7649184273801675</v>
      </c>
      <c r="AN168" s="162">
        <v>-1.9282450229219072</v>
      </c>
      <c r="AO168" s="162">
        <v>-82.88520716961051</v>
      </c>
      <c r="AP168" s="162">
        <v>29.815241834246212</v>
      </c>
      <c r="AQ168" s="162">
        <v>0</v>
      </c>
      <c r="AR168" s="710" t="str">
        <v>CPS-31650-00r1.asm</v>
      </c>
      <c r="AV168" s="82" t="str">
        <v>0,102,204</v>
      </c>
      <c r="AW168" s="966">
        <v>-90</v>
      </c>
      <c r="AX168" s="966">
        <v>-82.88520716961051</v>
      </c>
      <c r="AY168" s="966">
        <v>0</v>
      </c>
      <c r="BC168" t="s">
        <v>158</v>
      </c>
      <c r="BD168" s="199">
        <v>0.75</v>
      </c>
      <c r="BE168" s="162">
        <f t="shared" si="1068"/>
        <v>0.75</v>
      </c>
      <c r="BF168" s="162">
        <f t="shared" si="1069"/>
        <v>0.76</v>
      </c>
    </row>
    <row r="169" spans="2:58" x14ac:dyDescent="0.25">
      <c r="B169" s="650">
        <v>7.1999999999999911E-2</v>
      </c>
      <c r="C169" s="651">
        <v>3.6032999999999999</v>
      </c>
      <c r="D169" s="652">
        <v>-1.2041000000000002</v>
      </c>
      <c r="E169" s="653">
        <v>0.92944350671006348</v>
      </c>
      <c r="F169" s="651">
        <v>-0.35773558925588733</v>
      </c>
      <c r="G169" s="654">
        <v>-9.0332806965372658E-2</v>
      </c>
      <c r="H169" s="653">
        <v>0.314</v>
      </c>
      <c r="I169" s="934">
        <v>0.52</v>
      </c>
      <c r="J169" s="938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56" t="s">
        <v>405</v>
      </c>
      <c r="M169" s="957">
        <v>-78.53</v>
      </c>
      <c r="N169" s="958" t="s">
        <v>9</v>
      </c>
      <c r="O169" s="959"/>
      <c r="Q169" s="162">
        <f t="shared" si="1070"/>
        <v>7.1999999999999911E-2</v>
      </c>
      <c r="R169" s="162">
        <f t="shared" si="1071"/>
        <v>3.6032999999999999</v>
      </c>
      <c r="S169" s="162">
        <f t="shared" si="1072"/>
        <v>-1.2041000000000002</v>
      </c>
      <c r="T169" s="162">
        <f t="shared" si="1073"/>
        <v>-0.92944350671006348</v>
      </c>
      <c r="U169" s="162">
        <f t="shared" si="1074"/>
        <v>0.35773558925588733</v>
      </c>
      <c r="V169" s="162">
        <f t="shared" si="1075"/>
        <v>9.0332806965372658E-2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76"/>
        <v>0.52</v>
      </c>
      <c r="Y169" s="75">
        <v>1.1160000000000001</v>
      </c>
      <c r="Z169" s="931">
        <f t="shared" si="1077"/>
        <v>1613</v>
      </c>
      <c r="AA169" s="82"/>
      <c r="AB169" s="75"/>
      <c r="AC169" s="166">
        <v>1.1000100000000002</v>
      </c>
      <c r="AD169" s="166">
        <v>-6.375</v>
      </c>
      <c r="AE169" s="75">
        <v>5.117</v>
      </c>
      <c r="AF169" s="82">
        <v>5</v>
      </c>
      <c r="AG169" s="82">
        <v>1</v>
      </c>
      <c r="AH169" s="82">
        <v>1</v>
      </c>
      <c r="AI169" s="82">
        <v>1.0000000000582077</v>
      </c>
      <c r="AJ169" s="166">
        <v>5.1171100000000003</v>
      </c>
      <c r="AK169" s="82" t="str">
        <v>Model Space</v>
      </c>
      <c r="AL169" s="162">
        <v>-8.5</v>
      </c>
      <c r="AM169" s="162">
        <v>-3.6339402588383254</v>
      </c>
      <c r="AN169" s="162">
        <v>-1.270448831580967</v>
      </c>
      <c r="AO169" s="162">
        <v>-82.882200500805865</v>
      </c>
      <c r="AP169" s="162">
        <v>20.519458212808804</v>
      </c>
      <c r="AQ169" s="162">
        <v>0</v>
      </c>
      <c r="AR169" s="710" t="str">
        <v>CPS-31654-00(.020)r1.asm</v>
      </c>
      <c r="AV169" s="82" t="str">
        <v>0,102,204</v>
      </c>
      <c r="AW169" s="966">
        <v>-88.75</v>
      </c>
      <c r="AX169" s="966">
        <v>-82.882200500805865</v>
      </c>
      <c r="AY169" s="966">
        <v>0</v>
      </c>
    </row>
    <row r="170" spans="2:58" x14ac:dyDescent="0.25">
      <c r="B170" s="650">
        <v>9.7500000000000031E-2</v>
      </c>
      <c r="C170" s="651">
        <v>3.7636000000000003</v>
      </c>
      <c r="D170" s="652">
        <v>-1.8642000000000003</v>
      </c>
      <c r="E170" s="653">
        <v>0.85456872390204919</v>
      </c>
      <c r="F170" s="651">
        <v>-0.51567419545881021</v>
      </c>
      <c r="G170" s="654">
        <v>-6.1582629582798941E-2</v>
      </c>
      <c r="H170" s="653">
        <v>0.26600000000000001</v>
      </c>
      <c r="I170" s="934">
        <v>0.52</v>
      </c>
      <c r="J170" s="938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56" t="s">
        <v>403</v>
      </c>
      <c r="M170" s="957">
        <v>-90</v>
      </c>
      <c r="N170" s="958" t="s">
        <v>9</v>
      </c>
      <c r="O170" s="959"/>
      <c r="Q170" s="162">
        <f t="shared" si="1070"/>
        <v>9.7500000000000031E-2</v>
      </c>
      <c r="R170" s="162">
        <f t="shared" si="1071"/>
        <v>3.7636000000000003</v>
      </c>
      <c r="S170" s="162">
        <f t="shared" si="1072"/>
        <v>-1.8642000000000003</v>
      </c>
      <c r="T170" s="162">
        <f t="shared" si="1073"/>
        <v>-0.85456872390204919</v>
      </c>
      <c r="U170" s="162">
        <f t="shared" si="1074"/>
        <v>0.51567419545881021</v>
      </c>
      <c r="V170" s="162">
        <f t="shared" si="1075"/>
        <v>6.1582629582798941E-2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76"/>
        <v>0.52</v>
      </c>
      <c r="Y170" s="75">
        <v>1.119</v>
      </c>
      <c r="Z170" s="931">
        <f t="shared" si="1077"/>
        <v>1313</v>
      </c>
      <c r="AA170" s="82"/>
      <c r="AB170" s="75"/>
      <c r="AC170" s="166">
        <v>6.1000199999999998</v>
      </c>
      <c r="AD170" s="166">
        <v>-5.84375</v>
      </c>
      <c r="AE170" s="75">
        <v>5.1139999999999999</v>
      </c>
      <c r="AF170" s="82">
        <v>5</v>
      </c>
      <c r="AG170" s="82">
        <v>1</v>
      </c>
      <c r="AH170" s="82">
        <v>1</v>
      </c>
      <c r="AI170" s="82">
        <v>0.99999999998544808</v>
      </c>
      <c r="AJ170" s="166">
        <v>5.1141100000000002</v>
      </c>
      <c r="AK170" s="82" t="str">
        <v>Model Space</v>
      </c>
      <c r="AL170" s="162">
        <v>-8.5</v>
      </c>
      <c r="AM170" s="162">
        <v>-3.4017220332357283</v>
      </c>
      <c r="AN170" s="162">
        <v>-0.56039189084700514</v>
      </c>
      <c r="AO170" s="162">
        <v>-63.345215750387418</v>
      </c>
      <c r="AP170" s="162">
        <v>16.038781128165919</v>
      </c>
      <c r="AQ170" s="162">
        <v>0</v>
      </c>
      <c r="AR170" s="710" t="str">
        <v>CPS-32425r1.par</v>
      </c>
      <c r="AV170" s="82" t="str">
        <v>0,102,204</v>
      </c>
      <c r="AW170" s="966">
        <v>-56.419999999999987</v>
      </c>
      <c r="AX170" s="966">
        <v>-63.345215750387418</v>
      </c>
      <c r="AY170" s="966">
        <v>0</v>
      </c>
    </row>
    <row r="171" spans="2:58" x14ac:dyDescent="0.25">
      <c r="B171" s="650">
        <v>1.7480577506690282</v>
      </c>
      <c r="C171" s="651">
        <v>1.0429879417905057</v>
      </c>
      <c r="D171" s="652">
        <v>-0.1598</v>
      </c>
      <c r="E171" s="653">
        <v>0.48296291314453421</v>
      </c>
      <c r="F171" s="651">
        <v>-0.83651630373780794</v>
      </c>
      <c r="G171" s="654">
        <v>-0.25881904510252079</v>
      </c>
      <c r="H171" s="653">
        <v>0.314</v>
      </c>
      <c r="I171" s="934">
        <v>0.52</v>
      </c>
      <c r="J171" s="938">
        <v>2.1080000000000001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56" t="s">
        <v>404</v>
      </c>
      <c r="M171" s="957">
        <v>10.879999999999995</v>
      </c>
      <c r="N171" s="958" t="s">
        <v>9</v>
      </c>
      <c r="O171" s="959"/>
      <c r="Q171" s="162">
        <f t="shared" si="1070"/>
        <v>1.7480577506690282</v>
      </c>
      <c r="R171" s="162">
        <f t="shared" si="1071"/>
        <v>1.0429879417905057</v>
      </c>
      <c r="S171" s="162">
        <f t="shared" si="1072"/>
        <v>-0.1598</v>
      </c>
      <c r="T171" s="162">
        <f t="shared" si="1073"/>
        <v>-0.48296291314453421</v>
      </c>
      <c r="U171" s="162">
        <f t="shared" si="1074"/>
        <v>0.83651630373780794</v>
      </c>
      <c r="V171" s="162">
        <f t="shared" si="1075"/>
        <v>0.25881904510252079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76"/>
        <v>0.52</v>
      </c>
      <c r="Y171" s="75">
        <v>2.1080000000000001</v>
      </c>
      <c r="Z171" s="931">
        <f t="shared" si="1077"/>
        <v>1613</v>
      </c>
      <c r="AA171" s="82"/>
      <c r="AB171" s="75"/>
      <c r="AC171" s="166">
        <v>5.1000199999999998</v>
      </c>
      <c r="AD171" s="166">
        <v>-5.3125</v>
      </c>
      <c r="AE171" s="75">
        <v>5.1109999999999998</v>
      </c>
      <c r="AF171" s="82">
        <v>5</v>
      </c>
      <c r="AG171" s="82">
        <v>1</v>
      </c>
      <c r="AH171" s="82">
        <v>1</v>
      </c>
      <c r="AI171" s="82">
        <v>0.99999999998544808</v>
      </c>
      <c r="AJ171" s="166">
        <v>5.11111</v>
      </c>
      <c r="AK171" s="82" t="str">
        <v>Model Space</v>
      </c>
      <c r="AL171" s="162">
        <v>-8.5</v>
      </c>
      <c r="AM171" s="162">
        <v>-2.8032563903699872</v>
      </c>
      <c r="AN171" s="162">
        <v>-7.1475637218673449E-2</v>
      </c>
      <c r="AO171" s="162">
        <v>-34.205056903293389</v>
      </c>
      <c r="AP171" s="162">
        <v>15.850091478411285</v>
      </c>
      <c r="AQ171" s="162">
        <v>0</v>
      </c>
      <c r="AR171" s="710" t="str">
        <v>CPS-31654-00(.020)r1.asm</v>
      </c>
      <c r="AV171" s="82" t="str">
        <v>0,102,204</v>
      </c>
      <c r="AW171" s="966">
        <v>-22.760000000000005</v>
      </c>
      <c r="AX171" s="966">
        <v>-34.205056903293389</v>
      </c>
      <c r="AY171" s="966">
        <v>0</v>
      </c>
    </row>
    <row r="172" spans="2:58" x14ac:dyDescent="0.25">
      <c r="B172" s="650">
        <v>2.4276786582350982</v>
      </c>
      <c r="C172" s="651">
        <v>1.4016500000000003</v>
      </c>
      <c r="D172" s="652">
        <v>-0.24199999999999991</v>
      </c>
      <c r="E172" s="653">
        <v>0.34803108954422579</v>
      </c>
      <c r="F172" s="651">
        <v>-0.90986409006368996</v>
      </c>
      <c r="G172" s="654">
        <v>-0.22587983159908895</v>
      </c>
      <c r="H172" s="653">
        <v>0.314</v>
      </c>
      <c r="I172" s="934">
        <v>0.52</v>
      </c>
      <c r="J172" s="938">
        <v>2.1110000000000002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56" t="s">
        <v>404</v>
      </c>
      <c r="M172" s="957">
        <v>-22.760000000000005</v>
      </c>
      <c r="N172" s="958" t="s">
        <v>9</v>
      </c>
      <c r="O172" s="959"/>
      <c r="Q172" s="162">
        <f t="shared" si="1070"/>
        <v>2.4276786582350982</v>
      </c>
      <c r="R172" s="162">
        <f t="shared" si="1071"/>
        <v>1.4016500000000003</v>
      </c>
      <c r="S172" s="162">
        <f t="shared" si="1072"/>
        <v>-0.24199999999999991</v>
      </c>
      <c r="T172" s="162">
        <f t="shared" si="1073"/>
        <v>-0.34803108954422579</v>
      </c>
      <c r="U172" s="162">
        <f t="shared" si="1074"/>
        <v>0.90986409006368996</v>
      </c>
      <c r="V172" s="162">
        <f t="shared" si="1075"/>
        <v>0.22587983159908895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76"/>
        <v>0.52</v>
      </c>
      <c r="Y172" s="75">
        <v>2.1110000000000002</v>
      </c>
      <c r="Z172" s="931">
        <f t="shared" si="1077"/>
        <v>1613</v>
      </c>
      <c r="AA172" s="82"/>
      <c r="AB172" s="75"/>
      <c r="AC172" s="166">
        <v>4.1000199999999998</v>
      </c>
      <c r="AD172" s="166">
        <v>-4.78125</v>
      </c>
      <c r="AE172" s="75">
        <v>5.1079999999999997</v>
      </c>
      <c r="AF172" s="82">
        <v>5</v>
      </c>
      <c r="AG172" s="82">
        <v>1</v>
      </c>
      <c r="AH172" s="82">
        <v>1</v>
      </c>
      <c r="AI172" s="82">
        <v>0.99999999998544808</v>
      </c>
      <c r="AJ172" s="166">
        <v>5.1081099999999999</v>
      </c>
      <c r="AK172" s="82" t="str">
        <v>Model Space</v>
      </c>
      <c r="AL172" s="162">
        <v>-8.5</v>
      </c>
      <c r="AM172" s="162">
        <v>-2.0355661979887705</v>
      </c>
      <c r="AN172" s="162">
        <v>1.0153442813416375E-2</v>
      </c>
      <c r="AO172" s="162">
        <v>-3.0670934370783089</v>
      </c>
      <c r="AP172" s="162">
        <v>15.022023941711254</v>
      </c>
      <c r="AQ172" s="162">
        <v>0</v>
      </c>
      <c r="AR172" s="710" t="str">
        <v>CPS-32425r1.par</v>
      </c>
      <c r="AV172" s="82" t="str">
        <v>0,102,204</v>
      </c>
      <c r="AW172" s="966">
        <v>10.879999999999995</v>
      </c>
      <c r="AX172" s="966">
        <v>-3.0670934370783089</v>
      </c>
      <c r="AY172" s="966">
        <v>0</v>
      </c>
    </row>
    <row r="173" spans="2:58" x14ac:dyDescent="0.25">
      <c r="B173" s="650">
        <v>2.9705984522385704</v>
      </c>
      <c r="C173" s="651">
        <v>1.6574853323511569</v>
      </c>
      <c r="D173" s="652">
        <v>-0.73150000000000037</v>
      </c>
      <c r="E173" s="653">
        <v>0.25265165150270386</v>
      </c>
      <c r="F173" s="651">
        <v>-0.95958552811591191</v>
      </c>
      <c r="G173" s="654">
        <v>-0.12394659020506718</v>
      </c>
      <c r="H173" s="653">
        <v>0.314</v>
      </c>
      <c r="I173" s="934">
        <v>0.52</v>
      </c>
      <c r="J173" s="938">
        <v>2.1139999999999999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56" t="s">
        <v>404</v>
      </c>
      <c r="M173" s="957">
        <v>-56.419999999999987</v>
      </c>
      <c r="N173" s="958" t="s">
        <v>9</v>
      </c>
      <c r="O173" s="959"/>
      <c r="Q173" s="162">
        <f t="shared" si="1070"/>
        <v>2.9705984522385704</v>
      </c>
      <c r="R173" s="162">
        <f t="shared" si="1071"/>
        <v>1.6574853323511569</v>
      </c>
      <c r="S173" s="162">
        <f t="shared" si="1072"/>
        <v>-0.73150000000000037</v>
      </c>
      <c r="T173" s="162">
        <f t="shared" si="1073"/>
        <v>-0.25265165150270386</v>
      </c>
      <c r="U173" s="162">
        <f t="shared" si="1074"/>
        <v>0.95958552811591191</v>
      </c>
      <c r="V173" s="162">
        <f t="shared" si="1075"/>
        <v>0.12394659020506718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76"/>
        <v>0.52</v>
      </c>
      <c r="Y173" s="75">
        <v>2.1139999999999999</v>
      </c>
      <c r="Z173" s="931">
        <f t="shared" si="1077"/>
        <v>1613</v>
      </c>
      <c r="AA173" s="82"/>
      <c r="AB173" s="75"/>
      <c r="AC173" s="166">
        <v>3.1000200000000002</v>
      </c>
      <c r="AD173" s="166">
        <v>-4.25</v>
      </c>
      <c r="AE173" s="75">
        <v>5.1050000000000004</v>
      </c>
      <c r="AF173" s="82">
        <v>5</v>
      </c>
      <c r="AG173" s="82">
        <v>1</v>
      </c>
      <c r="AH173" s="82">
        <v>1</v>
      </c>
      <c r="AI173" s="82">
        <v>1.0000000000582077</v>
      </c>
      <c r="AJ173" s="166">
        <v>5.1051100000000007</v>
      </c>
      <c r="AK173" s="82" t="str">
        <v>Model Space</v>
      </c>
      <c r="AL173" s="162">
        <v>-8.5</v>
      </c>
      <c r="AM173" s="162">
        <v>-1.2813897088914343</v>
      </c>
      <c r="AN173" s="162">
        <v>-0.18798283649528821</v>
      </c>
      <c r="AO173" s="162">
        <v>-4.8651983532143479</v>
      </c>
      <c r="AP173" s="162">
        <v>15.055521859842429</v>
      </c>
      <c r="AQ173" s="162">
        <v>0</v>
      </c>
      <c r="AR173" s="710" t="str">
        <v>CPS-31654-00(.020)r1.asm</v>
      </c>
      <c r="AV173" s="82" t="str">
        <v>0,102,204</v>
      </c>
      <c r="AW173" s="966">
        <v>15</v>
      </c>
      <c r="AX173" s="966">
        <v>-4.8651983532143479</v>
      </c>
      <c r="AY173" s="966">
        <v>0</v>
      </c>
    </row>
    <row r="174" spans="2:58" x14ac:dyDescent="0.25">
      <c r="B174" s="650">
        <v>3.1841431408358041</v>
      </c>
      <c r="C174" s="651">
        <v>1.7512150820142753</v>
      </c>
      <c r="D174" s="652">
        <v>-1.4418</v>
      </c>
      <c r="E174" s="653">
        <v>0.14655833989744946</v>
      </c>
      <c r="F174" s="651">
        <v>-0.988248036762158</v>
      </c>
      <c r="G174" s="654">
        <v>-4.3433522102683253E-2</v>
      </c>
      <c r="H174" s="653">
        <v>0.314</v>
      </c>
      <c r="I174" s="934">
        <v>0.52</v>
      </c>
      <c r="J174" s="938">
        <v>2.117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56" t="s">
        <v>404</v>
      </c>
      <c r="M174" s="957">
        <v>-88.75</v>
      </c>
      <c r="N174" s="958" t="s">
        <v>9</v>
      </c>
      <c r="O174" s="959"/>
      <c r="Q174" s="162">
        <f t="shared" si="1070"/>
        <v>3.1841431408358041</v>
      </c>
      <c r="R174" s="162">
        <f t="shared" si="1071"/>
        <v>1.7512150820142753</v>
      </c>
      <c r="S174" s="162">
        <f t="shared" si="1072"/>
        <v>-1.4418</v>
      </c>
      <c r="T174" s="162">
        <f t="shared" si="1073"/>
        <v>-0.14655833989744946</v>
      </c>
      <c r="U174" s="162">
        <f t="shared" si="1074"/>
        <v>0.988248036762158</v>
      </c>
      <c r="V174" s="162">
        <f t="shared" si="1075"/>
        <v>4.3433522102683253E-2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76"/>
        <v>0.52</v>
      </c>
      <c r="Y174" s="75">
        <v>2.117</v>
      </c>
      <c r="Z174" s="931">
        <f t="shared" si="1077"/>
        <v>1613</v>
      </c>
      <c r="AA174" s="82"/>
      <c r="AB174" s="75"/>
      <c r="AC174" s="166">
        <v>2.1000200000000002</v>
      </c>
      <c r="AD174" s="166">
        <v>-3.71875</v>
      </c>
      <c r="AE174" s="75">
        <v>5.1020000000000003</v>
      </c>
      <c r="AF174" s="82">
        <v>5</v>
      </c>
      <c r="AG174" s="82">
        <v>1</v>
      </c>
      <c r="AH174" s="82">
        <v>1</v>
      </c>
      <c r="AI174" s="82">
        <v>1.0000000000582077</v>
      </c>
      <c r="AJ174" s="166">
        <v>5.1021100000000006</v>
      </c>
      <c r="AK174" s="82" t="str">
        <v>Model Space</v>
      </c>
      <c r="AL174" s="162">
        <v>-8.5</v>
      </c>
      <c r="AM174" s="162">
        <v>-0.55262970106771236</v>
      </c>
      <c r="AN174" s="162">
        <v>-0.38458044284502152</v>
      </c>
      <c r="AO174" s="162">
        <v>-8.7315899677390298</v>
      </c>
      <c r="AP174" s="162">
        <v>19.231489507648522</v>
      </c>
      <c r="AQ174" s="162">
        <v>0</v>
      </c>
      <c r="AR174" s="710" t="str">
        <v>CPS-31654-00(.020)r1.asm</v>
      </c>
      <c r="AV174" s="82" t="str">
        <v>0,102,204</v>
      </c>
      <c r="AW174" s="966">
        <v>15</v>
      </c>
      <c r="AX174" s="966">
        <v>-8.7315899677390298</v>
      </c>
      <c r="AY174" s="966">
        <v>0</v>
      </c>
    </row>
    <row r="175" spans="2:58" x14ac:dyDescent="0.25">
      <c r="B175" s="650">
        <v>3.3081594560296725</v>
      </c>
      <c r="C175" s="651">
        <v>1.7974125231310174</v>
      </c>
      <c r="D175" s="652">
        <v>-2.0998000000000001</v>
      </c>
      <c r="E175" s="653">
        <v>-1.9302591392406955E-2</v>
      </c>
      <c r="F175" s="651">
        <v>-0.99791532190822962</v>
      </c>
      <c r="G175" s="654">
        <v>-6.1582629582798941E-2</v>
      </c>
      <c r="H175" s="653">
        <v>0.26600000000000001</v>
      </c>
      <c r="I175" s="934">
        <v>0.52</v>
      </c>
      <c r="J175" s="938">
        <v>2.12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56" t="s">
        <v>403</v>
      </c>
      <c r="M175" s="957">
        <v>-90</v>
      </c>
      <c r="N175" s="958" t="s">
        <v>9</v>
      </c>
      <c r="O175" s="959"/>
      <c r="Q175" s="162">
        <f t="shared" si="1070"/>
        <v>3.3081594560296725</v>
      </c>
      <c r="R175" s="162">
        <f t="shared" si="1071"/>
        <v>1.7974125231310174</v>
      </c>
      <c r="S175" s="162">
        <f t="shared" si="1072"/>
        <v>-2.0998000000000001</v>
      </c>
      <c r="T175" s="162">
        <f t="shared" si="1073"/>
        <v>1.9302591392406955E-2</v>
      </c>
      <c r="U175" s="162">
        <f t="shared" si="1074"/>
        <v>0.99791532190822962</v>
      </c>
      <c r="V175" s="162">
        <f t="shared" si="1075"/>
        <v>6.1582629582798941E-2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76"/>
        <v>0.52</v>
      </c>
      <c r="Y175" s="75">
        <v>2.12</v>
      </c>
      <c r="Z175" s="931">
        <f t="shared" si="1077"/>
        <v>1313</v>
      </c>
      <c r="AA175" s="82"/>
      <c r="AB175" s="75"/>
      <c r="AC175" s="166">
        <v>1.10002</v>
      </c>
      <c r="AD175" s="166">
        <v>-3.1875</v>
      </c>
      <c r="AE175" s="75">
        <v>4.1189999999999998</v>
      </c>
      <c r="AF175" s="82">
        <v>4</v>
      </c>
      <c r="AG175" s="82">
        <v>1</v>
      </c>
      <c r="AH175" s="82">
        <v>1</v>
      </c>
      <c r="AI175" s="82">
        <v>0.99999999998544808</v>
      </c>
      <c r="AJ175" s="166">
        <v>4.11911</v>
      </c>
      <c r="AK175" s="82" t="str">
        <v>Model Space</v>
      </c>
      <c r="AL175" s="162">
        <v>-7.96875</v>
      </c>
      <c r="AM175" s="162">
        <v>-3.764862707988168</v>
      </c>
      <c r="AN175" s="162">
        <v>-1.7343114081368036</v>
      </c>
      <c r="AO175" s="162">
        <v>-82.885119576812542</v>
      </c>
      <c r="AP175" s="162">
        <v>29.814839690466808</v>
      </c>
      <c r="AQ175" s="162">
        <v>0</v>
      </c>
      <c r="AR175" s="710" t="str">
        <v>CPS-31650-00r1.asm</v>
      </c>
      <c r="AV175" s="82" t="str">
        <v>0,204,204</v>
      </c>
      <c r="AW175" s="966">
        <v>-90</v>
      </c>
      <c r="AX175" s="966">
        <v>-82.885119576812542</v>
      </c>
      <c r="AY175" s="966">
        <v>0</v>
      </c>
    </row>
    <row r="176" spans="2:58" x14ac:dyDescent="0.25">
      <c r="B176" s="650">
        <v>0.66458422513313709</v>
      </c>
      <c r="C176" s="651">
        <v>-0.42972243956916201</v>
      </c>
      <c r="D176" s="652">
        <v>-0.4889</v>
      </c>
      <c r="E176" s="653">
        <v>-0.54851387399083507</v>
      </c>
      <c r="F176" s="651">
        <v>-0.78335899581040569</v>
      </c>
      <c r="G176" s="654">
        <v>-0.29237170472273688</v>
      </c>
      <c r="H176" s="653">
        <v>0.314</v>
      </c>
      <c r="I176" s="934">
        <v>0.52</v>
      </c>
      <c r="J176" s="938">
        <v>3.1030000000000002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56" t="s">
        <v>404</v>
      </c>
      <c r="M176" s="957">
        <v>15</v>
      </c>
      <c r="N176" s="958" t="s">
        <v>9</v>
      </c>
      <c r="O176" s="959"/>
      <c r="Q176" s="162">
        <f t="shared" si="1070"/>
        <v>0.66458422513313709</v>
      </c>
      <c r="R176" s="162">
        <f t="shared" si="1071"/>
        <v>-0.42972243956916201</v>
      </c>
      <c r="S176" s="162">
        <f t="shared" si="1072"/>
        <v>-0.4889</v>
      </c>
      <c r="T176" s="162">
        <f t="shared" si="1073"/>
        <v>0.54851387399083507</v>
      </c>
      <c r="U176" s="162">
        <f t="shared" si="1074"/>
        <v>0.78335899581040569</v>
      </c>
      <c r="V176" s="162">
        <f t="shared" si="1075"/>
        <v>0.29237170472273688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76"/>
        <v>0.52</v>
      </c>
      <c r="Y176" s="75">
        <v>3.1030000000000002</v>
      </c>
      <c r="Z176" s="931">
        <f t="shared" si="1077"/>
        <v>1613</v>
      </c>
      <c r="AA176" s="82"/>
      <c r="AB176" s="75"/>
      <c r="AC176" s="166">
        <v>6.1000299999999994</v>
      </c>
      <c r="AD176" s="166">
        <v>-2.65625</v>
      </c>
      <c r="AE176" s="75">
        <v>4.1159999999999997</v>
      </c>
      <c r="AF176" s="82">
        <v>4</v>
      </c>
      <c r="AG176" s="82">
        <v>1</v>
      </c>
      <c r="AH176" s="82">
        <v>1</v>
      </c>
      <c r="AI176" s="82">
        <v>0.99999999998544808</v>
      </c>
      <c r="AJ176" s="166">
        <v>4.1161099999999999</v>
      </c>
      <c r="AK176" s="82" t="str">
        <v>Model Space</v>
      </c>
      <c r="AL176" s="162">
        <v>-7.96875</v>
      </c>
      <c r="AM176" s="162">
        <v>-3.6040192688164141</v>
      </c>
      <c r="AN176" s="162">
        <v>-1.0744470063769305</v>
      </c>
      <c r="AO176" s="162">
        <v>-75.083224100282081</v>
      </c>
      <c r="AP176" s="162">
        <v>20.543710441538337</v>
      </c>
      <c r="AQ176" s="162">
        <v>0</v>
      </c>
      <c r="AR176" s="710" t="str">
        <v>CPS-31654-00(.020)r1.asm</v>
      </c>
      <c r="AV176" s="82" t="str">
        <v>0,204,204</v>
      </c>
      <c r="AW176" s="966">
        <v>-78.53</v>
      </c>
      <c r="AX176" s="966">
        <v>-75.083224100282081</v>
      </c>
      <c r="AY176" s="966">
        <v>0</v>
      </c>
    </row>
    <row r="177" spans="2:51" x14ac:dyDescent="0.25">
      <c r="B177" s="650">
        <v>1.271657805155709</v>
      </c>
      <c r="C177" s="651">
        <v>-0.85479993654892239</v>
      </c>
      <c r="D177" s="652">
        <v>-0.29039999999999999</v>
      </c>
      <c r="E177" s="653">
        <v>-0.55403229322232361</v>
      </c>
      <c r="F177" s="651">
        <v>-0.79124011523622373</v>
      </c>
      <c r="G177" s="654">
        <v>-0.25881904510252074</v>
      </c>
      <c r="H177" s="653">
        <v>0.314</v>
      </c>
      <c r="I177" s="934">
        <v>0.52</v>
      </c>
      <c r="J177" s="938">
        <v>3.1059999999999999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56" t="s">
        <v>405</v>
      </c>
      <c r="M177" s="957">
        <v>15</v>
      </c>
      <c r="N177" s="958" t="s">
        <v>9</v>
      </c>
      <c r="O177" s="959"/>
      <c r="Q177" s="162">
        <f t="shared" si="1070"/>
        <v>1.271657805155709</v>
      </c>
      <c r="R177" s="162">
        <f t="shared" si="1071"/>
        <v>-0.85479993654892239</v>
      </c>
      <c r="S177" s="162">
        <f t="shared" si="1072"/>
        <v>-0.29039999999999999</v>
      </c>
      <c r="T177" s="162">
        <f t="shared" si="1073"/>
        <v>0.55403229322232361</v>
      </c>
      <c r="U177" s="162">
        <f t="shared" si="1074"/>
        <v>0.79124011523622373</v>
      </c>
      <c r="V177" s="162">
        <f t="shared" si="1075"/>
        <v>0.25881904510252074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76"/>
        <v>0.52</v>
      </c>
      <c r="Y177" s="75">
        <v>3.1059999999999999</v>
      </c>
      <c r="Z177" s="931">
        <f t="shared" si="1077"/>
        <v>1613</v>
      </c>
      <c r="AA177" s="82"/>
      <c r="AB177" s="75"/>
      <c r="AC177" s="166">
        <v>5.1000299999999994</v>
      </c>
      <c r="AD177" s="166">
        <v>-2.125</v>
      </c>
      <c r="AE177" s="75">
        <v>4.1130000000000004</v>
      </c>
      <c r="AF177" s="82">
        <v>4</v>
      </c>
      <c r="AG177" s="82">
        <v>1</v>
      </c>
      <c r="AH177" s="82">
        <v>1</v>
      </c>
      <c r="AI177" s="82">
        <v>1.0000000000582077</v>
      </c>
      <c r="AJ177" s="166">
        <v>4.1131100000000007</v>
      </c>
      <c r="AK177" s="82" t="str">
        <v>Model Space</v>
      </c>
      <c r="AL177" s="162">
        <v>-7.96875</v>
      </c>
      <c r="AM177" s="162">
        <v>-3.2370764665049228</v>
      </c>
      <c r="AN177" s="162">
        <v>-0.40322648408548412</v>
      </c>
      <c r="AO177" s="162">
        <v>-53.859060958229826</v>
      </c>
      <c r="AP177" s="162">
        <v>16.015570855073868</v>
      </c>
      <c r="AQ177" s="162">
        <v>0</v>
      </c>
      <c r="AR177" s="710" t="str">
        <v>CPS-31654-00(.020)r1.asm</v>
      </c>
      <c r="AV177" s="82" t="str">
        <v>0,204,204</v>
      </c>
      <c r="AW177" s="966">
        <v>-45.319999999999993</v>
      </c>
      <c r="AX177" s="966">
        <v>-53.859060958229826</v>
      </c>
      <c r="AY177" s="966">
        <v>0</v>
      </c>
    </row>
    <row r="178" spans="2:51" x14ac:dyDescent="0.25">
      <c r="B178" s="650">
        <v>1.8931476111310235</v>
      </c>
      <c r="C178" s="651">
        <v>-1.296075656557135</v>
      </c>
      <c r="D178" s="652">
        <v>-0.13729999999999995</v>
      </c>
      <c r="E178" s="653">
        <v>-0.59738279189718546</v>
      </c>
      <c r="F178" s="651">
        <v>-0.75917135532942071</v>
      </c>
      <c r="G178" s="654">
        <v>-0.25844274644960458</v>
      </c>
      <c r="H178" s="653">
        <v>0.314</v>
      </c>
      <c r="I178" s="934">
        <v>0.52</v>
      </c>
      <c r="J178" s="938">
        <v>3.109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956" t="s">
        <v>404</v>
      </c>
      <c r="M178" s="957">
        <v>-0.29000000000000625</v>
      </c>
      <c r="N178" s="958" t="s">
        <v>9</v>
      </c>
      <c r="O178" s="959"/>
      <c r="Q178" s="162">
        <f t="shared" si="1070"/>
        <v>1.8931476111310235</v>
      </c>
      <c r="R178" s="162">
        <f t="shared" si="1071"/>
        <v>-1.296075656557135</v>
      </c>
      <c r="S178" s="162">
        <f t="shared" si="1072"/>
        <v>-0.13729999999999995</v>
      </c>
      <c r="T178" s="162">
        <f t="shared" si="1073"/>
        <v>0.59738279189718546</v>
      </c>
      <c r="U178" s="162">
        <f t="shared" si="1074"/>
        <v>0.75917135532942071</v>
      </c>
      <c r="V178" s="162">
        <f t="shared" si="1075"/>
        <v>0.25844274644960458</v>
      </c>
      <c r="W178" s="162">
        <f>IFERROR(IF(ISNUMBER(MATCH($Z178,Settings!$AK$28:$AK$36,0)),INDEX(Settings!$AO$14:$AO$36,MATCH($Z178,Settings!$AK$14:$AK$36,0))/2,INDEX(Settings!$AM$14:$AM$36,MATCH($Z178,Settings!$AK$14:$AK$36,0))/2),"")</f>
        <v>0.3125</v>
      </c>
      <c r="X178" s="162">
        <f t="shared" si="1076"/>
        <v>0.52</v>
      </c>
      <c r="Y178" s="75">
        <v>3.109</v>
      </c>
      <c r="Z178" s="931">
        <f t="shared" si="1077"/>
        <v>1613</v>
      </c>
      <c r="AA178" s="82"/>
      <c r="AB178" s="75"/>
      <c r="AC178" s="166">
        <v>4.1000299999999994</v>
      </c>
      <c r="AD178" s="166">
        <v>-1.59375</v>
      </c>
      <c r="AE178" s="75">
        <v>4.1100000000000003</v>
      </c>
      <c r="AF178" s="82">
        <v>4</v>
      </c>
      <c r="AG178" s="82">
        <v>1</v>
      </c>
      <c r="AH178" s="82">
        <v>1</v>
      </c>
      <c r="AI178" s="82">
        <v>1.0000000000582077</v>
      </c>
      <c r="AJ178" s="166">
        <v>4.1101100000000006</v>
      </c>
      <c r="AK178" s="82" t="str">
        <v>Model Space</v>
      </c>
      <c r="AL178" s="162">
        <v>-7.96875</v>
      </c>
      <c r="AM178" s="162">
        <v>-2.5526383919388191</v>
      </c>
      <c r="AN178" s="162">
        <v>-3.6060169800399722E-2</v>
      </c>
      <c r="AO178" s="162">
        <v>-24.289475319261033</v>
      </c>
      <c r="AP178" s="162">
        <v>15.677480903393381</v>
      </c>
      <c r="AQ178" s="162">
        <v>0</v>
      </c>
      <c r="AR178" s="710" t="str">
        <v>CPS-31654-00(.020)r1.asm</v>
      </c>
      <c r="AV178" s="82" t="str">
        <v>0,204,204</v>
      </c>
      <c r="AW178" s="966">
        <v>-11.469999999999999</v>
      </c>
      <c r="AX178" s="966">
        <v>-24.289475319261033</v>
      </c>
      <c r="AY178" s="966">
        <v>0</v>
      </c>
    </row>
    <row r="179" spans="2:51" x14ac:dyDescent="0.25">
      <c r="B179" s="650">
        <v>2.4760574781498184</v>
      </c>
      <c r="C179" s="651">
        <v>-1.753919065303106</v>
      </c>
      <c r="D179" s="652">
        <v>-0.36610000000000009</v>
      </c>
      <c r="E179" s="653">
        <v>-0.71458454858824527</v>
      </c>
      <c r="F179" s="651">
        <v>-0.67207787586015122</v>
      </c>
      <c r="G179" s="654">
        <v>-0.1941140172636712</v>
      </c>
      <c r="H179" s="653">
        <v>0.314</v>
      </c>
      <c r="I179" s="934">
        <v>0.52</v>
      </c>
      <c r="J179" s="938">
        <v>3.1120000000000001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956" t="s">
        <v>405</v>
      </c>
      <c r="M179" s="957">
        <v>-34.049999999999997</v>
      </c>
      <c r="N179" s="958" t="s">
        <v>9</v>
      </c>
      <c r="O179" s="959"/>
      <c r="Q179" s="162">
        <f t="shared" si="1070"/>
        <v>2.4760574781498184</v>
      </c>
      <c r="R179" s="162">
        <f t="shared" si="1071"/>
        <v>-1.753919065303106</v>
      </c>
      <c r="S179" s="162">
        <f t="shared" si="1072"/>
        <v>-0.36610000000000009</v>
      </c>
      <c r="T179" s="162">
        <f t="shared" si="1073"/>
        <v>0.71458454858824527</v>
      </c>
      <c r="U179" s="162">
        <f t="shared" si="1074"/>
        <v>0.67207787586015122</v>
      </c>
      <c r="V179" s="162">
        <f t="shared" si="1075"/>
        <v>0.1941140172636712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76"/>
        <v>0.52</v>
      </c>
      <c r="Y179" s="75">
        <v>3.1120000000000001</v>
      </c>
      <c r="Z179" s="931">
        <f t="shared" si="1077"/>
        <v>1613</v>
      </c>
      <c r="AA179" s="82"/>
      <c r="AB179" s="75"/>
      <c r="AC179" s="166">
        <v>3.1000300000000003</v>
      </c>
      <c r="AD179" s="166">
        <v>-1.0625</v>
      </c>
      <c r="AE179" s="75">
        <v>3.1179999999999999</v>
      </c>
      <c r="AF179" s="82">
        <v>3</v>
      </c>
      <c r="AG179" s="82">
        <v>1</v>
      </c>
      <c r="AH179" s="82">
        <v>1</v>
      </c>
      <c r="AI179" s="82">
        <v>0.99999999998544808</v>
      </c>
      <c r="AJ179" s="166">
        <v>3.1181099999999997</v>
      </c>
      <c r="AK179" s="82" t="str">
        <v>Model Space</v>
      </c>
      <c r="AL179" s="162">
        <v>-7.4375</v>
      </c>
      <c r="AM179" s="162">
        <v>-3.7648373792018002</v>
      </c>
      <c r="AN179" s="162">
        <v>-1.5380056536225626</v>
      </c>
      <c r="AO179" s="162">
        <v>-82.885057651821043</v>
      </c>
      <c r="AP179" s="162">
        <v>29.814555396089474</v>
      </c>
      <c r="AQ179" s="162">
        <v>0</v>
      </c>
      <c r="AR179" s="710" t="str">
        <v>CPS-31650-00r1.asm</v>
      </c>
      <c r="AV179" s="82" t="str">
        <v>0,204,0</v>
      </c>
      <c r="AW179" s="966">
        <v>-90</v>
      </c>
      <c r="AX179" s="966">
        <v>-82.885057651821043</v>
      </c>
      <c r="AY179" s="966">
        <v>0</v>
      </c>
    </row>
    <row r="180" spans="2:51" x14ac:dyDescent="0.25">
      <c r="B180" s="650">
        <v>2.8512048091440381</v>
      </c>
      <c r="C180" s="651">
        <v>-2.0734881502407956</v>
      </c>
      <c r="D180" s="652">
        <v>-0.95810000000000006</v>
      </c>
      <c r="E180" s="653">
        <v>-0.81096051266221358</v>
      </c>
      <c r="F180" s="651">
        <v>-0.56772633304069142</v>
      </c>
      <c r="G180" s="654">
        <v>-0.14152687969007821</v>
      </c>
      <c r="H180" s="653">
        <v>0.314</v>
      </c>
      <c r="I180" s="934">
        <v>0.52</v>
      </c>
      <c r="J180" s="938">
        <v>3.1150000000000002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56" t="s">
        <v>404</v>
      </c>
      <c r="M180" s="957">
        <v>-67.47999999999999</v>
      </c>
      <c r="N180" s="958" t="s">
        <v>9</v>
      </c>
      <c r="O180" s="959"/>
      <c r="Q180" s="162">
        <f t="shared" si="1070"/>
        <v>2.8512048091440381</v>
      </c>
      <c r="R180" s="162">
        <f t="shared" si="1071"/>
        <v>-2.0734881502407956</v>
      </c>
      <c r="S180" s="162">
        <f t="shared" si="1072"/>
        <v>-0.95810000000000006</v>
      </c>
      <c r="T180" s="162">
        <f t="shared" si="1073"/>
        <v>0.81096051266221358</v>
      </c>
      <c r="U180" s="162">
        <f t="shared" si="1074"/>
        <v>0.56772633304069142</v>
      </c>
      <c r="V180" s="162">
        <f t="shared" si="1075"/>
        <v>0.14152687969007821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76"/>
        <v>0.52</v>
      </c>
      <c r="Y180" s="75">
        <v>3.1150000000000002</v>
      </c>
      <c r="Z180" s="931">
        <f t="shared" si="1077"/>
        <v>1613</v>
      </c>
      <c r="AA180" s="82"/>
      <c r="AB180" s="75"/>
      <c r="AC180" s="166">
        <v>2.1000300000000003</v>
      </c>
      <c r="AD180" s="166">
        <v>-0.53125</v>
      </c>
      <c r="AE180" s="75">
        <v>3.1150000000000002</v>
      </c>
      <c r="AF180" s="82">
        <v>3</v>
      </c>
      <c r="AG180" s="82">
        <v>1</v>
      </c>
      <c r="AH180" s="82">
        <v>1</v>
      </c>
      <c r="AI180" s="82">
        <v>1.0000000000218279</v>
      </c>
      <c r="AJ180" s="166">
        <v>3.11511</v>
      </c>
      <c r="AK180" s="82" t="str">
        <v>Model Space</v>
      </c>
      <c r="AL180" s="162">
        <v>-7.4375</v>
      </c>
      <c r="AM180" s="162">
        <v>-3.5254392595639894</v>
      </c>
      <c r="AN180" s="162">
        <v>-0.86672399006468803</v>
      </c>
      <c r="AO180" s="162">
        <v>-66.270532964921799</v>
      </c>
      <c r="AP180" s="162">
        <v>20.590758432190892</v>
      </c>
      <c r="AQ180" s="162">
        <v>0</v>
      </c>
      <c r="AR180" s="710" t="str">
        <v>CPS-31654-00(.020)r1.asm</v>
      </c>
      <c r="AV180" s="82" t="str">
        <v>0,204,0</v>
      </c>
      <c r="AW180" s="966">
        <v>-67.47999999999999</v>
      </c>
      <c r="AX180" s="966">
        <v>-66.270532964921799</v>
      </c>
      <c r="AY180" s="966">
        <v>0</v>
      </c>
    </row>
    <row r="181" spans="2:51" x14ac:dyDescent="0.25">
      <c r="B181" s="650">
        <v>3.0270053727053452</v>
      </c>
      <c r="C181" s="651">
        <v>-2.2385796759213319</v>
      </c>
      <c r="D181" s="652">
        <v>-1.6296999999999999</v>
      </c>
      <c r="E181" s="653">
        <v>-0.91257605466996394</v>
      </c>
      <c r="F181" s="651">
        <v>-0.40424314982034115</v>
      </c>
      <c r="G181" s="654">
        <v>-6.1582629582798941E-2</v>
      </c>
      <c r="H181" s="653">
        <v>0.26600000000000001</v>
      </c>
      <c r="I181" s="934">
        <v>0.52</v>
      </c>
      <c r="J181" s="938">
        <v>3.1179999999999999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956" t="s">
        <v>403</v>
      </c>
      <c r="M181" s="957">
        <v>-90</v>
      </c>
      <c r="N181" s="958" t="s">
        <v>9</v>
      </c>
      <c r="O181" s="959"/>
      <c r="Q181" s="162">
        <f t="shared" si="1070"/>
        <v>3.0270053727053452</v>
      </c>
      <c r="R181" s="162">
        <f t="shared" si="1071"/>
        <v>-2.2385796759213319</v>
      </c>
      <c r="S181" s="162">
        <f t="shared" si="1072"/>
        <v>-1.6296999999999999</v>
      </c>
      <c r="T181" s="162">
        <f t="shared" si="1073"/>
        <v>0.91257605466996394</v>
      </c>
      <c r="U181" s="162">
        <f t="shared" si="1074"/>
        <v>0.40424314982034115</v>
      </c>
      <c r="V181" s="162">
        <f t="shared" si="1075"/>
        <v>6.1582629582798941E-2</v>
      </c>
      <c r="W181" s="162">
        <f>IFERROR(IF(ISNUMBER(MATCH($Z181,Settings!$AK$28:$AK$36,0)),INDEX(Settings!$AO$14:$AO$36,MATCH($Z181,Settings!$AK$14:$AK$36,0))/2,INDEX(Settings!$AM$14:$AM$36,MATCH($Z181,Settings!$AK$14:$AK$36,0))/2),"")</f>
        <v>0.26450000000000001</v>
      </c>
      <c r="X181" s="162">
        <f t="shared" si="1076"/>
        <v>0.52</v>
      </c>
      <c r="Y181" s="75">
        <v>3.1179999999999999</v>
      </c>
      <c r="Z181" s="931">
        <f t="shared" si="1077"/>
        <v>1313</v>
      </c>
      <c r="AA181" s="82"/>
      <c r="AB181" s="75"/>
      <c r="AC181" s="166">
        <v>1.1000300000000001</v>
      </c>
      <c r="AD181" s="166">
        <v>0</v>
      </c>
      <c r="AE181" s="75">
        <v>3.1120000000000001</v>
      </c>
      <c r="AF181" s="82">
        <v>3</v>
      </c>
      <c r="AG181" s="82">
        <v>1</v>
      </c>
      <c r="AH181" s="82">
        <v>1</v>
      </c>
      <c r="AI181" s="82">
        <v>0.99999999998544808</v>
      </c>
      <c r="AJ181" s="166">
        <v>3.1121099999999999</v>
      </c>
      <c r="AK181" s="82" t="str">
        <v>Model Space</v>
      </c>
      <c r="AL181" s="162">
        <v>-7.4375</v>
      </c>
      <c r="AM181" s="162">
        <v>-3.0343191530778957</v>
      </c>
      <c r="AN181" s="162">
        <v>-0.27521978879795528</v>
      </c>
      <c r="AO181" s="162">
        <v>-45.076664077700258</v>
      </c>
      <c r="AP181" s="162">
        <v>15.955264211158095</v>
      </c>
      <c r="AQ181" s="162">
        <v>0</v>
      </c>
      <c r="AR181" s="710" t="str">
        <v>CPS-32425r1.par</v>
      </c>
      <c r="AV181" s="82" t="str">
        <v>0,204,0</v>
      </c>
      <c r="AW181" s="966">
        <v>-34.049999999999997</v>
      </c>
      <c r="AX181" s="966">
        <v>-45.076664077700258</v>
      </c>
      <c r="AY181" s="966">
        <v>0</v>
      </c>
    </row>
    <row r="182" spans="2:51" x14ac:dyDescent="0.25">
      <c r="B182" s="650">
        <v>1.3999999999999967E-2</v>
      </c>
      <c r="C182" s="651">
        <v>-2.5526</v>
      </c>
      <c r="D182" s="652">
        <v>-0.16470000000000001</v>
      </c>
      <c r="E182" s="653">
        <v>-0.96339317828794302</v>
      </c>
      <c r="F182" s="651">
        <v>0.1058728565084552</v>
      </c>
      <c r="G182" s="654">
        <v>-0.24630168956585693</v>
      </c>
      <c r="H182" s="653">
        <v>0.314</v>
      </c>
      <c r="I182" s="934">
        <v>0.52</v>
      </c>
      <c r="J182" s="938">
        <v>4.1100000000000003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56" t="s">
        <v>404</v>
      </c>
      <c r="M182" s="957">
        <v>-11.469999999999999</v>
      </c>
      <c r="N182" s="958" t="s">
        <v>9</v>
      </c>
      <c r="O182" s="959"/>
      <c r="Q182" s="162">
        <f t="shared" si="1070"/>
        <v>1.3999999999999967E-2</v>
      </c>
      <c r="R182" s="162">
        <f t="shared" si="1071"/>
        <v>-2.5526</v>
      </c>
      <c r="S182" s="162">
        <f t="shared" si="1072"/>
        <v>-0.16470000000000001</v>
      </c>
      <c r="T182" s="162">
        <f t="shared" si="1073"/>
        <v>0.96339317828794302</v>
      </c>
      <c r="U182" s="162">
        <f t="shared" si="1074"/>
        <v>-0.1058728565084552</v>
      </c>
      <c r="V182" s="162">
        <f t="shared" si="1075"/>
        <v>0.24630168956585693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76"/>
        <v>0.52</v>
      </c>
      <c r="Y182" s="75">
        <v>4.1100000000000003</v>
      </c>
      <c r="Z182" s="931">
        <f t="shared" si="1077"/>
        <v>1613</v>
      </c>
      <c r="AA182" s="82"/>
      <c r="AB182" s="75"/>
      <c r="AC182" s="75"/>
      <c r="AD182" s="166"/>
      <c r="AE182" s="75">
        <v>3.109</v>
      </c>
      <c r="AF182" s="82">
        <v>3</v>
      </c>
      <c r="AG182" s="82">
        <v>1</v>
      </c>
      <c r="AH182" s="82">
        <v>1</v>
      </c>
      <c r="AI182" s="82">
        <v>0.99999999998544808</v>
      </c>
      <c r="AJ182" s="166">
        <v>3.1091099999999998</v>
      </c>
      <c r="AK182" s="82" t="str">
        <v>Model Space</v>
      </c>
      <c r="AL182" s="162">
        <v>-7.4375</v>
      </c>
      <c r="AM182" s="162">
        <v>-2.2943016334063637</v>
      </c>
      <c r="AN182" s="162">
        <v>-4.7055770219556134E-2</v>
      </c>
      <c r="AO182" s="162">
        <v>-13.922859963601514</v>
      </c>
      <c r="AP182" s="162">
        <v>15.442161250713331</v>
      </c>
      <c r="AQ182" s="162">
        <v>0</v>
      </c>
      <c r="AR182" s="710" t="str">
        <v>CPS-31654-00(.020)r1.asm</v>
      </c>
      <c r="AV182" s="82" t="str">
        <v>0,204,0</v>
      </c>
      <c r="AW182" s="966">
        <v>-0.29000000000000625</v>
      </c>
      <c r="AX182" s="966">
        <v>-13.922859963601514</v>
      </c>
      <c r="AY182" s="966">
        <v>0</v>
      </c>
    </row>
    <row r="183" spans="2:51" x14ac:dyDescent="0.25">
      <c r="B183" s="650">
        <v>-3.3800000000000122E-2</v>
      </c>
      <c r="C183" s="651">
        <v>-3.2368999999999994</v>
      </c>
      <c r="D183" s="652">
        <v>-0.53249999999999997</v>
      </c>
      <c r="E183" s="653">
        <v>-0.95880790980406616</v>
      </c>
      <c r="F183" s="651">
        <v>0.23283115881656075</v>
      </c>
      <c r="G183" s="654">
        <v>-0.16271768060446049</v>
      </c>
      <c r="H183" s="653">
        <v>0.314</v>
      </c>
      <c r="I183" s="934">
        <v>0.52</v>
      </c>
      <c r="J183" s="938">
        <v>4.1130000000000004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56" t="s">
        <v>404</v>
      </c>
      <c r="M183" s="957">
        <v>-45.319999999999993</v>
      </c>
      <c r="N183" s="958" t="s">
        <v>9</v>
      </c>
      <c r="O183" s="959"/>
      <c r="Q183" s="162">
        <f t="shared" si="1070"/>
        <v>-3.3800000000000122E-2</v>
      </c>
      <c r="R183" s="162">
        <f t="shared" si="1071"/>
        <v>-3.2368999999999994</v>
      </c>
      <c r="S183" s="162">
        <f t="shared" si="1072"/>
        <v>-0.53249999999999997</v>
      </c>
      <c r="T183" s="162">
        <f t="shared" si="1073"/>
        <v>0.95880790980406616</v>
      </c>
      <c r="U183" s="162">
        <f t="shared" si="1074"/>
        <v>-0.23283115881656075</v>
      </c>
      <c r="V183" s="162">
        <f t="shared" si="1075"/>
        <v>0.16271768060446049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76"/>
        <v>0.52</v>
      </c>
      <c r="Y183" s="75">
        <v>4.1130000000000004</v>
      </c>
      <c r="Z183" s="931">
        <f t="shared" si="1077"/>
        <v>1613</v>
      </c>
      <c r="AA183" s="82"/>
      <c r="AB183" s="75"/>
      <c r="AC183" s="75"/>
      <c r="AD183" s="166"/>
      <c r="AE183" s="75">
        <v>3.1059999999999999</v>
      </c>
      <c r="AF183" s="82">
        <v>3</v>
      </c>
      <c r="AG183" s="82">
        <v>1</v>
      </c>
      <c r="AH183" s="82">
        <v>1</v>
      </c>
      <c r="AI183" s="82">
        <v>0.99999999998544808</v>
      </c>
      <c r="AJ183" s="166">
        <v>3.1061099999999997</v>
      </c>
      <c r="AK183" s="82" t="str">
        <v>Model Space</v>
      </c>
      <c r="AL183" s="162">
        <v>-7.4375</v>
      </c>
      <c r="AM183" s="162">
        <v>-1.5322521022786939</v>
      </c>
      <c r="AN183" s="162">
        <v>-0.20049421572436138</v>
      </c>
      <c r="AO183" s="162">
        <v>-4.0655829489435709</v>
      </c>
      <c r="AP183" s="162">
        <v>15.038734403614487</v>
      </c>
      <c r="AQ183" s="162">
        <v>0</v>
      </c>
      <c r="AR183" s="710" t="str">
        <v>CPS-32425r1.par</v>
      </c>
      <c r="AV183" s="82" t="str">
        <v>0,204,0</v>
      </c>
      <c r="AW183" s="966">
        <v>15</v>
      </c>
      <c r="AX183" s="966">
        <v>-4.0655829489435709</v>
      </c>
      <c r="AY183" s="966">
        <v>0</v>
      </c>
    </row>
    <row r="184" spans="2:51" x14ac:dyDescent="0.25">
      <c r="B184" s="650">
        <v>-7.2000000000000064E-2</v>
      </c>
      <c r="C184" s="651">
        <v>-3.6032999999999999</v>
      </c>
      <c r="D184" s="652">
        <v>-1.2041000000000002</v>
      </c>
      <c r="E184" s="653">
        <v>-0.92944350671006348</v>
      </c>
      <c r="F184" s="651">
        <v>0.35773558925588733</v>
      </c>
      <c r="G184" s="654">
        <v>-9.0332806965372658E-2</v>
      </c>
      <c r="H184" s="653">
        <v>0.314</v>
      </c>
      <c r="I184" s="934">
        <v>0.52</v>
      </c>
      <c r="J184" s="938">
        <v>4.1159999999999997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56" t="s">
        <v>404</v>
      </c>
      <c r="M184" s="957">
        <v>-78.53</v>
      </c>
      <c r="N184" s="958" t="s">
        <v>9</v>
      </c>
      <c r="O184" s="959"/>
      <c r="Q184" s="162">
        <f t="shared" si="1070"/>
        <v>-7.2000000000000064E-2</v>
      </c>
      <c r="R184" s="162">
        <f t="shared" si="1071"/>
        <v>-3.6032999999999999</v>
      </c>
      <c r="S184" s="162">
        <f t="shared" si="1072"/>
        <v>-1.2041000000000002</v>
      </c>
      <c r="T184" s="162">
        <f t="shared" si="1073"/>
        <v>0.92944350671006348</v>
      </c>
      <c r="U184" s="162">
        <f t="shared" si="1074"/>
        <v>-0.35773558925588733</v>
      </c>
      <c r="V184" s="162">
        <f t="shared" si="1075"/>
        <v>9.0332806965372658E-2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76"/>
        <v>0.52</v>
      </c>
      <c r="Y184" s="75">
        <v>4.1159999999999997</v>
      </c>
      <c r="Z184" s="931">
        <f t="shared" si="1077"/>
        <v>1613</v>
      </c>
      <c r="AA184" s="82"/>
      <c r="AB184" s="75"/>
      <c r="AC184" s="75"/>
      <c r="AD184" s="166"/>
      <c r="AE184" s="75">
        <v>3.1030000000000002</v>
      </c>
      <c r="AF184" s="82">
        <v>3</v>
      </c>
      <c r="AG184" s="82">
        <v>1</v>
      </c>
      <c r="AH184" s="82">
        <v>1</v>
      </c>
      <c r="AI184" s="82">
        <v>0.99999999998544808</v>
      </c>
      <c r="AJ184" s="166">
        <v>3.10311</v>
      </c>
      <c r="AK184" s="82" t="str">
        <v>Model Space</v>
      </c>
      <c r="AL184" s="162">
        <v>-7.4375</v>
      </c>
      <c r="AM184" s="162">
        <v>-0.7914123876747724</v>
      </c>
      <c r="AN184" s="162">
        <v>-0.39970385808334707</v>
      </c>
      <c r="AO184" s="162">
        <v>-6.8770281676051894</v>
      </c>
      <c r="AP184" s="162">
        <v>17.126984270285</v>
      </c>
      <c r="AQ184" s="162">
        <v>0</v>
      </c>
      <c r="AR184" s="710" t="str">
        <v>CPS-31654-00(.020)r1.asm</v>
      </c>
      <c r="AV184" s="82" t="str">
        <v>0,204,0</v>
      </c>
      <c r="AW184" s="966">
        <v>15</v>
      </c>
      <c r="AX184" s="966">
        <v>-6.8770281676051894</v>
      </c>
      <c r="AY184" s="966">
        <v>0</v>
      </c>
    </row>
    <row r="185" spans="2:51" x14ac:dyDescent="0.25">
      <c r="B185" s="650">
        <v>-9.7500000000000211E-2</v>
      </c>
      <c r="C185" s="651">
        <v>-3.7636000000000003</v>
      </c>
      <c r="D185" s="652">
        <v>-1.8642000000000003</v>
      </c>
      <c r="E185" s="653">
        <v>-0.85456872390204919</v>
      </c>
      <c r="F185" s="651">
        <v>0.51567419545881021</v>
      </c>
      <c r="G185" s="654">
        <v>-6.1582629582798941E-2</v>
      </c>
      <c r="H185" s="653">
        <v>0.26600000000000001</v>
      </c>
      <c r="I185" s="934">
        <v>0.52</v>
      </c>
      <c r="J185" s="938">
        <v>4.1189999999999998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56" t="s">
        <v>403</v>
      </c>
      <c r="M185" s="957">
        <v>-90</v>
      </c>
      <c r="N185" s="958" t="s">
        <v>9</v>
      </c>
      <c r="O185" s="959"/>
      <c r="Q185" s="162">
        <f t="shared" si="1070"/>
        <v>-9.7500000000000211E-2</v>
      </c>
      <c r="R185" s="162">
        <f t="shared" si="1071"/>
        <v>-3.7636000000000003</v>
      </c>
      <c r="S185" s="162">
        <f t="shared" si="1072"/>
        <v>-1.8642000000000003</v>
      </c>
      <c r="T185" s="162">
        <f t="shared" si="1073"/>
        <v>0.85456872390204919</v>
      </c>
      <c r="U185" s="162">
        <f t="shared" si="1074"/>
        <v>-0.51567419545881021</v>
      </c>
      <c r="V185" s="162">
        <f t="shared" si="1075"/>
        <v>6.1582629582798941E-2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76"/>
        <v>0.52</v>
      </c>
      <c r="Y185" s="75">
        <v>4.1189999999999998</v>
      </c>
      <c r="Z185" s="931">
        <f t="shared" si="1077"/>
        <v>1313</v>
      </c>
      <c r="AA185" s="82"/>
      <c r="AB185" s="75"/>
      <c r="AC185" s="75"/>
      <c r="AD185" s="166"/>
      <c r="AE185" s="75">
        <v>2.12</v>
      </c>
      <c r="AF185" s="82">
        <v>2</v>
      </c>
      <c r="AG185" s="82">
        <v>1</v>
      </c>
      <c r="AH185" s="82">
        <v>1</v>
      </c>
      <c r="AI185" s="82">
        <v>0.99999999998544808</v>
      </c>
      <c r="AJ185" s="166">
        <v>2.1201099999999999</v>
      </c>
      <c r="AK185" s="82" t="str">
        <v>Model Space</v>
      </c>
      <c r="AL185" s="162">
        <v>-6.90625</v>
      </c>
      <c r="AM185" s="162">
        <v>-3.764918427380167</v>
      </c>
      <c r="AN185" s="162">
        <v>-2.0532450229037176</v>
      </c>
      <c r="AO185" s="162">
        <v>-82.88520716961051</v>
      </c>
      <c r="AP185" s="162">
        <v>29.815241834246237</v>
      </c>
      <c r="AQ185" s="162">
        <v>0</v>
      </c>
      <c r="AR185" s="710" t="str">
        <v>CPS-31650-00r1.asm</v>
      </c>
      <c r="AV185" s="82" t="str">
        <v>204,204,0</v>
      </c>
      <c r="AW185" s="966">
        <v>-90</v>
      </c>
      <c r="AX185" s="966">
        <v>-82.88520716961051</v>
      </c>
      <c r="AY185" s="966">
        <v>0</v>
      </c>
    </row>
    <row r="186" spans="2:51" x14ac:dyDescent="0.25">
      <c r="B186" s="650">
        <v>-0.46330906415481299</v>
      </c>
      <c r="C186" s="651">
        <v>-0.30123794179050634</v>
      </c>
      <c r="D186" s="652">
        <v>-0.55299999999999994</v>
      </c>
      <c r="E186" s="653">
        <v>-0.47275928779965803</v>
      </c>
      <c r="F186" s="651">
        <v>0.81884310621908585</v>
      </c>
      <c r="G186" s="654">
        <v>-0.3255681544571567</v>
      </c>
      <c r="H186" s="653">
        <v>0.314</v>
      </c>
      <c r="I186" s="934">
        <v>0.52</v>
      </c>
      <c r="J186" s="938">
        <v>5.1020000000000003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56" t="s">
        <v>404</v>
      </c>
      <c r="M186" s="957">
        <v>15</v>
      </c>
      <c r="N186" s="958" t="s">
        <v>9</v>
      </c>
      <c r="O186" s="959"/>
      <c r="Q186" s="162">
        <f t="shared" si="1070"/>
        <v>-0.46330906415481299</v>
      </c>
      <c r="R186" s="162">
        <f t="shared" si="1071"/>
        <v>-0.30123794179050634</v>
      </c>
      <c r="S186" s="162">
        <f t="shared" si="1072"/>
        <v>-0.55299999999999994</v>
      </c>
      <c r="T186" s="162">
        <f t="shared" si="1073"/>
        <v>0.47275928779965803</v>
      </c>
      <c r="U186" s="162">
        <f t="shared" si="1074"/>
        <v>-0.81884310621908585</v>
      </c>
      <c r="V186" s="162">
        <f t="shared" si="1075"/>
        <v>0.3255681544571567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76"/>
        <v>0.52</v>
      </c>
      <c r="Y186" s="75">
        <v>5.1020000000000003</v>
      </c>
      <c r="Z186" s="931">
        <f t="shared" si="1077"/>
        <v>1613</v>
      </c>
      <c r="AA186" s="82"/>
      <c r="AB186" s="75"/>
      <c r="AC186" s="75"/>
      <c r="AD186" s="166"/>
      <c r="AE186" s="75">
        <v>2.117</v>
      </c>
      <c r="AF186" s="82">
        <v>2</v>
      </c>
      <c r="AG186" s="82">
        <v>1</v>
      </c>
      <c r="AH186" s="82">
        <v>1</v>
      </c>
      <c r="AI186" s="82">
        <v>0.99999999998544808</v>
      </c>
      <c r="AJ186" s="166">
        <v>2.1171099999999998</v>
      </c>
      <c r="AK186" s="82" t="str">
        <v>Model Space</v>
      </c>
      <c r="AL186" s="162">
        <v>-6.90625</v>
      </c>
      <c r="AM186" s="162">
        <v>-3.6339402588383267</v>
      </c>
      <c r="AN186" s="162">
        <v>-1.3954488315627775</v>
      </c>
      <c r="AO186" s="162">
        <v>-82.88220050080588</v>
      </c>
      <c r="AP186" s="162">
        <v>20.519458212808715</v>
      </c>
      <c r="AQ186" s="162">
        <v>0</v>
      </c>
      <c r="AR186" s="710" t="str">
        <v>CPS-31654-00(.020)r1.asm</v>
      </c>
      <c r="AV186" s="82" t="str">
        <v>204,204,0</v>
      </c>
      <c r="AW186" s="966">
        <v>-88.75</v>
      </c>
      <c r="AX186" s="966">
        <v>-82.88220050080588</v>
      </c>
      <c r="AY186" s="966">
        <v>0</v>
      </c>
    </row>
    <row r="187" spans="2:51" x14ac:dyDescent="0.25">
      <c r="B187" s="650">
        <v>-1.0948147885944259</v>
      </c>
      <c r="C187" s="651">
        <v>-0.66583794179050604</v>
      </c>
      <c r="D187" s="652">
        <v>-0.35760000000000003</v>
      </c>
      <c r="E187" s="653">
        <v>-0.48296291314453382</v>
      </c>
      <c r="F187" s="651">
        <v>0.83651630373780828</v>
      </c>
      <c r="G187" s="654">
        <v>-0.25881904510252074</v>
      </c>
      <c r="H187" s="653">
        <v>0.314</v>
      </c>
      <c r="I187" s="934">
        <v>0.52</v>
      </c>
      <c r="J187" s="938">
        <v>5.1050000000000004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56" t="s">
        <v>404</v>
      </c>
      <c r="M187" s="957">
        <v>15</v>
      </c>
      <c r="N187" s="958" t="s">
        <v>9</v>
      </c>
      <c r="O187" s="959"/>
      <c r="Q187" s="162">
        <f t="shared" si="1070"/>
        <v>-1.0948147885944259</v>
      </c>
      <c r="R187" s="162">
        <f t="shared" si="1071"/>
        <v>-0.66583794179050604</v>
      </c>
      <c r="S187" s="162">
        <f t="shared" si="1072"/>
        <v>-0.35760000000000003</v>
      </c>
      <c r="T187" s="162">
        <f t="shared" si="1073"/>
        <v>0.48296291314453382</v>
      </c>
      <c r="U187" s="162">
        <f t="shared" si="1074"/>
        <v>-0.83651630373780828</v>
      </c>
      <c r="V187" s="162">
        <f t="shared" si="1075"/>
        <v>0.25881904510252074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76"/>
        <v>0.52</v>
      </c>
      <c r="Y187" s="75">
        <v>5.1050000000000004</v>
      </c>
      <c r="Z187" s="931">
        <f t="shared" si="1077"/>
        <v>1613</v>
      </c>
      <c r="AA187" s="82"/>
      <c r="AB187" s="75"/>
      <c r="AC187" s="75"/>
      <c r="AD187" s="166"/>
      <c r="AE187" s="75">
        <v>2.1139999999999999</v>
      </c>
      <c r="AF187" s="82">
        <v>2</v>
      </c>
      <c r="AG187" s="82">
        <v>1</v>
      </c>
      <c r="AH187" s="82">
        <v>1</v>
      </c>
      <c r="AI187" s="82">
        <v>0.99999999998544808</v>
      </c>
      <c r="AJ187" s="166">
        <v>2.1141099999999997</v>
      </c>
      <c r="AK187" s="82" t="str">
        <v>Model Space</v>
      </c>
      <c r="AL187" s="162">
        <v>-6.90625</v>
      </c>
      <c r="AM187" s="162">
        <v>-3.4017220332357279</v>
      </c>
      <c r="AN187" s="162">
        <v>-0.68539189084700536</v>
      </c>
      <c r="AO187" s="162">
        <v>-63.345215750387375</v>
      </c>
      <c r="AP187" s="162">
        <v>16.038781128165866</v>
      </c>
      <c r="AQ187" s="162">
        <v>0</v>
      </c>
      <c r="AR187" s="710" t="str">
        <v>CPS-31654-00(.020)r1.asm</v>
      </c>
      <c r="AV187" s="82" t="str">
        <v>204,204,0</v>
      </c>
      <c r="AW187" s="966">
        <v>-56.419999999999987</v>
      </c>
      <c r="AX187" s="966">
        <v>-63.345215750387375</v>
      </c>
      <c r="AY187" s="966">
        <v>0</v>
      </c>
    </row>
    <row r="188" spans="2:51" x14ac:dyDescent="0.25">
      <c r="B188" s="650">
        <v>-1.7480577506690282</v>
      </c>
      <c r="C188" s="651">
        <v>-1.0429879417905059</v>
      </c>
      <c r="D188" s="652">
        <v>-0.1598</v>
      </c>
      <c r="E188" s="653">
        <v>-0.48296291314453366</v>
      </c>
      <c r="F188" s="651">
        <v>0.83651630373780828</v>
      </c>
      <c r="G188" s="654">
        <v>-0.25881904510252079</v>
      </c>
      <c r="H188" s="653">
        <v>0.314</v>
      </c>
      <c r="I188" s="934">
        <v>0.52</v>
      </c>
      <c r="J188" s="938">
        <v>5.1079999999999997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956" t="s">
        <v>405</v>
      </c>
      <c r="M188" s="957">
        <v>10.879999999999995</v>
      </c>
      <c r="N188" s="958" t="s">
        <v>9</v>
      </c>
      <c r="O188" s="959"/>
      <c r="Q188" s="162">
        <f t="shared" si="1070"/>
        <v>-1.7480577506690282</v>
      </c>
      <c r="R188" s="162">
        <f t="shared" si="1071"/>
        <v>-1.0429879417905059</v>
      </c>
      <c r="S188" s="162">
        <f t="shared" si="1072"/>
        <v>-0.1598</v>
      </c>
      <c r="T188" s="162">
        <f t="shared" si="1073"/>
        <v>0.48296291314453366</v>
      </c>
      <c r="U188" s="162">
        <f t="shared" si="1074"/>
        <v>-0.83651630373780828</v>
      </c>
      <c r="V188" s="162">
        <f t="shared" si="1075"/>
        <v>0.25881904510252079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76"/>
        <v>0.52</v>
      </c>
      <c r="Y188" s="75">
        <v>5.1079999999999997</v>
      </c>
      <c r="Z188" s="931">
        <f t="shared" si="1077"/>
        <v>1613</v>
      </c>
      <c r="AA188" s="82"/>
      <c r="AB188" s="75"/>
      <c r="AC188" s="75"/>
      <c r="AD188" s="166"/>
      <c r="AE188" s="75">
        <v>2.1110000000000002</v>
      </c>
      <c r="AF188" s="82">
        <v>2</v>
      </c>
      <c r="AG188" s="82">
        <v>1</v>
      </c>
      <c r="AH188" s="82">
        <v>1</v>
      </c>
      <c r="AI188" s="82">
        <v>1.0000000000218279</v>
      </c>
      <c r="AJ188" s="166">
        <v>2.11111</v>
      </c>
      <c r="AK188" s="82" t="str">
        <v>Model Space</v>
      </c>
      <c r="AL188" s="162">
        <v>-6.90625</v>
      </c>
      <c r="AM188" s="162">
        <v>-2.8032563903699868</v>
      </c>
      <c r="AN188" s="162">
        <v>-0.1964756372277684</v>
      </c>
      <c r="AO188" s="162">
        <v>-34.205056903293304</v>
      </c>
      <c r="AP188" s="162">
        <v>15.850091478411221</v>
      </c>
      <c r="AQ188" s="162">
        <v>0</v>
      </c>
      <c r="AR188" s="710" t="str">
        <v>CPS-31654-00(.020)r1.asm</v>
      </c>
      <c r="AV188" s="82" t="str">
        <v>204,204,0</v>
      </c>
      <c r="AW188" s="966">
        <v>-22.760000000000005</v>
      </c>
      <c r="AX188" s="966">
        <v>-34.205056903293304</v>
      </c>
      <c r="AY188" s="966">
        <v>0</v>
      </c>
    </row>
    <row r="189" spans="2:51" x14ac:dyDescent="0.25">
      <c r="B189" s="650">
        <v>-2.4276786582350987</v>
      </c>
      <c r="C189" s="651">
        <v>-1.4016500000000001</v>
      </c>
      <c r="D189" s="652">
        <v>-0.24199999999999997</v>
      </c>
      <c r="E189" s="653">
        <v>-0.34803108954422457</v>
      </c>
      <c r="F189" s="651">
        <v>0.90986409006369029</v>
      </c>
      <c r="G189" s="654">
        <v>-0.22587983159908892</v>
      </c>
      <c r="H189" s="653">
        <v>0.314</v>
      </c>
      <c r="I189" s="934">
        <v>0.52</v>
      </c>
      <c r="J189" s="938">
        <v>5.1109999999999998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56" t="s">
        <v>404</v>
      </c>
      <c r="M189" s="957">
        <v>-22.760000000000005</v>
      </c>
      <c r="N189" s="958" t="s">
        <v>9</v>
      </c>
      <c r="O189" s="959"/>
      <c r="Q189" s="162">
        <f t="shared" si="1070"/>
        <v>-2.4276786582350987</v>
      </c>
      <c r="R189" s="162">
        <f t="shared" si="1071"/>
        <v>-1.4016500000000001</v>
      </c>
      <c r="S189" s="162">
        <f t="shared" si="1072"/>
        <v>-0.24199999999999997</v>
      </c>
      <c r="T189" s="162">
        <f t="shared" si="1073"/>
        <v>0.34803108954422457</v>
      </c>
      <c r="U189" s="162">
        <f t="shared" si="1074"/>
        <v>-0.90986409006369029</v>
      </c>
      <c r="V189" s="162">
        <f t="shared" si="1075"/>
        <v>0.22587983159908892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76"/>
        <v>0.52</v>
      </c>
      <c r="Y189" s="75">
        <v>5.1109999999999998</v>
      </c>
      <c r="Z189" s="931">
        <f t="shared" si="1077"/>
        <v>1613</v>
      </c>
      <c r="AA189" s="82"/>
      <c r="AB189" s="75"/>
      <c r="AC189" s="75"/>
      <c r="AD189" s="166"/>
      <c r="AE189" s="75">
        <v>2.1080000000000001</v>
      </c>
      <c r="AF189" s="82">
        <v>2</v>
      </c>
      <c r="AG189" s="82">
        <v>1</v>
      </c>
      <c r="AH189" s="82">
        <v>1</v>
      </c>
      <c r="AI189" s="82">
        <v>0.99999999998544808</v>
      </c>
      <c r="AJ189" s="166">
        <v>2.1081099999999999</v>
      </c>
      <c r="AK189" s="82" t="str">
        <v>Model Space</v>
      </c>
      <c r="AL189" s="162">
        <v>-6.90625</v>
      </c>
      <c r="AM189" s="162">
        <v>-2.0355661979887705</v>
      </c>
      <c r="AN189" s="162">
        <v>-0.11484655718658363</v>
      </c>
      <c r="AO189" s="162">
        <v>-3.0670934370780145</v>
      </c>
      <c r="AP189" s="162">
        <v>15.022023941711254</v>
      </c>
      <c r="AQ189" s="162">
        <v>0</v>
      </c>
      <c r="AR189" s="710" t="str">
        <v>CPS-31654-00(.020)r1.asm</v>
      </c>
      <c r="AV189" s="82" t="str">
        <v>204,204,0</v>
      </c>
      <c r="AW189" s="966">
        <v>10.879999999999995</v>
      </c>
      <c r="AX189" s="966">
        <v>-3.0670934370780145</v>
      </c>
      <c r="AY189" s="966">
        <v>0</v>
      </c>
    </row>
    <row r="190" spans="2:51" x14ac:dyDescent="0.25">
      <c r="B190" s="650">
        <v>-2.9705984522385713</v>
      </c>
      <c r="C190" s="651">
        <v>-1.6574853323511565</v>
      </c>
      <c r="D190" s="652">
        <v>-0.73150000000000015</v>
      </c>
      <c r="E190" s="653">
        <v>-0.25265165150270341</v>
      </c>
      <c r="F190" s="651">
        <v>0.95958552811591202</v>
      </c>
      <c r="G190" s="654">
        <v>-0.12394659020506731</v>
      </c>
      <c r="H190" s="653">
        <v>0.314</v>
      </c>
      <c r="I190" s="934">
        <v>0.52</v>
      </c>
      <c r="J190" s="938">
        <v>5.1139999999999999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56" t="s">
        <v>405</v>
      </c>
      <c r="M190" s="957">
        <v>-56.419999999999987</v>
      </c>
      <c r="N190" s="958" t="s">
        <v>9</v>
      </c>
      <c r="O190" s="959"/>
      <c r="Q190" s="162">
        <f t="shared" si="1070"/>
        <v>-2.9705984522385713</v>
      </c>
      <c r="R190" s="162">
        <f t="shared" si="1071"/>
        <v>-1.6574853323511565</v>
      </c>
      <c r="S190" s="162">
        <f t="shared" si="1072"/>
        <v>-0.73150000000000015</v>
      </c>
      <c r="T190" s="162">
        <f t="shared" si="1073"/>
        <v>0.25265165150270341</v>
      </c>
      <c r="U190" s="162">
        <f t="shared" si="1074"/>
        <v>-0.95958552811591202</v>
      </c>
      <c r="V190" s="162">
        <f t="shared" si="1075"/>
        <v>0.12394659020506731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76"/>
        <v>0.52</v>
      </c>
      <c r="Y190" s="75">
        <v>5.1139999999999999</v>
      </c>
      <c r="Z190" s="931">
        <f t="shared" si="1077"/>
        <v>1613</v>
      </c>
      <c r="AA190" s="82"/>
      <c r="AB190" s="75"/>
      <c r="AC190" s="75"/>
      <c r="AD190" s="166"/>
      <c r="AE190" s="75">
        <v>1.119</v>
      </c>
      <c r="AF190" s="82">
        <v>1</v>
      </c>
      <c r="AG190" s="82">
        <v>1</v>
      </c>
      <c r="AH190" s="82">
        <v>1</v>
      </c>
      <c r="AI190" s="82">
        <v>1.000000000003638</v>
      </c>
      <c r="AJ190" s="166">
        <v>1.11911</v>
      </c>
      <c r="AK190" s="82" t="str">
        <v>Model Space</v>
      </c>
      <c r="AL190" s="162">
        <v>-6.375</v>
      </c>
      <c r="AM190" s="162">
        <v>-3.764862707988168</v>
      </c>
      <c r="AN190" s="162">
        <v>-1.8593114081413511</v>
      </c>
      <c r="AO190" s="162">
        <v>-82.885119576812528</v>
      </c>
      <c r="AP190" s="162">
        <v>29.814839690466783</v>
      </c>
      <c r="AQ190" s="162">
        <v>0</v>
      </c>
      <c r="AR190" s="710" t="str">
        <v>CPS-31650-00r1.asm</v>
      </c>
      <c r="AV190" s="82" t="str">
        <v>255,127,0</v>
      </c>
      <c r="AW190" s="966">
        <v>-90</v>
      </c>
      <c r="AX190" s="966">
        <v>-82.885119576812528</v>
      </c>
      <c r="AY190" s="966">
        <v>0</v>
      </c>
    </row>
    <row r="191" spans="2:51" x14ac:dyDescent="0.25">
      <c r="B191" s="650">
        <v>-3.1841431408358036</v>
      </c>
      <c r="C191" s="651">
        <v>-1.7512150820142742</v>
      </c>
      <c r="D191" s="652">
        <v>-1.4417999999999995</v>
      </c>
      <c r="E191" s="653">
        <v>-0.14655833989744854</v>
      </c>
      <c r="F191" s="651">
        <v>0.98824803676215811</v>
      </c>
      <c r="G191" s="654">
        <v>-4.3433522102683489E-2</v>
      </c>
      <c r="H191" s="653">
        <v>0.314</v>
      </c>
      <c r="I191" s="934">
        <v>0.52</v>
      </c>
      <c r="J191" s="938">
        <v>5.117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56" t="s">
        <v>404</v>
      </c>
      <c r="M191" s="957">
        <v>-88.75</v>
      </c>
      <c r="N191" s="958" t="s">
        <v>9</v>
      </c>
      <c r="O191" s="959"/>
      <c r="Q191" s="162">
        <f t="shared" si="1070"/>
        <v>-3.1841431408358036</v>
      </c>
      <c r="R191" s="162">
        <f t="shared" si="1071"/>
        <v>-1.7512150820142742</v>
      </c>
      <c r="S191" s="162">
        <f t="shared" si="1072"/>
        <v>-1.4417999999999995</v>
      </c>
      <c r="T191" s="162">
        <f t="shared" si="1073"/>
        <v>0.14655833989744854</v>
      </c>
      <c r="U191" s="162">
        <f t="shared" si="1074"/>
        <v>-0.98824803676215811</v>
      </c>
      <c r="V191" s="162">
        <f t="shared" si="1075"/>
        <v>4.3433522102683489E-2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76"/>
        <v>0.52</v>
      </c>
      <c r="Y191" s="75">
        <v>5.117</v>
      </c>
      <c r="Z191" s="931">
        <f t="shared" si="1077"/>
        <v>1613</v>
      </c>
      <c r="AA191" s="82"/>
      <c r="AB191" s="75"/>
      <c r="AC191" s="75"/>
      <c r="AD191" s="166"/>
      <c r="AE191" s="75">
        <v>1.1160000000000001</v>
      </c>
      <c r="AF191" s="82">
        <v>1</v>
      </c>
      <c r="AG191" s="82">
        <v>1</v>
      </c>
      <c r="AH191" s="82">
        <v>1</v>
      </c>
      <c r="AI191" s="82">
        <v>1.0000000000218279</v>
      </c>
      <c r="AJ191" s="166">
        <v>1.1161100000000002</v>
      </c>
      <c r="AK191" s="82" t="str">
        <v>Model Space</v>
      </c>
      <c r="AL191" s="162">
        <v>-6.375</v>
      </c>
      <c r="AM191" s="162">
        <v>-3.6040192688164141</v>
      </c>
      <c r="AN191" s="162">
        <v>-1.1994470063860254</v>
      </c>
      <c r="AO191" s="162">
        <v>-75.083224100282067</v>
      </c>
      <c r="AP191" s="162">
        <v>20.543710441538337</v>
      </c>
      <c r="AQ191" s="162">
        <v>0</v>
      </c>
      <c r="AR191" s="710" t="str">
        <v>CPS-32425r1.par</v>
      </c>
      <c r="AV191" s="82" t="str">
        <v>255,127,0</v>
      </c>
      <c r="AW191" s="966">
        <v>-78.53</v>
      </c>
      <c r="AX191" s="966">
        <v>-75.083224100282067</v>
      </c>
      <c r="AY191" s="966">
        <v>0</v>
      </c>
    </row>
    <row r="192" spans="2:51" x14ac:dyDescent="0.25">
      <c r="B192" s="650">
        <v>-3.3081594560296739</v>
      </c>
      <c r="C192" s="651">
        <v>-1.7974125231310167</v>
      </c>
      <c r="D192" s="652">
        <v>-2.0998000000000001</v>
      </c>
      <c r="E192" s="653">
        <v>1.930259139240742E-2</v>
      </c>
      <c r="F192" s="651">
        <v>0.99791532190822962</v>
      </c>
      <c r="G192" s="654">
        <v>-6.1582629582798941E-2</v>
      </c>
      <c r="H192" s="653">
        <v>0.26600000000000001</v>
      </c>
      <c r="I192" s="934">
        <v>0.52</v>
      </c>
      <c r="J192" s="938">
        <v>5.12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956" t="s">
        <v>403</v>
      </c>
      <c r="M192" s="957">
        <v>-90</v>
      </c>
      <c r="N192" s="958" t="s">
        <v>9</v>
      </c>
      <c r="O192" s="959"/>
      <c r="Q192" s="162">
        <f t="shared" si="1070"/>
        <v>-3.3081594560296739</v>
      </c>
      <c r="R192" s="162">
        <f t="shared" si="1071"/>
        <v>-1.7974125231310167</v>
      </c>
      <c r="S192" s="162">
        <f t="shared" si="1072"/>
        <v>-2.0998000000000001</v>
      </c>
      <c r="T192" s="162">
        <f t="shared" si="1073"/>
        <v>-1.930259139240742E-2</v>
      </c>
      <c r="U192" s="162">
        <f t="shared" si="1074"/>
        <v>-0.99791532190822962</v>
      </c>
      <c r="V192" s="162">
        <f t="shared" si="1075"/>
        <v>6.1582629582798941E-2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76"/>
        <v>0.52</v>
      </c>
      <c r="Y192" s="75">
        <v>5.12</v>
      </c>
      <c r="Z192" s="931">
        <f t="shared" si="1077"/>
        <v>1313</v>
      </c>
      <c r="AA192" s="82"/>
      <c r="AB192" s="75"/>
      <c r="AC192" s="75"/>
      <c r="AD192" s="166"/>
      <c r="AE192" s="75">
        <v>1.113</v>
      </c>
      <c r="AF192" s="82">
        <v>1</v>
      </c>
      <c r="AG192" s="82">
        <v>1</v>
      </c>
      <c r="AH192" s="82">
        <v>1</v>
      </c>
      <c r="AI192" s="82">
        <v>1.000000000003638</v>
      </c>
      <c r="AJ192" s="166">
        <v>1.11311</v>
      </c>
      <c r="AK192" s="82" t="str">
        <v>Model Space</v>
      </c>
      <c r="AL192" s="162">
        <v>-6.375</v>
      </c>
      <c r="AM192" s="162">
        <v>-3.2370764665049228</v>
      </c>
      <c r="AN192" s="162">
        <v>-0.52822648407184158</v>
      </c>
      <c r="AO192" s="162">
        <v>-53.859060958229847</v>
      </c>
      <c r="AP192" s="162">
        <v>16.015570855073868</v>
      </c>
      <c r="AQ192" s="162">
        <v>0</v>
      </c>
      <c r="AR192" s="710" t="str">
        <v>CPS-31654-00(.020)r1.asm</v>
      </c>
      <c r="AV192" s="82" t="str">
        <v>255,127,0</v>
      </c>
      <c r="AW192" s="966">
        <v>-45.319999999999993</v>
      </c>
      <c r="AX192" s="966">
        <v>-53.859060958229847</v>
      </c>
      <c r="AY192" s="966">
        <v>0</v>
      </c>
    </row>
    <row r="193" spans="2:51" x14ac:dyDescent="0.25">
      <c r="B193" s="650">
        <v>-2.0895187323868982</v>
      </c>
      <c r="C193" s="651">
        <v>0.94761912713016816</v>
      </c>
      <c r="D193" s="652">
        <v>-0.13729999999999995</v>
      </c>
      <c r="E193" s="653">
        <v>0.45647848258653895</v>
      </c>
      <c r="F193" s="651">
        <v>0.85137226977572877</v>
      </c>
      <c r="G193" s="654">
        <v>-0.25844274644960463</v>
      </c>
      <c r="H193" s="653">
        <v>0.314</v>
      </c>
      <c r="I193" s="934">
        <v>0.52</v>
      </c>
      <c r="J193" s="938">
        <v>6.109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56" t="s">
        <v>404</v>
      </c>
      <c r="M193" s="957">
        <v>-0.29000000000000625</v>
      </c>
      <c r="N193" s="958" t="s">
        <v>9</v>
      </c>
      <c r="O193" s="959"/>
      <c r="Q193" s="162">
        <f t="shared" si="1070"/>
        <v>-2.0895187323868982</v>
      </c>
      <c r="R193" s="162">
        <f t="shared" si="1071"/>
        <v>0.94761912713016816</v>
      </c>
      <c r="S193" s="162">
        <f t="shared" si="1072"/>
        <v>-0.13729999999999995</v>
      </c>
      <c r="T193" s="162">
        <f t="shared" si="1073"/>
        <v>-0.45647848258653895</v>
      </c>
      <c r="U193" s="162">
        <f t="shared" si="1074"/>
        <v>-0.85137226977572877</v>
      </c>
      <c r="V193" s="162">
        <f t="shared" si="1075"/>
        <v>0.25844274644960463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76"/>
        <v>0.52</v>
      </c>
      <c r="Y193" s="75">
        <v>6.109</v>
      </c>
      <c r="Z193" s="931">
        <f t="shared" si="1077"/>
        <v>1613</v>
      </c>
      <c r="AA193" s="82"/>
      <c r="AB193" s="75"/>
      <c r="AC193" s="75"/>
      <c r="AD193" s="166"/>
      <c r="AE193" s="75">
        <v>1.1100000000000001</v>
      </c>
      <c r="AF193" s="82">
        <v>1</v>
      </c>
      <c r="AG193" s="82">
        <v>1</v>
      </c>
      <c r="AH193" s="82">
        <v>1</v>
      </c>
      <c r="AI193" s="82">
        <v>1.0000000000218279</v>
      </c>
      <c r="AJ193" s="166">
        <v>1.1101100000000002</v>
      </c>
      <c r="AK193" s="82" t="str">
        <v>Model Space</v>
      </c>
      <c r="AL193" s="162">
        <v>-6.375</v>
      </c>
      <c r="AM193" s="162">
        <v>-2.5526383919388191</v>
      </c>
      <c r="AN193" s="162">
        <v>-0.16106016979130477</v>
      </c>
      <c r="AO193" s="162">
        <v>-24.289475319260987</v>
      </c>
      <c r="AP193" s="162">
        <v>15.677480903393381</v>
      </c>
      <c r="AQ193" s="162">
        <v>0</v>
      </c>
      <c r="AR193" s="710" t="str">
        <v>CPS-32425r1.par</v>
      </c>
      <c r="AV193" s="82" t="str">
        <v>255,127,0</v>
      </c>
      <c r="AW193" s="966">
        <v>-11.469999999999999</v>
      </c>
      <c r="AX193" s="966">
        <v>-24.289475319260987</v>
      </c>
      <c r="AY193" s="966">
        <v>0</v>
      </c>
    </row>
    <row r="194" spans="2:51" x14ac:dyDescent="0.25">
      <c r="B194" s="650">
        <v>-2.7430765623198758</v>
      </c>
      <c r="C194" s="651">
        <v>1.2972856295768513</v>
      </c>
      <c r="D194" s="652">
        <v>-0.3661000000000002</v>
      </c>
      <c r="E194" s="653">
        <v>0.5870233052390561</v>
      </c>
      <c r="F194" s="651">
        <v>0.78595380742634813</v>
      </c>
      <c r="G194" s="654">
        <v>-0.1941140172636712</v>
      </c>
      <c r="H194" s="653">
        <v>0.314</v>
      </c>
      <c r="I194" s="934">
        <v>0.52</v>
      </c>
      <c r="J194" s="938">
        <v>6.1120000000000001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56" t="s">
        <v>404</v>
      </c>
      <c r="M194" s="957">
        <v>-34.049999999999997</v>
      </c>
      <c r="N194" s="958" t="s">
        <v>9</v>
      </c>
      <c r="O194" s="959"/>
      <c r="Q194" s="162">
        <f t="shared" si="1070"/>
        <v>-2.7430765623198758</v>
      </c>
      <c r="R194" s="162">
        <f t="shared" si="1071"/>
        <v>1.2972856295768513</v>
      </c>
      <c r="S194" s="162">
        <f t="shared" si="1072"/>
        <v>-0.3661000000000002</v>
      </c>
      <c r="T194" s="162">
        <f t="shared" si="1073"/>
        <v>-0.5870233052390561</v>
      </c>
      <c r="U194" s="162">
        <f t="shared" si="1074"/>
        <v>-0.78595380742634813</v>
      </c>
      <c r="V194" s="162">
        <f t="shared" si="1075"/>
        <v>0.1941140172636712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76"/>
        <v>0.52</v>
      </c>
      <c r="Y194" s="75">
        <v>6.1120000000000001</v>
      </c>
      <c r="Z194" s="931">
        <f t="shared" si="1077"/>
        <v>1613</v>
      </c>
      <c r="AA194" s="82"/>
      <c r="AB194" s="75"/>
      <c r="AC194" s="75"/>
      <c r="AD194" s="166"/>
      <c r="AE194" s="75">
        <v>1.107</v>
      </c>
      <c r="AF194" s="82">
        <v>1</v>
      </c>
      <c r="AG194" s="82">
        <v>1</v>
      </c>
      <c r="AH194" s="82">
        <v>1</v>
      </c>
      <c r="AI194" s="82">
        <v>1.000000000003638</v>
      </c>
      <c r="AJ194" s="166">
        <v>1.10711</v>
      </c>
      <c r="AK194" s="82" t="str">
        <v>Model Space</v>
      </c>
      <c r="AL194" s="162">
        <v>-6.375</v>
      </c>
      <c r="AM194" s="162">
        <v>-1.7832390866061676</v>
      </c>
      <c r="AN194" s="162">
        <v>-0.2198935041359541</v>
      </c>
      <c r="AO194" s="162">
        <v>-3.4970649129115547</v>
      </c>
      <c r="AP194" s="162">
        <v>15.028642500757424</v>
      </c>
      <c r="AQ194" s="162">
        <v>0</v>
      </c>
      <c r="AR194" s="710" t="str">
        <v>CPS-31654-00(.020)r1.asm</v>
      </c>
      <c r="AV194" s="82" t="str">
        <v>255,127,0</v>
      </c>
      <c r="AW194" s="966">
        <v>15</v>
      </c>
      <c r="AX194" s="966">
        <v>-3.4970649129115547</v>
      </c>
      <c r="AY194" s="966">
        <v>0</v>
      </c>
    </row>
    <row r="195" spans="2:51" x14ac:dyDescent="0.25">
      <c r="B195" s="650">
        <v>-3.1680171516429398</v>
      </c>
      <c r="C195" s="651">
        <v>1.5468560916627463</v>
      </c>
      <c r="D195" s="652">
        <v>-0.95809999999999984</v>
      </c>
      <c r="E195" s="653">
        <v>0.70005555711045819</v>
      </c>
      <c r="F195" s="651">
        <v>0.69992310955129655</v>
      </c>
      <c r="G195" s="654">
        <v>-0.14152687969007807</v>
      </c>
      <c r="H195" s="653">
        <v>0.314</v>
      </c>
      <c r="I195" s="934">
        <v>0.52</v>
      </c>
      <c r="J195" s="938">
        <v>6.1150000000000002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56" t="s">
        <v>404</v>
      </c>
      <c r="M195" s="957">
        <v>-67.47999999999999</v>
      </c>
      <c r="N195" s="958" t="s">
        <v>9</v>
      </c>
      <c r="O195" s="959"/>
      <c r="Q195" s="162">
        <f t="shared" si="1070"/>
        <v>-3.1680171516429398</v>
      </c>
      <c r="R195" s="162">
        <f t="shared" si="1071"/>
        <v>1.5468560916627463</v>
      </c>
      <c r="S195" s="162">
        <f t="shared" si="1072"/>
        <v>-0.95809999999999984</v>
      </c>
      <c r="T195" s="162">
        <f t="shared" si="1073"/>
        <v>-0.70005555711045819</v>
      </c>
      <c r="U195" s="162">
        <f t="shared" si="1074"/>
        <v>-0.69992310955129655</v>
      </c>
      <c r="V195" s="162">
        <f t="shared" si="1075"/>
        <v>0.14152687969007807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76"/>
        <v>0.52</v>
      </c>
      <c r="Y195" s="75">
        <v>6.1150000000000002</v>
      </c>
      <c r="Z195" s="931">
        <f t="shared" si="1077"/>
        <v>1613</v>
      </c>
      <c r="AA195" s="82"/>
      <c r="AB195" s="75"/>
      <c r="AC195" s="75"/>
      <c r="AD195" s="166"/>
      <c r="AE195" s="75">
        <v>1.1040000000000001</v>
      </c>
      <c r="AF195" s="82">
        <v>1</v>
      </c>
      <c r="AG195" s="82">
        <v>1</v>
      </c>
      <c r="AH195" s="82">
        <v>1</v>
      </c>
      <c r="AI195" s="82">
        <v>1.0000000000218279</v>
      </c>
      <c r="AJ195" s="166">
        <v>1.1041100000000001</v>
      </c>
      <c r="AK195" s="82" t="str">
        <v>Model Space</v>
      </c>
      <c r="AL195" s="162">
        <v>-6.375</v>
      </c>
      <c r="AM195" s="162">
        <v>-1.0304138197831001</v>
      </c>
      <c r="AN195" s="162">
        <v>-0.42216963582557149</v>
      </c>
      <c r="AO195" s="162">
        <v>-6.0371219851934219</v>
      </c>
      <c r="AP195" s="162">
        <v>15.085636781207878</v>
      </c>
      <c r="AQ195" s="162">
        <v>0</v>
      </c>
      <c r="AR195" s="710" t="str">
        <v>1613 Ripper.par</v>
      </c>
      <c r="AV195" s="82" t="str">
        <v>255,127,0</v>
      </c>
      <c r="AW195" s="966">
        <v>15</v>
      </c>
      <c r="AX195" s="966">
        <v>-6.0371219851934219</v>
      </c>
      <c r="AY195" s="966">
        <v>0</v>
      </c>
    </row>
    <row r="196" spans="2:51" x14ac:dyDescent="0.25">
      <c r="B196" s="650">
        <v>-3.3698147522047077</v>
      </c>
      <c r="C196" s="651">
        <v>1.6789120586143118</v>
      </c>
      <c r="D196" s="652">
        <v>-1.6297000000000001</v>
      </c>
      <c r="E196" s="653">
        <v>0.82851588755163097</v>
      </c>
      <c r="F196" s="651">
        <v>0.55656895692106378</v>
      </c>
      <c r="G196" s="654">
        <v>-6.1582629582798941E-2</v>
      </c>
      <c r="H196" s="653">
        <v>0.26600000000000001</v>
      </c>
      <c r="I196" s="934">
        <v>0.52</v>
      </c>
      <c r="J196" s="938">
        <v>6.1180000000000003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956" t="s">
        <v>403</v>
      </c>
      <c r="M196" s="957">
        <v>-90</v>
      </c>
      <c r="N196" s="958" t="s">
        <v>9</v>
      </c>
      <c r="O196" s="959"/>
      <c r="Q196" s="162">
        <f t="shared" ref="Q196:Q227" si="1078">IFERROR(INDEX(B$164:B$305,MATCH($Y196,$J$164:$J$305,0)),"")</f>
        <v>-3.3698147522047077</v>
      </c>
      <c r="R196" s="162">
        <f t="shared" ref="R196:R227" si="1079">IFERROR(INDEX(C$164:C$305,MATCH($Y196,$J$164:$J$305,0)),"")</f>
        <v>1.6789120586143118</v>
      </c>
      <c r="S196" s="162">
        <f t="shared" ref="S196:S227" si="1080">IFERROR(INDEX(D$164:D$305,MATCH($Y196,$J$164:$J$305,0)),"")</f>
        <v>-1.6297000000000001</v>
      </c>
      <c r="T196" s="162">
        <f t="shared" ref="T196:T227" si="1081">IFERROR(IF($N196="Y",-1*INDEX(E$164:E$305,MATCH($Y196,$J$164:$J$305,0)),INDEX(E$164:E$305,MATCH($Y196,$J$164:$J$305,0))),"")</f>
        <v>-0.82851588755163097</v>
      </c>
      <c r="U196" s="162">
        <f t="shared" ref="U196:U227" si="1082">IFERROR(IF($N196="Y",-1*INDEX(F$164:F$305,MATCH($Y196,$J$164:$J$305,0)),INDEX(F$164:F$305,MATCH($Y196,$J$164:$J$305,0))),"")</f>
        <v>-0.55656895692106378</v>
      </c>
      <c r="V196" s="162">
        <f t="shared" ref="V196:V227" si="1083">IFERROR(IF($N196="Y",-1*INDEX(G$164:G$305,MATCH($Y196,$J$164:$J$305,0)),INDEX(G$164:G$305,MATCH($Y196,$J$164:$J$305,0))),"")</f>
        <v>6.1582629582798941E-2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27" si="1084">IFERROR(INDEX(I$164:I$305,MATCH($Y196,$J$164:$J$305,0)),"")</f>
        <v>0.52</v>
      </c>
      <c r="Y196" s="75">
        <v>6.1180000000000003</v>
      </c>
      <c r="Z196" s="931">
        <f t="shared" ref="Z196:Z227" si="1085">IFERROR(INDEX(K$164:K$305,MATCH($Y196,$J$164:$J$305,0)),"")</f>
        <v>1313</v>
      </c>
      <c r="AA196" s="82"/>
      <c r="AB196" s="75"/>
      <c r="AC196" s="75"/>
      <c r="AD196" s="166"/>
      <c r="AE196" s="75">
        <v>1.101</v>
      </c>
      <c r="AF196" s="82">
        <v>1</v>
      </c>
      <c r="AG196" s="82">
        <v>1</v>
      </c>
      <c r="AH196" s="82">
        <v>1</v>
      </c>
      <c r="AI196" s="82">
        <v>1.000000000003638</v>
      </c>
      <c r="AJ196" s="166">
        <v>1.10111</v>
      </c>
      <c r="AK196" s="82" t="str">
        <v>Model Space</v>
      </c>
      <c r="AL196" s="162">
        <v>-6.375</v>
      </c>
      <c r="AM196" s="162">
        <v>-0.30161677672171988</v>
      </c>
      <c r="AN196" s="162">
        <v>-0.57070000000090948</v>
      </c>
      <c r="AO196" s="162">
        <v>-14.154969626160819</v>
      </c>
      <c r="AP196" s="162">
        <v>21.690301863747006</v>
      </c>
      <c r="AQ196" s="162">
        <v>0</v>
      </c>
      <c r="AR196" s="710" t="str">
        <v>CPS-31650-00r1.asm</v>
      </c>
      <c r="AV196" s="82" t="str">
        <v>255,127,0</v>
      </c>
      <c r="AW196" s="966">
        <v>15</v>
      </c>
      <c r="AX196" s="966">
        <v>-14.154969626160819</v>
      </c>
      <c r="AY196" s="966">
        <v>0</v>
      </c>
    </row>
    <row r="197" spans="2:51" x14ac:dyDescent="0.25">
      <c r="B197" s="650"/>
      <c r="C197" s="651"/>
      <c r="D197" s="652"/>
      <c r="E197" s="653"/>
      <c r="F197" s="651"/>
      <c r="G197" s="654"/>
      <c r="H197" s="653"/>
      <c r="I197" s="934"/>
      <c r="J197" s="938"/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/>
      </c>
      <c r="L197" s="960"/>
      <c r="M197" s="961"/>
      <c r="N197" s="958"/>
      <c r="O197" s="959"/>
      <c r="Q197" s="162" t="str">
        <f t="shared" si="1078"/>
        <v/>
      </c>
      <c r="R197" s="162" t="str">
        <f t="shared" si="1079"/>
        <v/>
      </c>
      <c r="S197" s="162" t="str">
        <f t="shared" si="1080"/>
        <v/>
      </c>
      <c r="T197" s="162" t="str">
        <f t="shared" si="1081"/>
        <v/>
      </c>
      <c r="U197" s="162" t="str">
        <f t="shared" si="1082"/>
        <v/>
      </c>
      <c r="V197" s="162" t="str">
        <f t="shared" si="1083"/>
        <v/>
      </c>
      <c r="W197" s="162" t="str">
        <f>IFERROR(IF(ISNUMBER(MATCH($Z197,Settings!$AK$28:$AK$36,0)),INDEX(Settings!$AO$14:$AO$36,MATCH($Z197,Settings!$AK$14:$AK$36,0))/2,INDEX(Settings!$AM$14:$AM$36,MATCH($Z197,Settings!$AK$14:$AK$36,0))/2),"")</f>
        <v/>
      </c>
      <c r="X197" s="162" t="str">
        <f t="shared" si="1084"/>
        <v/>
      </c>
      <c r="Y197" s="75"/>
      <c r="Z197" s="931" t="str">
        <f t="shared" si="1085"/>
        <v/>
      </c>
      <c r="AA197" s="82"/>
      <c r="AB197" s="75"/>
      <c r="AC197" s="75"/>
      <c r="AD197" s="166"/>
      <c r="AE197" s="75">
        <v>6.1180000000000003</v>
      </c>
      <c r="AF197" s="82">
        <v>6</v>
      </c>
      <c r="AG197" s="82">
        <v>1</v>
      </c>
      <c r="AH197" s="82">
        <v>2</v>
      </c>
      <c r="AI197" s="82">
        <v>1.0000000000582077</v>
      </c>
      <c r="AJ197" s="166">
        <v>6.1182100000000004</v>
      </c>
      <c r="AK197" s="82">
        <v>6.1181100000000006</v>
      </c>
      <c r="AL197" s="162">
        <v>0</v>
      </c>
      <c r="AM197" s="162">
        <v>0</v>
      </c>
      <c r="AN197" s="162">
        <v>0</v>
      </c>
      <c r="AO197" s="162">
        <v>7.1147656261783965</v>
      </c>
      <c r="AP197" s="162">
        <v>0</v>
      </c>
      <c r="AQ197" s="162">
        <v>0</v>
      </c>
      <c r="AR197" s="710" t="str">
        <v>CPS-31650-00r1.asm</v>
      </c>
      <c r="AV197" s="82" t="str">
        <v>127,0,255</v>
      </c>
      <c r="AW197" s="966">
        <v>-90</v>
      </c>
      <c r="AX197" s="966">
        <v>-82.885234373821604</v>
      </c>
      <c r="AY197" s="966">
        <v>7.1147656261783965</v>
      </c>
    </row>
    <row r="198" spans="2:51" x14ac:dyDescent="0.25">
      <c r="B198" s="650"/>
      <c r="C198" s="651"/>
      <c r="D198" s="652"/>
      <c r="E198" s="653"/>
      <c r="F198" s="651"/>
      <c r="G198" s="654"/>
      <c r="H198" s="653"/>
      <c r="I198" s="934"/>
      <c r="J198" s="938"/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/>
      </c>
      <c r="L198" s="960"/>
      <c r="M198" s="961"/>
      <c r="N198" s="958"/>
      <c r="O198" s="959"/>
      <c r="Q198" s="162" t="str">
        <f t="shared" si="1078"/>
        <v/>
      </c>
      <c r="R198" s="162" t="str">
        <f t="shared" si="1079"/>
        <v/>
      </c>
      <c r="S198" s="162" t="str">
        <f t="shared" si="1080"/>
        <v/>
      </c>
      <c r="T198" s="162" t="str">
        <f t="shared" si="1081"/>
        <v/>
      </c>
      <c r="U198" s="162" t="str">
        <f t="shared" si="1082"/>
        <v/>
      </c>
      <c r="V198" s="162" t="str">
        <f t="shared" si="1083"/>
        <v/>
      </c>
      <c r="W198" s="162" t="str">
        <f>IFERROR(IF(ISNUMBER(MATCH($Z198,Settings!$AK$28:$AK$36,0)),INDEX(Settings!$AO$14:$AO$36,MATCH($Z198,Settings!$AK$14:$AK$36,0))/2,INDEX(Settings!$AM$14:$AM$36,MATCH($Z198,Settings!$AK$14:$AK$36,0))/2),"")</f>
        <v/>
      </c>
      <c r="X198" s="162" t="str">
        <f t="shared" si="1084"/>
        <v/>
      </c>
      <c r="Y198" s="75"/>
      <c r="Z198" s="931" t="str">
        <f t="shared" si="1085"/>
        <v/>
      </c>
      <c r="AA198" s="82"/>
      <c r="AB198" s="75"/>
      <c r="AC198" s="75"/>
      <c r="AD198" s="166"/>
      <c r="AE198" s="75">
        <v>6.1150000000000002</v>
      </c>
      <c r="AF198" s="82">
        <v>6</v>
      </c>
      <c r="AG198" s="82">
        <v>1</v>
      </c>
      <c r="AH198" s="82">
        <v>2</v>
      </c>
      <c r="AI198" s="82">
        <v>1.0000000000582077</v>
      </c>
      <c r="AJ198" s="166">
        <v>6.1152100000000003</v>
      </c>
      <c r="AK198" s="82">
        <v>6.1151100000000005</v>
      </c>
      <c r="AL198" s="162">
        <v>0</v>
      </c>
      <c r="AM198" s="162">
        <v>0</v>
      </c>
      <c r="AN198" s="162">
        <v>0</v>
      </c>
      <c r="AO198" s="162">
        <v>1.2085391670584897</v>
      </c>
      <c r="AP198" s="162">
        <v>0</v>
      </c>
      <c r="AQ198" s="162">
        <v>0</v>
      </c>
      <c r="AR198" s="710" t="str">
        <v>CPS-31654-00(.020)r1.asm</v>
      </c>
      <c r="AV198" s="82" t="str">
        <v>127,0,255</v>
      </c>
      <c r="AW198" s="966">
        <v>-67.47999999999999</v>
      </c>
      <c r="AX198" s="966">
        <v>-66.2714608329415</v>
      </c>
      <c r="AY198" s="966">
        <v>1.2085391670584897</v>
      </c>
    </row>
    <row r="199" spans="2:51" x14ac:dyDescent="0.25">
      <c r="B199" s="650"/>
      <c r="C199" s="651"/>
      <c r="D199" s="652"/>
      <c r="E199" s="653"/>
      <c r="F199" s="651"/>
      <c r="G199" s="654"/>
      <c r="H199" s="653"/>
      <c r="I199" s="934"/>
      <c r="J199" s="938"/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/>
      </c>
      <c r="L199" s="960"/>
      <c r="M199" s="961"/>
      <c r="N199" s="958"/>
      <c r="O199" s="959"/>
      <c r="Q199" s="162" t="str">
        <f t="shared" si="1078"/>
        <v/>
      </c>
      <c r="R199" s="162" t="str">
        <f t="shared" si="1079"/>
        <v/>
      </c>
      <c r="S199" s="162" t="str">
        <f t="shared" si="1080"/>
        <v/>
      </c>
      <c r="T199" s="162" t="str">
        <f t="shared" si="1081"/>
        <v/>
      </c>
      <c r="U199" s="162" t="str">
        <f t="shared" si="1082"/>
        <v/>
      </c>
      <c r="V199" s="162" t="str">
        <f t="shared" si="1083"/>
        <v/>
      </c>
      <c r="W199" s="162" t="str">
        <f>IFERROR(IF(ISNUMBER(MATCH($Z199,Settings!$AK$28:$AK$36,0)),INDEX(Settings!$AO$14:$AO$36,MATCH($Z199,Settings!$AK$14:$AK$36,0))/2,INDEX(Settings!$AM$14:$AM$36,MATCH($Z199,Settings!$AK$14:$AK$36,0))/2),"")</f>
        <v/>
      </c>
      <c r="X199" s="162" t="str">
        <f t="shared" si="1084"/>
        <v/>
      </c>
      <c r="Y199" s="75"/>
      <c r="Z199" s="931" t="str">
        <f t="shared" si="1085"/>
        <v/>
      </c>
      <c r="AA199" s="82"/>
      <c r="AB199" s="75"/>
      <c r="AC199" s="75"/>
      <c r="AD199" s="166"/>
      <c r="AE199" s="75">
        <v>6.1120000000000001</v>
      </c>
      <c r="AF199" s="82">
        <v>6</v>
      </c>
      <c r="AG199" s="82">
        <v>1</v>
      </c>
      <c r="AH199" s="82">
        <v>2</v>
      </c>
      <c r="AI199" s="82">
        <v>0.99999999998544808</v>
      </c>
      <c r="AJ199" s="166">
        <v>6.1122100000000001</v>
      </c>
      <c r="AK199" s="82">
        <v>6.1121100000000004</v>
      </c>
      <c r="AL199" s="162">
        <v>0</v>
      </c>
      <c r="AM199" s="162">
        <v>0</v>
      </c>
      <c r="AN199" s="162">
        <v>0</v>
      </c>
      <c r="AO199" s="162">
        <v>-11.029118877652337</v>
      </c>
      <c r="AP199" s="162">
        <v>0</v>
      </c>
      <c r="AQ199" s="162">
        <v>0</v>
      </c>
      <c r="AR199" s="710" t="str">
        <v>CPS-31654-00(.020)r1.asm</v>
      </c>
      <c r="AV199" s="82" t="str">
        <v>127,0,255</v>
      </c>
      <c r="AW199" s="966">
        <v>-34.049999999999997</v>
      </c>
      <c r="AX199" s="966">
        <v>-45.079118877652334</v>
      </c>
      <c r="AY199" s="966">
        <v>-11.029118877652337</v>
      </c>
    </row>
    <row r="200" spans="2:51" x14ac:dyDescent="0.25">
      <c r="B200" s="650"/>
      <c r="C200" s="651"/>
      <c r="D200" s="652"/>
      <c r="E200" s="653"/>
      <c r="F200" s="651"/>
      <c r="G200" s="654"/>
      <c r="H200" s="653"/>
      <c r="I200" s="934"/>
      <c r="J200" s="938"/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/>
      </c>
      <c r="L200" s="960"/>
      <c r="M200" s="961"/>
      <c r="N200" s="958"/>
      <c r="O200" s="959"/>
      <c r="Q200" s="162" t="str">
        <f t="shared" si="1078"/>
        <v/>
      </c>
      <c r="R200" s="162" t="str">
        <f t="shared" si="1079"/>
        <v/>
      </c>
      <c r="S200" s="162" t="str">
        <f t="shared" si="1080"/>
        <v/>
      </c>
      <c r="T200" s="162" t="str">
        <f t="shared" si="1081"/>
        <v/>
      </c>
      <c r="U200" s="162" t="str">
        <f t="shared" si="1082"/>
        <v/>
      </c>
      <c r="V200" s="162" t="str">
        <f t="shared" si="1083"/>
        <v/>
      </c>
      <c r="W200" s="162" t="str">
        <f>IFERROR(IF(ISNUMBER(MATCH($Z200,Settings!$AK$28:$AK$36,0)),INDEX(Settings!$AO$14:$AO$36,MATCH($Z200,Settings!$AK$14:$AK$36,0))/2,INDEX(Settings!$AM$14:$AM$36,MATCH($Z200,Settings!$AK$14:$AK$36,0))/2),"")</f>
        <v/>
      </c>
      <c r="X200" s="162" t="str">
        <f t="shared" si="1084"/>
        <v/>
      </c>
      <c r="Y200" s="75"/>
      <c r="Z200" s="931" t="str">
        <f t="shared" si="1085"/>
        <v/>
      </c>
      <c r="AA200" s="82"/>
      <c r="AB200" s="75"/>
      <c r="AC200" s="75"/>
      <c r="AD200" s="166"/>
      <c r="AE200" s="75">
        <v>6.109</v>
      </c>
      <c r="AF200" s="82">
        <v>6</v>
      </c>
      <c r="AG200" s="82">
        <v>1</v>
      </c>
      <c r="AH200" s="82">
        <v>2</v>
      </c>
      <c r="AI200" s="82">
        <v>0.99999999998544808</v>
      </c>
      <c r="AJ200" s="166">
        <v>6.10921</v>
      </c>
      <c r="AK200" s="82">
        <v>6.1091100000000003</v>
      </c>
      <c r="AL200" s="162">
        <v>0</v>
      </c>
      <c r="AM200" s="162">
        <v>0</v>
      </c>
      <c r="AN200" s="162">
        <v>0</v>
      </c>
      <c r="AO200" s="162">
        <v>-13.637402596117099</v>
      </c>
      <c r="AP200" s="162">
        <v>0</v>
      </c>
      <c r="AQ200" s="162">
        <v>0</v>
      </c>
      <c r="AR200" s="710" t="str">
        <v>CPS-31654-00(.020)r1.asm</v>
      </c>
      <c r="AV200" s="82" t="str">
        <v>127,0,255</v>
      </c>
      <c r="AW200" s="966">
        <v>-0.29000000000000625</v>
      </c>
      <c r="AX200" s="966">
        <v>-13.927402596117105</v>
      </c>
      <c r="AY200" s="966">
        <v>-13.637402596117099</v>
      </c>
    </row>
    <row r="201" spans="2:51" x14ac:dyDescent="0.25">
      <c r="B201" s="650"/>
      <c r="C201" s="651"/>
      <c r="D201" s="652"/>
      <c r="E201" s="653"/>
      <c r="F201" s="651"/>
      <c r="G201" s="654"/>
      <c r="H201" s="653"/>
      <c r="I201" s="934"/>
      <c r="J201" s="938"/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/>
      </c>
      <c r="L201" s="960"/>
      <c r="M201" s="961"/>
      <c r="N201" s="958"/>
      <c r="O201" s="959"/>
      <c r="Q201" s="162" t="str">
        <f t="shared" si="1078"/>
        <v/>
      </c>
      <c r="R201" s="162" t="str">
        <f t="shared" si="1079"/>
        <v/>
      </c>
      <c r="S201" s="162" t="str">
        <f t="shared" si="1080"/>
        <v/>
      </c>
      <c r="T201" s="162" t="str">
        <f t="shared" si="1081"/>
        <v/>
      </c>
      <c r="U201" s="162" t="str">
        <f t="shared" si="1082"/>
        <v/>
      </c>
      <c r="V201" s="162" t="str">
        <f t="shared" si="1083"/>
        <v/>
      </c>
      <c r="W201" s="162" t="str">
        <f>IFERROR(IF(ISNUMBER(MATCH($Z201,Settings!$AK$28:$AK$36,0)),INDEX(Settings!$AO$14:$AO$36,MATCH($Z201,Settings!$AK$14:$AK$36,0))/2,INDEX(Settings!$AM$14:$AM$36,MATCH($Z201,Settings!$AK$14:$AK$36,0))/2),"")</f>
        <v/>
      </c>
      <c r="X201" s="162" t="str">
        <f t="shared" si="1084"/>
        <v/>
      </c>
      <c r="Y201" s="75"/>
      <c r="Z201" s="931" t="str">
        <f t="shared" si="1085"/>
        <v/>
      </c>
      <c r="AA201" s="82"/>
      <c r="AB201" s="75"/>
      <c r="AC201" s="75"/>
      <c r="AD201" s="166"/>
      <c r="AE201" s="75">
        <v>5.12</v>
      </c>
      <c r="AF201" s="82">
        <v>5</v>
      </c>
      <c r="AG201" s="82">
        <v>1</v>
      </c>
      <c r="AH201" s="82">
        <v>2</v>
      </c>
      <c r="AI201" s="82">
        <v>0.99999999998544808</v>
      </c>
      <c r="AJ201" s="166">
        <v>5.1202100000000002</v>
      </c>
      <c r="AK201" s="82">
        <v>5.1201100000000004</v>
      </c>
      <c r="AL201" s="162">
        <v>0</v>
      </c>
      <c r="AM201" s="162">
        <v>0</v>
      </c>
      <c r="AN201" s="162">
        <v>0</v>
      </c>
      <c r="AO201" s="162">
        <v>7.1147928303894901</v>
      </c>
      <c r="AP201" s="162">
        <v>0</v>
      </c>
      <c r="AQ201" s="162">
        <v>0</v>
      </c>
      <c r="AR201" s="710" t="str">
        <v>CPS-31650-00r1.asm</v>
      </c>
      <c r="AV201" s="82" t="str">
        <v>0,102,204</v>
      </c>
      <c r="AW201" s="966">
        <v>-90</v>
      </c>
      <c r="AX201" s="966">
        <v>-82.88520716961051</v>
      </c>
      <c r="AY201" s="966">
        <v>7.1147928303894901</v>
      </c>
    </row>
    <row r="202" spans="2:51" x14ac:dyDescent="0.25">
      <c r="B202" s="650"/>
      <c r="C202" s="651"/>
      <c r="D202" s="652"/>
      <c r="E202" s="653"/>
      <c r="F202" s="651"/>
      <c r="G202" s="654"/>
      <c r="H202" s="653"/>
      <c r="I202" s="934"/>
      <c r="J202" s="938"/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/>
      </c>
      <c r="L202" s="960"/>
      <c r="M202" s="961"/>
      <c r="N202" s="958"/>
      <c r="O202" s="959"/>
      <c r="Q202" s="162" t="str">
        <f t="shared" si="1078"/>
        <v/>
      </c>
      <c r="R202" s="162" t="str">
        <f t="shared" si="1079"/>
        <v/>
      </c>
      <c r="S202" s="162" t="str">
        <f t="shared" si="1080"/>
        <v/>
      </c>
      <c r="T202" s="162" t="str">
        <f t="shared" si="1081"/>
        <v/>
      </c>
      <c r="U202" s="162" t="str">
        <f t="shared" si="1082"/>
        <v/>
      </c>
      <c r="V202" s="162" t="str">
        <f t="shared" si="1083"/>
        <v/>
      </c>
      <c r="W202" s="162" t="str">
        <f>IFERROR(IF(ISNUMBER(MATCH($Z202,Settings!$AK$28:$AK$36,0)),INDEX(Settings!$AO$14:$AO$36,MATCH($Z202,Settings!$AK$14:$AK$36,0))/2,INDEX(Settings!$AM$14:$AM$36,MATCH($Z202,Settings!$AK$14:$AK$36,0))/2),"")</f>
        <v/>
      </c>
      <c r="X202" s="162" t="str">
        <f t="shared" si="1084"/>
        <v/>
      </c>
      <c r="Y202" s="75"/>
      <c r="Z202" s="931" t="str">
        <f t="shared" si="1085"/>
        <v/>
      </c>
      <c r="AA202" s="82"/>
      <c r="AB202" s="75"/>
      <c r="AC202" s="75"/>
      <c r="AD202" s="166"/>
      <c r="AE202" s="75">
        <v>5.117</v>
      </c>
      <c r="AF202" s="82">
        <v>5</v>
      </c>
      <c r="AG202" s="82">
        <v>1</v>
      </c>
      <c r="AH202" s="82">
        <v>2</v>
      </c>
      <c r="AI202" s="82">
        <v>0.99999999998544808</v>
      </c>
      <c r="AJ202" s="166">
        <v>5.11721</v>
      </c>
      <c r="AK202" s="82">
        <v>5.1171100000000003</v>
      </c>
      <c r="AL202" s="162">
        <v>0</v>
      </c>
      <c r="AM202" s="162">
        <v>0</v>
      </c>
      <c r="AN202" s="162">
        <v>0</v>
      </c>
      <c r="AO202" s="162">
        <v>5.8677994991941347</v>
      </c>
      <c r="AP202" s="162">
        <v>0</v>
      </c>
      <c r="AQ202" s="162">
        <v>0</v>
      </c>
      <c r="AR202" s="710" t="str">
        <v>CPS-31654-00(.020)r1.asm</v>
      </c>
      <c r="AV202" s="82" t="str">
        <v>0,102,204</v>
      </c>
      <c r="AW202" s="966">
        <v>-88.75</v>
      </c>
      <c r="AX202" s="966">
        <v>-82.882200500805865</v>
      </c>
      <c r="AY202" s="966">
        <v>5.8677994991941347</v>
      </c>
    </row>
    <row r="203" spans="2:51" x14ac:dyDescent="0.25">
      <c r="B203" s="650"/>
      <c r="C203" s="651"/>
      <c r="D203" s="652"/>
      <c r="E203" s="653"/>
      <c r="F203" s="651"/>
      <c r="G203" s="654"/>
      <c r="H203" s="653"/>
      <c r="I203" s="934"/>
      <c r="J203" s="938"/>
      <c r="K203" s="790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/>
      </c>
      <c r="L203" s="960"/>
      <c r="M203" s="961"/>
      <c r="N203" s="958"/>
      <c r="O203" s="959"/>
      <c r="Q203" s="162" t="str">
        <f t="shared" si="1078"/>
        <v/>
      </c>
      <c r="R203" s="162" t="str">
        <f t="shared" si="1079"/>
        <v/>
      </c>
      <c r="S203" s="162" t="str">
        <f t="shared" si="1080"/>
        <v/>
      </c>
      <c r="T203" s="162" t="str">
        <f t="shared" si="1081"/>
        <v/>
      </c>
      <c r="U203" s="162" t="str">
        <f t="shared" si="1082"/>
        <v/>
      </c>
      <c r="V203" s="162" t="str">
        <f t="shared" si="1083"/>
        <v/>
      </c>
      <c r="W203" s="162" t="str">
        <f>IFERROR(IF(ISNUMBER(MATCH($Z203,Settings!$AK$28:$AK$36,0)),INDEX(Settings!$AO$14:$AO$36,MATCH($Z203,Settings!$AK$14:$AK$36,0))/2,INDEX(Settings!$AM$14:$AM$36,MATCH($Z203,Settings!$AK$14:$AK$36,0))/2),"")</f>
        <v/>
      </c>
      <c r="X203" s="162" t="str">
        <f t="shared" si="1084"/>
        <v/>
      </c>
      <c r="Y203" s="75"/>
      <c r="Z203" s="931" t="str">
        <f t="shared" si="1085"/>
        <v/>
      </c>
      <c r="AA203" s="82"/>
      <c r="AB203" s="75"/>
      <c r="AC203" s="75"/>
      <c r="AD203" s="166"/>
      <c r="AE203" s="75">
        <v>5.1139999999999999</v>
      </c>
      <c r="AF203" s="82">
        <v>5</v>
      </c>
      <c r="AG203" s="82">
        <v>1</v>
      </c>
      <c r="AH203" s="82">
        <v>2</v>
      </c>
      <c r="AI203" s="82">
        <v>0.99999999998544808</v>
      </c>
      <c r="AJ203" s="166">
        <v>5.1142099999999999</v>
      </c>
      <c r="AK203" s="82">
        <v>5.1141100000000002</v>
      </c>
      <c r="AL203" s="162">
        <v>0</v>
      </c>
      <c r="AM203" s="162">
        <v>0</v>
      </c>
      <c r="AN203" s="162">
        <v>0</v>
      </c>
      <c r="AO203" s="162">
        <v>-6.9252157503874301</v>
      </c>
      <c r="AP203" s="162">
        <v>0</v>
      </c>
      <c r="AQ203" s="162">
        <v>0</v>
      </c>
      <c r="AR203" s="710" t="str">
        <v>CPS-32425r1.par</v>
      </c>
      <c r="AV203" s="82" t="str">
        <v>0,102,204</v>
      </c>
      <c r="AW203" s="966">
        <v>-56.419999999999987</v>
      </c>
      <c r="AX203" s="966">
        <v>-63.345215750387418</v>
      </c>
      <c r="AY203" s="966">
        <v>-6.9252157503874301</v>
      </c>
    </row>
    <row r="204" spans="2:51" x14ac:dyDescent="0.25">
      <c r="B204" s="650"/>
      <c r="C204" s="651"/>
      <c r="D204" s="652"/>
      <c r="E204" s="653"/>
      <c r="F204" s="651"/>
      <c r="G204" s="654"/>
      <c r="H204" s="653"/>
      <c r="I204" s="934"/>
      <c r="J204" s="938"/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/>
      </c>
      <c r="L204" s="960"/>
      <c r="M204" s="961"/>
      <c r="N204" s="958"/>
      <c r="O204" s="959"/>
      <c r="Q204" s="162" t="str">
        <f t="shared" si="1078"/>
        <v/>
      </c>
      <c r="R204" s="162" t="str">
        <f t="shared" si="1079"/>
        <v/>
      </c>
      <c r="S204" s="162" t="str">
        <f t="shared" si="1080"/>
        <v/>
      </c>
      <c r="T204" s="162" t="str">
        <f t="shared" si="1081"/>
        <v/>
      </c>
      <c r="U204" s="162" t="str">
        <f t="shared" si="1082"/>
        <v/>
      </c>
      <c r="V204" s="162" t="str">
        <f t="shared" si="1083"/>
        <v/>
      </c>
      <c r="W204" s="162" t="str">
        <f>IFERROR(IF(ISNUMBER(MATCH($Z204,Settings!$AK$28:$AK$36,0)),INDEX(Settings!$AO$14:$AO$36,MATCH($Z204,Settings!$AK$14:$AK$36,0))/2,INDEX(Settings!$AM$14:$AM$36,MATCH($Z204,Settings!$AK$14:$AK$36,0))/2),"")</f>
        <v/>
      </c>
      <c r="X204" s="162" t="str">
        <f t="shared" si="1084"/>
        <v/>
      </c>
      <c r="Y204" s="75"/>
      <c r="Z204" s="931" t="str">
        <f t="shared" si="1085"/>
        <v/>
      </c>
      <c r="AA204" s="82"/>
      <c r="AB204" s="75"/>
      <c r="AC204" s="75"/>
      <c r="AD204" s="166"/>
      <c r="AE204" s="75">
        <v>5.1109999999999998</v>
      </c>
      <c r="AF204" s="82">
        <v>5</v>
      </c>
      <c r="AG204" s="82">
        <v>1</v>
      </c>
      <c r="AH204" s="82">
        <v>2</v>
      </c>
      <c r="AI204" s="82">
        <v>0.99999999998544808</v>
      </c>
      <c r="AJ204" s="166">
        <v>5.1112099999999998</v>
      </c>
      <c r="AK204" s="82">
        <v>5.11111</v>
      </c>
      <c r="AL204" s="162">
        <v>0</v>
      </c>
      <c r="AM204" s="162">
        <v>0</v>
      </c>
      <c r="AN204" s="162">
        <v>0</v>
      </c>
      <c r="AO204" s="162">
        <v>-11.445056903293384</v>
      </c>
      <c r="AP204" s="162">
        <v>0</v>
      </c>
      <c r="AQ204" s="162">
        <v>0</v>
      </c>
      <c r="AR204" s="710" t="str">
        <v>CPS-31654-00(.020)r1.asm</v>
      </c>
      <c r="AV204" s="82" t="str">
        <v>0,102,204</v>
      </c>
      <c r="AW204" s="966">
        <v>-22.760000000000005</v>
      </c>
      <c r="AX204" s="966">
        <v>-34.205056903293389</v>
      </c>
      <c r="AY204" s="966">
        <v>-11.445056903293384</v>
      </c>
    </row>
    <row r="205" spans="2:51" x14ac:dyDescent="0.25">
      <c r="B205" s="650"/>
      <c r="C205" s="651"/>
      <c r="D205" s="652"/>
      <c r="E205" s="653"/>
      <c r="F205" s="651"/>
      <c r="G205" s="654"/>
      <c r="H205" s="653"/>
      <c r="I205" s="934"/>
      <c r="J205" s="938"/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/>
      </c>
      <c r="L205" s="960"/>
      <c r="M205" s="961"/>
      <c r="N205" s="958"/>
      <c r="O205" s="959"/>
      <c r="Q205" s="162" t="str">
        <f t="shared" si="1078"/>
        <v/>
      </c>
      <c r="R205" s="162" t="str">
        <f t="shared" si="1079"/>
        <v/>
      </c>
      <c r="S205" s="162" t="str">
        <f t="shared" si="1080"/>
        <v/>
      </c>
      <c r="T205" s="162" t="str">
        <f t="shared" si="1081"/>
        <v/>
      </c>
      <c r="U205" s="162" t="str">
        <f t="shared" si="1082"/>
        <v/>
      </c>
      <c r="V205" s="162" t="str">
        <f t="shared" si="1083"/>
        <v/>
      </c>
      <c r="W205" s="162" t="str">
        <f>IFERROR(IF(ISNUMBER(MATCH($Z205,Settings!$AK$28:$AK$36,0)),INDEX(Settings!$AO$14:$AO$36,MATCH($Z205,Settings!$AK$14:$AK$36,0))/2,INDEX(Settings!$AM$14:$AM$36,MATCH($Z205,Settings!$AK$14:$AK$36,0))/2),"")</f>
        <v/>
      </c>
      <c r="X205" s="162" t="str">
        <f t="shared" si="1084"/>
        <v/>
      </c>
      <c r="Y205" s="75"/>
      <c r="Z205" s="931" t="str">
        <f t="shared" si="1085"/>
        <v/>
      </c>
      <c r="AA205" s="82"/>
      <c r="AB205" s="75"/>
      <c r="AC205" s="75"/>
      <c r="AD205" s="166"/>
      <c r="AE205" s="75">
        <v>5.1079999999999997</v>
      </c>
      <c r="AF205" s="82">
        <v>5</v>
      </c>
      <c r="AG205" s="82">
        <v>1</v>
      </c>
      <c r="AH205" s="82">
        <v>2</v>
      </c>
      <c r="AI205" s="82">
        <v>0.99999999998544808</v>
      </c>
      <c r="AJ205" s="166">
        <v>5.1082099999999997</v>
      </c>
      <c r="AK205" s="82">
        <v>5.1081099999999999</v>
      </c>
      <c r="AL205" s="162">
        <v>0</v>
      </c>
      <c r="AM205" s="162">
        <v>0</v>
      </c>
      <c r="AN205" s="162">
        <v>0</v>
      </c>
      <c r="AO205" s="162">
        <v>-13.947093437078305</v>
      </c>
      <c r="AP205" s="162">
        <v>0</v>
      </c>
      <c r="AQ205" s="162">
        <v>0</v>
      </c>
      <c r="AR205" s="710" t="str">
        <v>CPS-32425r1.par</v>
      </c>
      <c r="AV205" s="82" t="str">
        <v>0,102,204</v>
      </c>
      <c r="AW205" s="966">
        <v>10.879999999999995</v>
      </c>
      <c r="AX205" s="966">
        <v>-3.0670934370783089</v>
      </c>
      <c r="AY205" s="966">
        <v>-13.947093437078305</v>
      </c>
    </row>
    <row r="206" spans="2:51" x14ac:dyDescent="0.25">
      <c r="B206" s="650"/>
      <c r="C206" s="651"/>
      <c r="D206" s="652"/>
      <c r="E206" s="653"/>
      <c r="F206" s="651"/>
      <c r="G206" s="654"/>
      <c r="H206" s="653"/>
      <c r="I206" s="934"/>
      <c r="J206" s="938"/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/>
      </c>
      <c r="L206" s="960"/>
      <c r="M206" s="961"/>
      <c r="N206" s="958"/>
      <c r="O206" s="959"/>
      <c r="Q206" s="162" t="str">
        <f t="shared" si="1078"/>
        <v/>
      </c>
      <c r="R206" s="162" t="str">
        <f t="shared" si="1079"/>
        <v/>
      </c>
      <c r="S206" s="162" t="str">
        <f t="shared" si="1080"/>
        <v/>
      </c>
      <c r="T206" s="162" t="str">
        <f t="shared" si="1081"/>
        <v/>
      </c>
      <c r="U206" s="162" t="str">
        <f t="shared" si="1082"/>
        <v/>
      </c>
      <c r="V206" s="162" t="str">
        <f t="shared" si="1083"/>
        <v/>
      </c>
      <c r="W206" s="162" t="str">
        <f>IFERROR(IF(ISNUMBER(MATCH($Z206,Settings!$AK$28:$AK$36,0)),INDEX(Settings!$AO$14:$AO$36,MATCH($Z206,Settings!$AK$14:$AK$36,0))/2,INDEX(Settings!$AM$14:$AM$36,MATCH($Z206,Settings!$AK$14:$AK$36,0))/2),"")</f>
        <v/>
      </c>
      <c r="X206" s="162" t="str">
        <f t="shared" si="1084"/>
        <v/>
      </c>
      <c r="Y206" s="75"/>
      <c r="Z206" s="931" t="str">
        <f t="shared" si="1085"/>
        <v/>
      </c>
      <c r="AA206" s="82"/>
      <c r="AB206" s="75"/>
      <c r="AC206" s="75"/>
      <c r="AD206" s="166"/>
      <c r="AE206" s="75">
        <v>5.1050000000000004</v>
      </c>
      <c r="AF206" s="82">
        <v>5</v>
      </c>
      <c r="AG206" s="82">
        <v>1</v>
      </c>
      <c r="AH206" s="82">
        <v>2</v>
      </c>
      <c r="AI206" s="82">
        <v>1.0000000000582077</v>
      </c>
      <c r="AJ206" s="166">
        <v>5.1052100000000005</v>
      </c>
      <c r="AK206" s="82">
        <v>5.1051100000000007</v>
      </c>
      <c r="AL206" s="162">
        <v>0</v>
      </c>
      <c r="AM206" s="162">
        <v>0</v>
      </c>
      <c r="AN206" s="162">
        <v>0</v>
      </c>
      <c r="AO206" s="162">
        <v>-19.865198353214346</v>
      </c>
      <c r="AP206" s="162">
        <v>0</v>
      </c>
      <c r="AQ206" s="162">
        <v>0</v>
      </c>
      <c r="AR206" s="710" t="str">
        <v>CPS-31654-00(.020)r1.asm</v>
      </c>
      <c r="AV206" s="82" t="str">
        <v>0,102,204</v>
      </c>
      <c r="AW206" s="966">
        <v>15</v>
      </c>
      <c r="AX206" s="966">
        <v>-4.8651983532143479</v>
      </c>
      <c r="AY206" s="966">
        <v>-19.865198353214346</v>
      </c>
    </row>
    <row r="207" spans="2:51" x14ac:dyDescent="0.25">
      <c r="B207" s="650"/>
      <c r="C207" s="651"/>
      <c r="D207" s="652"/>
      <c r="E207" s="653"/>
      <c r="F207" s="651"/>
      <c r="G207" s="654"/>
      <c r="H207" s="653"/>
      <c r="I207" s="934"/>
      <c r="J207" s="938"/>
      <c r="K207" s="790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/>
      </c>
      <c r="L207" s="960"/>
      <c r="M207" s="961"/>
      <c r="N207" s="958"/>
      <c r="O207" s="959"/>
      <c r="Q207" s="162" t="str">
        <f t="shared" si="1078"/>
        <v/>
      </c>
      <c r="R207" s="162" t="str">
        <f t="shared" si="1079"/>
        <v/>
      </c>
      <c r="S207" s="162" t="str">
        <f t="shared" si="1080"/>
        <v/>
      </c>
      <c r="T207" s="162" t="str">
        <f t="shared" si="1081"/>
        <v/>
      </c>
      <c r="U207" s="162" t="str">
        <f t="shared" si="1082"/>
        <v/>
      </c>
      <c r="V207" s="162" t="str">
        <f t="shared" si="1083"/>
        <v/>
      </c>
      <c r="W207" s="162" t="str">
        <f>IFERROR(IF(ISNUMBER(MATCH($Z207,Settings!$AK$28:$AK$36,0)),INDEX(Settings!$AO$14:$AO$36,MATCH($Z207,Settings!$AK$14:$AK$36,0))/2,INDEX(Settings!$AM$14:$AM$36,MATCH($Z207,Settings!$AK$14:$AK$36,0))/2),"")</f>
        <v/>
      </c>
      <c r="X207" s="162" t="str">
        <f t="shared" si="1084"/>
        <v/>
      </c>
      <c r="Y207" s="75"/>
      <c r="Z207" s="931" t="str">
        <f t="shared" si="1085"/>
        <v/>
      </c>
      <c r="AA207" s="82"/>
      <c r="AB207" s="75"/>
      <c r="AC207" s="75"/>
      <c r="AD207" s="166"/>
      <c r="AE207" s="75">
        <v>5.1020000000000003</v>
      </c>
      <c r="AF207" s="82">
        <v>5</v>
      </c>
      <c r="AG207" s="82">
        <v>1</v>
      </c>
      <c r="AH207" s="82">
        <v>2</v>
      </c>
      <c r="AI207" s="82">
        <v>1.0000000000582077</v>
      </c>
      <c r="AJ207" s="166">
        <v>5.1022100000000004</v>
      </c>
      <c r="AK207" s="82">
        <v>5.1021100000000006</v>
      </c>
      <c r="AL207" s="162">
        <v>0</v>
      </c>
      <c r="AM207" s="162">
        <v>0</v>
      </c>
      <c r="AN207" s="162">
        <v>0</v>
      </c>
      <c r="AO207" s="162">
        <v>-23.73158996773903</v>
      </c>
      <c r="AP207" s="162">
        <v>0</v>
      </c>
      <c r="AQ207" s="162">
        <v>0</v>
      </c>
      <c r="AR207" s="710" t="str">
        <v>CPS-31654-00(.020)r1.asm</v>
      </c>
      <c r="AV207" s="82" t="str">
        <v>0,102,204</v>
      </c>
      <c r="AW207" s="966">
        <v>15</v>
      </c>
      <c r="AX207" s="966">
        <v>-8.7315899677390298</v>
      </c>
      <c r="AY207" s="966">
        <v>-23.73158996773903</v>
      </c>
    </row>
    <row r="208" spans="2:51" x14ac:dyDescent="0.25">
      <c r="B208" s="650"/>
      <c r="C208" s="651"/>
      <c r="D208" s="652"/>
      <c r="E208" s="653"/>
      <c r="F208" s="651"/>
      <c r="G208" s="654"/>
      <c r="H208" s="653"/>
      <c r="I208" s="934"/>
      <c r="J208" s="938"/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/>
      </c>
      <c r="L208" s="960"/>
      <c r="M208" s="961"/>
      <c r="N208" s="958"/>
      <c r="O208" s="959"/>
      <c r="Q208" s="162" t="str">
        <f t="shared" si="1078"/>
        <v/>
      </c>
      <c r="R208" s="162" t="str">
        <f t="shared" si="1079"/>
        <v/>
      </c>
      <c r="S208" s="162" t="str">
        <f t="shared" si="1080"/>
        <v/>
      </c>
      <c r="T208" s="162" t="str">
        <f t="shared" si="1081"/>
        <v/>
      </c>
      <c r="U208" s="162" t="str">
        <f t="shared" si="1082"/>
        <v/>
      </c>
      <c r="V208" s="162" t="str">
        <f t="shared" si="1083"/>
        <v/>
      </c>
      <c r="W208" s="162" t="str">
        <f>IFERROR(IF(ISNUMBER(MATCH($Z208,Settings!$AK$28:$AK$36,0)),INDEX(Settings!$AO$14:$AO$36,MATCH($Z208,Settings!$AK$14:$AK$36,0))/2,INDEX(Settings!$AM$14:$AM$36,MATCH($Z208,Settings!$AK$14:$AK$36,0))/2),"")</f>
        <v/>
      </c>
      <c r="X208" s="162" t="str">
        <f t="shared" si="1084"/>
        <v/>
      </c>
      <c r="Y208" s="75"/>
      <c r="Z208" s="931" t="str">
        <f t="shared" si="1085"/>
        <v/>
      </c>
      <c r="AA208" s="82"/>
      <c r="AB208" s="75"/>
      <c r="AC208" s="75"/>
      <c r="AD208" s="166"/>
      <c r="AE208" s="75">
        <v>4.1189999999999998</v>
      </c>
      <c r="AF208" s="82">
        <v>4</v>
      </c>
      <c r="AG208" s="82">
        <v>1</v>
      </c>
      <c r="AH208" s="82">
        <v>2</v>
      </c>
      <c r="AI208" s="82">
        <v>0.99999999998544808</v>
      </c>
      <c r="AJ208" s="166">
        <v>4.1192099999999998</v>
      </c>
      <c r="AK208" s="82">
        <v>4.11911</v>
      </c>
      <c r="AL208" s="162">
        <v>0</v>
      </c>
      <c r="AM208" s="162">
        <v>0</v>
      </c>
      <c r="AN208" s="162">
        <v>0</v>
      </c>
      <c r="AO208" s="162">
        <v>7.1148804231874578</v>
      </c>
      <c r="AP208" s="162">
        <v>0</v>
      </c>
      <c r="AQ208" s="162">
        <v>0</v>
      </c>
      <c r="AR208" s="710" t="str">
        <v>CPS-31650-00r1.asm</v>
      </c>
      <c r="AV208" s="82" t="str">
        <v>0,204,204</v>
      </c>
      <c r="AW208" s="966">
        <v>-90</v>
      </c>
      <c r="AX208" s="966">
        <v>-82.885119576812542</v>
      </c>
      <c r="AY208" s="966">
        <v>7.1148804231874578</v>
      </c>
    </row>
    <row r="209" spans="2:51" x14ac:dyDescent="0.25">
      <c r="B209" s="650"/>
      <c r="C209" s="651"/>
      <c r="D209" s="652"/>
      <c r="E209" s="653"/>
      <c r="F209" s="651"/>
      <c r="G209" s="654"/>
      <c r="H209" s="653"/>
      <c r="I209" s="934"/>
      <c r="J209" s="938"/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/>
      </c>
      <c r="L209" s="960"/>
      <c r="M209" s="961"/>
      <c r="N209" s="958"/>
      <c r="O209" s="959"/>
      <c r="Q209" s="162" t="str">
        <f t="shared" si="1078"/>
        <v/>
      </c>
      <c r="R209" s="162" t="str">
        <f t="shared" si="1079"/>
        <v/>
      </c>
      <c r="S209" s="162" t="str">
        <f t="shared" si="1080"/>
        <v/>
      </c>
      <c r="T209" s="162" t="str">
        <f t="shared" si="1081"/>
        <v/>
      </c>
      <c r="U209" s="162" t="str">
        <f t="shared" si="1082"/>
        <v/>
      </c>
      <c r="V209" s="162" t="str">
        <f t="shared" si="1083"/>
        <v/>
      </c>
      <c r="W209" s="162" t="str">
        <f>IFERROR(IF(ISNUMBER(MATCH($Z209,Settings!$AK$28:$AK$36,0)),INDEX(Settings!$AO$14:$AO$36,MATCH($Z209,Settings!$AK$14:$AK$36,0))/2,INDEX(Settings!$AM$14:$AM$36,MATCH($Z209,Settings!$AK$14:$AK$36,0))/2),"")</f>
        <v/>
      </c>
      <c r="X209" s="162" t="str">
        <f t="shared" si="1084"/>
        <v/>
      </c>
      <c r="Y209" s="75"/>
      <c r="Z209" s="931" t="str">
        <f t="shared" si="1085"/>
        <v/>
      </c>
      <c r="AA209" s="82"/>
      <c r="AB209" s="75"/>
      <c r="AC209" s="75"/>
      <c r="AD209" s="166"/>
      <c r="AE209" s="75">
        <v>4.1159999999999997</v>
      </c>
      <c r="AF209" s="82">
        <v>4</v>
      </c>
      <c r="AG209" s="82">
        <v>1</v>
      </c>
      <c r="AH209" s="82">
        <v>2</v>
      </c>
      <c r="AI209" s="82">
        <v>0.99999999998544808</v>
      </c>
      <c r="AJ209" s="166">
        <v>4.1162099999999997</v>
      </c>
      <c r="AK209" s="82">
        <v>4.1161099999999999</v>
      </c>
      <c r="AL209" s="162">
        <v>0</v>
      </c>
      <c r="AM209" s="162">
        <v>0</v>
      </c>
      <c r="AN209" s="162">
        <v>0</v>
      </c>
      <c r="AO209" s="162">
        <v>3.4467758997179203</v>
      </c>
      <c r="AP209" s="162">
        <v>0</v>
      </c>
      <c r="AQ209" s="162">
        <v>0</v>
      </c>
      <c r="AR209" s="710" t="str">
        <v>CPS-31654-00(.020)r1.asm</v>
      </c>
      <c r="AV209" s="82" t="str">
        <v>0,204,204</v>
      </c>
      <c r="AW209" s="966">
        <v>-78.53</v>
      </c>
      <c r="AX209" s="966">
        <v>-75.083224100282081</v>
      </c>
      <c r="AY209" s="966">
        <v>3.4467758997179203</v>
      </c>
    </row>
    <row r="210" spans="2:51" x14ac:dyDescent="0.25">
      <c r="B210" s="650"/>
      <c r="C210" s="651"/>
      <c r="D210" s="652"/>
      <c r="E210" s="653"/>
      <c r="F210" s="651"/>
      <c r="G210" s="654"/>
      <c r="H210" s="653"/>
      <c r="I210" s="934"/>
      <c r="J210" s="938"/>
      <c r="K210" s="790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/>
      </c>
      <c r="L210" s="960"/>
      <c r="M210" s="961"/>
      <c r="N210" s="958"/>
      <c r="O210" s="959"/>
      <c r="Q210" s="162" t="str">
        <f t="shared" si="1078"/>
        <v/>
      </c>
      <c r="R210" s="162" t="str">
        <f t="shared" si="1079"/>
        <v/>
      </c>
      <c r="S210" s="162" t="str">
        <f t="shared" si="1080"/>
        <v/>
      </c>
      <c r="T210" s="162" t="str">
        <f t="shared" si="1081"/>
        <v/>
      </c>
      <c r="U210" s="162" t="str">
        <f t="shared" si="1082"/>
        <v/>
      </c>
      <c r="V210" s="162" t="str">
        <f t="shared" si="1083"/>
        <v/>
      </c>
      <c r="W210" s="162" t="str">
        <f>IFERROR(IF(ISNUMBER(MATCH($Z210,Settings!$AK$28:$AK$36,0)),INDEX(Settings!$AO$14:$AO$36,MATCH($Z210,Settings!$AK$14:$AK$36,0))/2,INDEX(Settings!$AM$14:$AM$36,MATCH($Z210,Settings!$AK$14:$AK$36,0))/2),"")</f>
        <v/>
      </c>
      <c r="X210" s="162" t="str">
        <f t="shared" si="1084"/>
        <v/>
      </c>
      <c r="Y210" s="75"/>
      <c r="Z210" s="931" t="str">
        <f t="shared" si="1085"/>
        <v/>
      </c>
      <c r="AA210" s="82"/>
      <c r="AB210" s="75"/>
      <c r="AC210" s="75"/>
      <c r="AD210" s="166"/>
      <c r="AE210" s="75">
        <v>4.1130000000000004</v>
      </c>
      <c r="AF210" s="82">
        <v>4</v>
      </c>
      <c r="AG210" s="82">
        <v>1</v>
      </c>
      <c r="AH210" s="82">
        <v>2</v>
      </c>
      <c r="AI210" s="82">
        <v>1.0000000000582077</v>
      </c>
      <c r="AJ210" s="166">
        <v>4.1132100000000005</v>
      </c>
      <c r="AK210" s="82">
        <v>4.1131100000000007</v>
      </c>
      <c r="AL210" s="162">
        <v>0</v>
      </c>
      <c r="AM210" s="162">
        <v>0</v>
      </c>
      <c r="AN210" s="162">
        <v>0</v>
      </c>
      <c r="AO210" s="162">
        <v>-8.5390609582298325</v>
      </c>
      <c r="AP210" s="162">
        <v>0</v>
      </c>
      <c r="AQ210" s="162">
        <v>0</v>
      </c>
      <c r="AR210" s="710" t="str">
        <v>CPS-31654-00(.020)r1.asm</v>
      </c>
      <c r="AV210" s="82" t="str">
        <v>0,204,204</v>
      </c>
      <c r="AW210" s="966">
        <v>-45.319999999999993</v>
      </c>
      <c r="AX210" s="966">
        <v>-53.859060958229826</v>
      </c>
      <c r="AY210" s="966">
        <v>-8.5390609582298325</v>
      </c>
    </row>
    <row r="211" spans="2:51" x14ac:dyDescent="0.25">
      <c r="B211" s="650"/>
      <c r="C211" s="651"/>
      <c r="D211" s="652"/>
      <c r="E211" s="653"/>
      <c r="F211" s="651"/>
      <c r="G211" s="654"/>
      <c r="H211" s="653"/>
      <c r="I211" s="934"/>
      <c r="J211" s="938"/>
      <c r="K211" s="790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/>
      </c>
      <c r="L211" s="960"/>
      <c r="M211" s="961"/>
      <c r="N211" s="958"/>
      <c r="O211" s="959"/>
      <c r="Q211" s="162" t="str">
        <f t="shared" si="1078"/>
        <v/>
      </c>
      <c r="R211" s="162" t="str">
        <f t="shared" si="1079"/>
        <v/>
      </c>
      <c r="S211" s="162" t="str">
        <f t="shared" si="1080"/>
        <v/>
      </c>
      <c r="T211" s="162" t="str">
        <f t="shared" si="1081"/>
        <v/>
      </c>
      <c r="U211" s="162" t="str">
        <f t="shared" si="1082"/>
        <v/>
      </c>
      <c r="V211" s="162" t="str">
        <f t="shared" si="1083"/>
        <v/>
      </c>
      <c r="W211" s="162" t="str">
        <f>IFERROR(IF(ISNUMBER(MATCH($Z211,Settings!$AK$28:$AK$36,0)),INDEX(Settings!$AO$14:$AO$36,MATCH($Z211,Settings!$AK$14:$AK$36,0))/2,INDEX(Settings!$AM$14:$AM$36,MATCH($Z211,Settings!$AK$14:$AK$36,0))/2),"")</f>
        <v/>
      </c>
      <c r="X211" s="162" t="str">
        <f t="shared" si="1084"/>
        <v/>
      </c>
      <c r="Y211" s="75"/>
      <c r="Z211" s="931" t="str">
        <f t="shared" si="1085"/>
        <v/>
      </c>
      <c r="AA211" s="82"/>
      <c r="AB211" s="75"/>
      <c r="AC211" s="75"/>
      <c r="AD211" s="166"/>
      <c r="AE211" s="75">
        <v>4.1100000000000003</v>
      </c>
      <c r="AF211" s="82">
        <v>4</v>
      </c>
      <c r="AG211" s="82">
        <v>1</v>
      </c>
      <c r="AH211" s="82">
        <v>2</v>
      </c>
      <c r="AI211" s="82">
        <v>1.0000000000582077</v>
      </c>
      <c r="AJ211" s="166">
        <v>4.1102100000000004</v>
      </c>
      <c r="AK211" s="82">
        <v>4.1101100000000006</v>
      </c>
      <c r="AL211" s="162">
        <v>0</v>
      </c>
      <c r="AM211" s="162">
        <v>0</v>
      </c>
      <c r="AN211" s="162">
        <v>0</v>
      </c>
      <c r="AO211" s="162">
        <v>-12.819475319261034</v>
      </c>
      <c r="AP211" s="162">
        <v>0</v>
      </c>
      <c r="AQ211" s="162">
        <v>0</v>
      </c>
      <c r="AR211" s="710" t="str">
        <v>CPS-31654-00(.020)r1.asm</v>
      </c>
      <c r="AV211" s="82" t="str">
        <v>0,204,204</v>
      </c>
      <c r="AW211" s="966">
        <v>-11.469999999999999</v>
      </c>
      <c r="AX211" s="966">
        <v>-24.289475319261033</v>
      </c>
      <c r="AY211" s="966">
        <v>-12.819475319261034</v>
      </c>
    </row>
    <row r="212" spans="2:51" x14ac:dyDescent="0.25">
      <c r="B212" s="650"/>
      <c r="C212" s="651"/>
      <c r="D212" s="652"/>
      <c r="E212" s="653"/>
      <c r="F212" s="651"/>
      <c r="G212" s="654"/>
      <c r="H212" s="653"/>
      <c r="I212" s="934"/>
      <c r="J212" s="938"/>
      <c r="K212" s="790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/>
      </c>
      <c r="L212" s="960"/>
      <c r="M212" s="961"/>
      <c r="N212" s="958"/>
      <c r="O212" s="959"/>
      <c r="Q212" s="162" t="str">
        <f t="shared" si="1078"/>
        <v/>
      </c>
      <c r="R212" s="162" t="str">
        <f t="shared" si="1079"/>
        <v/>
      </c>
      <c r="S212" s="162" t="str">
        <f t="shared" si="1080"/>
        <v/>
      </c>
      <c r="T212" s="162" t="str">
        <f t="shared" si="1081"/>
        <v/>
      </c>
      <c r="U212" s="162" t="str">
        <f t="shared" si="1082"/>
        <v/>
      </c>
      <c r="V212" s="162" t="str">
        <f t="shared" si="1083"/>
        <v/>
      </c>
      <c r="W212" s="162" t="str">
        <f>IFERROR(IF(ISNUMBER(MATCH($Z212,Settings!$AK$28:$AK$36,0)),INDEX(Settings!$AO$14:$AO$36,MATCH($Z212,Settings!$AK$14:$AK$36,0))/2,INDEX(Settings!$AM$14:$AM$36,MATCH($Z212,Settings!$AK$14:$AK$36,0))/2),"")</f>
        <v/>
      </c>
      <c r="X212" s="162" t="str">
        <f t="shared" si="1084"/>
        <v/>
      </c>
      <c r="Y212" s="75"/>
      <c r="Z212" s="931" t="str">
        <f t="shared" si="1085"/>
        <v/>
      </c>
      <c r="AA212" s="82"/>
      <c r="AB212" s="75"/>
      <c r="AC212" s="75"/>
      <c r="AD212" s="166"/>
      <c r="AE212" s="75">
        <v>3.1179999999999999</v>
      </c>
      <c r="AF212" s="82">
        <v>3</v>
      </c>
      <c r="AG212" s="82">
        <v>1</v>
      </c>
      <c r="AH212" s="82">
        <v>2</v>
      </c>
      <c r="AI212" s="82">
        <v>0.99999999998544808</v>
      </c>
      <c r="AJ212" s="166">
        <v>3.1182099999999999</v>
      </c>
      <c r="AK212" s="82">
        <v>3.1181099999999997</v>
      </c>
      <c r="AL212" s="162">
        <v>0</v>
      </c>
      <c r="AM212" s="162">
        <v>0</v>
      </c>
      <c r="AN212" s="162">
        <v>0</v>
      </c>
      <c r="AO212" s="162">
        <v>7.1149423481789569</v>
      </c>
      <c r="AP212" s="162">
        <v>0</v>
      </c>
      <c r="AQ212" s="162">
        <v>0</v>
      </c>
      <c r="AR212" s="710" t="str">
        <v>CPS-31650-00r1.asm</v>
      </c>
      <c r="AV212" s="82" t="str">
        <v>0,204,0</v>
      </c>
      <c r="AW212" s="966">
        <v>-90</v>
      </c>
      <c r="AX212" s="966">
        <v>-82.885057651821043</v>
      </c>
      <c r="AY212" s="966">
        <v>7.1149423481789569</v>
      </c>
    </row>
    <row r="213" spans="2:51" x14ac:dyDescent="0.25">
      <c r="B213" s="650"/>
      <c r="C213" s="651"/>
      <c r="D213" s="652"/>
      <c r="E213" s="653"/>
      <c r="F213" s="651"/>
      <c r="G213" s="654"/>
      <c r="H213" s="653"/>
      <c r="I213" s="934"/>
      <c r="J213" s="938"/>
      <c r="K213" s="790" t="str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/>
      </c>
      <c r="L213" s="960"/>
      <c r="M213" s="961"/>
      <c r="N213" s="958"/>
      <c r="O213" s="959"/>
      <c r="Q213" s="162" t="str">
        <f t="shared" si="1078"/>
        <v/>
      </c>
      <c r="R213" s="162" t="str">
        <f t="shared" si="1079"/>
        <v/>
      </c>
      <c r="S213" s="162" t="str">
        <f t="shared" si="1080"/>
        <v/>
      </c>
      <c r="T213" s="162" t="str">
        <f t="shared" si="1081"/>
        <v/>
      </c>
      <c r="U213" s="162" t="str">
        <f t="shared" si="1082"/>
        <v/>
      </c>
      <c r="V213" s="162" t="str">
        <f t="shared" si="1083"/>
        <v/>
      </c>
      <c r="W213" s="162" t="str">
        <f>IFERROR(IF(ISNUMBER(MATCH($Z213,Settings!$AK$28:$AK$36,0)),INDEX(Settings!$AO$14:$AO$36,MATCH($Z213,Settings!$AK$14:$AK$36,0))/2,INDEX(Settings!$AM$14:$AM$36,MATCH($Z213,Settings!$AK$14:$AK$36,0))/2),"")</f>
        <v/>
      </c>
      <c r="X213" s="162" t="str">
        <f t="shared" si="1084"/>
        <v/>
      </c>
      <c r="Y213" s="75"/>
      <c r="Z213" s="931" t="str">
        <f t="shared" si="1085"/>
        <v/>
      </c>
      <c r="AA213" s="82"/>
      <c r="AB213" s="75"/>
      <c r="AC213" s="75"/>
      <c r="AD213" s="166"/>
      <c r="AE213" s="75">
        <v>3.1150000000000002</v>
      </c>
      <c r="AF213" s="82">
        <v>3</v>
      </c>
      <c r="AG213" s="82">
        <v>1</v>
      </c>
      <c r="AH213" s="82">
        <v>2</v>
      </c>
      <c r="AI213" s="82">
        <v>1.0000000000218279</v>
      </c>
      <c r="AJ213" s="166">
        <v>3.1152100000000003</v>
      </c>
      <c r="AK213" s="82">
        <v>3.11511</v>
      </c>
      <c r="AL213" s="162">
        <v>0</v>
      </c>
      <c r="AM213" s="162">
        <v>0</v>
      </c>
      <c r="AN213" s="162">
        <v>0</v>
      </c>
      <c r="AO213" s="162">
        <v>1.2094670350781911</v>
      </c>
      <c r="AP213" s="162">
        <v>0</v>
      </c>
      <c r="AQ213" s="162">
        <v>0</v>
      </c>
      <c r="AR213" s="710" t="str">
        <v>CPS-31654-00(.020)r1.asm</v>
      </c>
      <c r="AV213" s="82" t="str">
        <v>0,204,0</v>
      </c>
      <c r="AW213" s="966">
        <v>-67.47999999999999</v>
      </c>
      <c r="AX213" s="966">
        <v>-66.270532964921799</v>
      </c>
      <c r="AY213" s="966">
        <v>1.2094670350781911</v>
      </c>
    </row>
    <row r="214" spans="2:51" x14ac:dyDescent="0.25">
      <c r="B214" s="650"/>
      <c r="C214" s="651"/>
      <c r="D214" s="652"/>
      <c r="E214" s="653"/>
      <c r="F214" s="651"/>
      <c r="G214" s="654"/>
      <c r="H214" s="653"/>
      <c r="I214" s="934"/>
      <c r="J214" s="938"/>
      <c r="K214" s="790" t="str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/>
      </c>
      <c r="L214" s="960"/>
      <c r="M214" s="961"/>
      <c r="N214" s="958"/>
      <c r="O214" s="959"/>
      <c r="Q214" s="162" t="str">
        <f t="shared" si="1078"/>
        <v/>
      </c>
      <c r="R214" s="162" t="str">
        <f t="shared" si="1079"/>
        <v/>
      </c>
      <c r="S214" s="162" t="str">
        <f t="shared" si="1080"/>
        <v/>
      </c>
      <c r="T214" s="162" t="str">
        <f t="shared" si="1081"/>
        <v/>
      </c>
      <c r="U214" s="162" t="str">
        <f t="shared" si="1082"/>
        <v/>
      </c>
      <c r="V214" s="162" t="str">
        <f t="shared" si="1083"/>
        <v/>
      </c>
      <c r="W214" s="162" t="str">
        <f>IFERROR(IF(ISNUMBER(MATCH($Z214,Settings!$AK$28:$AK$36,0)),INDEX(Settings!$AO$14:$AO$36,MATCH($Z214,Settings!$AK$14:$AK$36,0))/2,INDEX(Settings!$AM$14:$AM$36,MATCH($Z214,Settings!$AK$14:$AK$36,0))/2),"")</f>
        <v/>
      </c>
      <c r="X214" s="162" t="str">
        <f t="shared" si="1084"/>
        <v/>
      </c>
      <c r="Y214" s="75"/>
      <c r="Z214" s="931" t="str">
        <f t="shared" si="1085"/>
        <v/>
      </c>
      <c r="AA214" s="82"/>
      <c r="AB214" s="75"/>
      <c r="AC214" s="75"/>
      <c r="AD214" s="166"/>
      <c r="AE214" s="75">
        <v>3.1120000000000001</v>
      </c>
      <c r="AF214" s="82">
        <v>3</v>
      </c>
      <c r="AG214" s="82">
        <v>1</v>
      </c>
      <c r="AH214" s="82">
        <v>2</v>
      </c>
      <c r="AI214" s="82">
        <v>1.0000000000218279</v>
      </c>
      <c r="AJ214" s="166">
        <v>3.1122100000000001</v>
      </c>
      <c r="AK214" s="82">
        <v>3.1121099999999999</v>
      </c>
      <c r="AL214" s="162">
        <v>0</v>
      </c>
      <c r="AM214" s="162">
        <v>0</v>
      </c>
      <c r="AN214" s="162">
        <v>0</v>
      </c>
      <c r="AO214" s="162">
        <v>-11.026664077700261</v>
      </c>
      <c r="AP214" s="162">
        <v>0</v>
      </c>
      <c r="AQ214" s="162">
        <v>0</v>
      </c>
      <c r="AR214" s="710" t="str">
        <v>CPS-32425r1.par</v>
      </c>
      <c r="AV214" s="82" t="str">
        <v>0,204,0</v>
      </c>
      <c r="AW214" s="966">
        <v>-34.049999999999997</v>
      </c>
      <c r="AX214" s="966">
        <v>-45.076664077700258</v>
      </c>
      <c r="AY214" s="966">
        <v>-11.026664077700261</v>
      </c>
    </row>
    <row r="215" spans="2:51" x14ac:dyDescent="0.25">
      <c r="B215" s="650"/>
      <c r="C215" s="651"/>
      <c r="D215" s="652"/>
      <c r="E215" s="653"/>
      <c r="F215" s="651"/>
      <c r="G215" s="654"/>
      <c r="H215" s="653"/>
      <c r="I215" s="934"/>
      <c r="J215" s="938"/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/>
      </c>
      <c r="L215" s="960"/>
      <c r="M215" s="961"/>
      <c r="N215" s="958"/>
      <c r="O215" s="959"/>
      <c r="Q215" s="162" t="str">
        <f t="shared" si="1078"/>
        <v/>
      </c>
      <c r="R215" s="162" t="str">
        <f t="shared" si="1079"/>
        <v/>
      </c>
      <c r="S215" s="162" t="str">
        <f t="shared" si="1080"/>
        <v/>
      </c>
      <c r="T215" s="162" t="str">
        <f t="shared" si="1081"/>
        <v/>
      </c>
      <c r="U215" s="162" t="str">
        <f t="shared" si="1082"/>
        <v/>
      </c>
      <c r="V215" s="162" t="str">
        <f t="shared" si="1083"/>
        <v/>
      </c>
      <c r="W215" s="162" t="str">
        <f>IFERROR(IF(ISNUMBER(MATCH($Z215,Settings!$AK$28:$AK$36,0)),INDEX(Settings!$AO$14:$AO$36,MATCH($Z215,Settings!$AK$14:$AK$36,0))/2,INDEX(Settings!$AM$14:$AM$36,MATCH($Z215,Settings!$AK$14:$AK$36,0))/2),"")</f>
        <v/>
      </c>
      <c r="X215" s="162" t="str">
        <f t="shared" si="1084"/>
        <v/>
      </c>
      <c r="Y215" s="75"/>
      <c r="Z215" s="931" t="str">
        <f t="shared" si="1085"/>
        <v/>
      </c>
      <c r="AA215" s="82"/>
      <c r="AB215" s="75"/>
      <c r="AC215" s="75"/>
      <c r="AD215" s="166"/>
      <c r="AE215" s="75">
        <v>3.109</v>
      </c>
      <c r="AF215" s="82">
        <v>3</v>
      </c>
      <c r="AG215" s="82">
        <v>1</v>
      </c>
      <c r="AH215" s="82">
        <v>2</v>
      </c>
      <c r="AI215" s="82">
        <v>0.99999999998544808</v>
      </c>
      <c r="AJ215" s="166">
        <v>3.10921</v>
      </c>
      <c r="AK215" s="82">
        <v>3.1091099999999998</v>
      </c>
      <c r="AL215" s="162">
        <v>0</v>
      </c>
      <c r="AM215" s="162">
        <v>0</v>
      </c>
      <c r="AN215" s="162">
        <v>0</v>
      </c>
      <c r="AO215" s="162">
        <v>-13.632859963601508</v>
      </c>
      <c r="AP215" s="162">
        <v>0</v>
      </c>
      <c r="AQ215" s="162">
        <v>0</v>
      </c>
      <c r="AR215" s="710" t="str">
        <v>CPS-31654-00(.020)r1.asm</v>
      </c>
      <c r="AV215" s="82" t="str">
        <v>0,204,0</v>
      </c>
      <c r="AW215" s="966">
        <v>-0.29000000000000625</v>
      </c>
      <c r="AX215" s="966">
        <v>-13.922859963601514</v>
      </c>
      <c r="AY215" s="966">
        <v>-13.632859963601508</v>
      </c>
    </row>
    <row r="216" spans="2:51" x14ac:dyDescent="0.25">
      <c r="B216" s="650"/>
      <c r="C216" s="651"/>
      <c r="D216" s="652"/>
      <c r="E216" s="653"/>
      <c r="F216" s="651"/>
      <c r="G216" s="654"/>
      <c r="H216" s="653"/>
      <c r="I216" s="934"/>
      <c r="J216" s="938"/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/>
      </c>
      <c r="L216" s="960"/>
      <c r="M216" s="961"/>
      <c r="N216" s="958"/>
      <c r="O216" s="959"/>
      <c r="Q216" s="162" t="str">
        <f t="shared" si="1078"/>
        <v/>
      </c>
      <c r="R216" s="162" t="str">
        <f t="shared" si="1079"/>
        <v/>
      </c>
      <c r="S216" s="162" t="str">
        <f t="shared" si="1080"/>
        <v/>
      </c>
      <c r="T216" s="162" t="str">
        <f t="shared" si="1081"/>
        <v/>
      </c>
      <c r="U216" s="162" t="str">
        <f t="shared" si="1082"/>
        <v/>
      </c>
      <c r="V216" s="162" t="str">
        <f t="shared" si="1083"/>
        <v/>
      </c>
      <c r="W216" s="162" t="str">
        <f>IFERROR(IF(ISNUMBER(MATCH($Z216,Settings!$AK$28:$AK$36,0)),INDEX(Settings!$AO$14:$AO$36,MATCH($Z216,Settings!$AK$14:$AK$36,0))/2,INDEX(Settings!$AM$14:$AM$36,MATCH($Z216,Settings!$AK$14:$AK$36,0))/2),"")</f>
        <v/>
      </c>
      <c r="X216" s="162" t="str">
        <f t="shared" si="1084"/>
        <v/>
      </c>
      <c r="Y216" s="75"/>
      <c r="Z216" s="931" t="str">
        <f t="shared" si="1085"/>
        <v/>
      </c>
      <c r="AA216" s="82"/>
      <c r="AB216" s="75"/>
      <c r="AC216" s="75"/>
      <c r="AD216" s="166"/>
      <c r="AE216" s="75">
        <v>3.1059999999999999</v>
      </c>
      <c r="AF216" s="82">
        <v>3</v>
      </c>
      <c r="AG216" s="82">
        <v>1</v>
      </c>
      <c r="AH216" s="82">
        <v>2</v>
      </c>
      <c r="AI216" s="82">
        <v>0.99999999998544808</v>
      </c>
      <c r="AJ216" s="166">
        <v>3.1062099999999999</v>
      </c>
      <c r="AK216" s="82">
        <v>3.1061099999999997</v>
      </c>
      <c r="AL216" s="162">
        <v>0</v>
      </c>
      <c r="AM216" s="162">
        <v>0</v>
      </c>
      <c r="AN216" s="162">
        <v>0</v>
      </c>
      <c r="AO216" s="162">
        <v>-19.065582948943572</v>
      </c>
      <c r="AP216" s="162">
        <v>0</v>
      </c>
      <c r="AQ216" s="162">
        <v>0</v>
      </c>
      <c r="AR216" s="710" t="str">
        <v>CPS-32425r1.par</v>
      </c>
      <c r="AV216" s="82" t="str">
        <v>0,204,0</v>
      </c>
      <c r="AW216" s="966">
        <v>15</v>
      </c>
      <c r="AX216" s="966">
        <v>-4.0655829489435709</v>
      </c>
      <c r="AY216" s="966">
        <v>-19.065582948943572</v>
      </c>
    </row>
    <row r="217" spans="2:51" x14ac:dyDescent="0.25">
      <c r="B217" s="650"/>
      <c r="C217" s="651"/>
      <c r="D217" s="652"/>
      <c r="E217" s="653"/>
      <c r="F217" s="651"/>
      <c r="G217" s="654"/>
      <c r="H217" s="653"/>
      <c r="I217" s="934"/>
      <c r="J217" s="938"/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/>
      </c>
      <c r="L217" s="960"/>
      <c r="M217" s="961"/>
      <c r="N217" s="958"/>
      <c r="O217" s="959"/>
      <c r="Q217" s="162" t="str">
        <f t="shared" si="1078"/>
        <v/>
      </c>
      <c r="R217" s="162" t="str">
        <f t="shared" si="1079"/>
        <v/>
      </c>
      <c r="S217" s="162" t="str">
        <f t="shared" si="1080"/>
        <v/>
      </c>
      <c r="T217" s="162" t="str">
        <f t="shared" si="1081"/>
        <v/>
      </c>
      <c r="U217" s="162" t="str">
        <f t="shared" si="1082"/>
        <v/>
      </c>
      <c r="V217" s="162" t="str">
        <f t="shared" si="1083"/>
        <v/>
      </c>
      <c r="W217" s="162" t="str">
        <f>IFERROR(IF(ISNUMBER(MATCH($Z217,Settings!$AK$28:$AK$36,0)),INDEX(Settings!$AO$14:$AO$36,MATCH($Z217,Settings!$AK$14:$AK$36,0))/2,INDEX(Settings!$AM$14:$AM$36,MATCH($Z217,Settings!$AK$14:$AK$36,0))/2),"")</f>
        <v/>
      </c>
      <c r="X217" s="162" t="str">
        <f t="shared" si="1084"/>
        <v/>
      </c>
      <c r="Y217" s="162"/>
      <c r="Z217" s="931" t="str">
        <f t="shared" si="1085"/>
        <v/>
      </c>
      <c r="AA217" s="82"/>
      <c r="AB217" s="75"/>
      <c r="AC217" s="75"/>
      <c r="AD217" s="166"/>
      <c r="AE217" s="75">
        <v>3.1030000000000002</v>
      </c>
      <c r="AF217" s="82">
        <v>3</v>
      </c>
      <c r="AG217" s="82">
        <v>1</v>
      </c>
      <c r="AH217" s="82">
        <v>2</v>
      </c>
      <c r="AI217" s="82">
        <v>1.0000000000218279</v>
      </c>
      <c r="AJ217" s="166">
        <v>3.1032100000000002</v>
      </c>
      <c r="AK217" s="82">
        <v>3.10311</v>
      </c>
      <c r="AL217" s="162">
        <v>0</v>
      </c>
      <c r="AM217" s="162">
        <v>0</v>
      </c>
      <c r="AN217" s="162">
        <v>0</v>
      </c>
      <c r="AO217" s="162">
        <v>-21.877028167605189</v>
      </c>
      <c r="AP217" s="162">
        <v>0</v>
      </c>
      <c r="AQ217" s="162">
        <v>0</v>
      </c>
      <c r="AR217" s="710" t="str">
        <v>CPS-31654-00(.020)r1.asm</v>
      </c>
      <c r="AV217" s="82" t="str">
        <v>0,204,0</v>
      </c>
      <c r="AW217" s="966">
        <v>15</v>
      </c>
      <c r="AX217" s="966">
        <v>-6.8770281676051894</v>
      </c>
      <c r="AY217" s="966">
        <v>-21.877028167605189</v>
      </c>
    </row>
    <row r="218" spans="2:51" x14ac:dyDescent="0.25">
      <c r="B218" s="650"/>
      <c r="C218" s="651"/>
      <c r="D218" s="652"/>
      <c r="E218" s="653"/>
      <c r="F218" s="651"/>
      <c r="G218" s="654"/>
      <c r="H218" s="653"/>
      <c r="I218" s="934"/>
      <c r="J218" s="938"/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/>
      </c>
      <c r="L218" s="960"/>
      <c r="M218" s="961"/>
      <c r="N218" s="958"/>
      <c r="O218" s="959"/>
      <c r="Q218" s="162" t="str">
        <f t="shared" si="1078"/>
        <v/>
      </c>
      <c r="R218" s="162" t="str">
        <f t="shared" si="1079"/>
        <v/>
      </c>
      <c r="S218" s="162" t="str">
        <f t="shared" si="1080"/>
        <v/>
      </c>
      <c r="T218" s="162" t="str">
        <f t="shared" si="1081"/>
        <v/>
      </c>
      <c r="U218" s="162" t="str">
        <f t="shared" si="1082"/>
        <v/>
      </c>
      <c r="V218" s="162" t="str">
        <f t="shared" si="1083"/>
        <v/>
      </c>
      <c r="W218" s="162" t="str">
        <f>IFERROR(IF(ISNUMBER(MATCH($Z218,Settings!$AK$28:$AK$36,0)),INDEX(Settings!$AO$14:$AO$36,MATCH($Z218,Settings!$AK$14:$AK$36,0))/2,INDEX(Settings!$AM$14:$AM$36,MATCH($Z218,Settings!$AK$14:$AK$36,0))/2),"")</f>
        <v/>
      </c>
      <c r="X218" s="162" t="str">
        <f t="shared" si="1084"/>
        <v/>
      </c>
      <c r="Y218" s="162"/>
      <c r="Z218" s="931" t="str">
        <f t="shared" si="1085"/>
        <v/>
      </c>
      <c r="AA218" s="82"/>
      <c r="AB218" s="75"/>
      <c r="AC218" s="75"/>
      <c r="AD218" s="166"/>
      <c r="AE218" s="75">
        <v>2.12</v>
      </c>
      <c r="AF218" s="82">
        <v>2</v>
      </c>
      <c r="AG218" s="82">
        <v>1</v>
      </c>
      <c r="AH218" s="82">
        <v>2</v>
      </c>
      <c r="AI218" s="82">
        <v>1.0000000000218279</v>
      </c>
      <c r="AJ218" s="166">
        <v>2.1202100000000002</v>
      </c>
      <c r="AK218" s="82">
        <v>2.1201099999999999</v>
      </c>
      <c r="AL218" s="162">
        <v>0</v>
      </c>
      <c r="AM218" s="162">
        <v>0</v>
      </c>
      <c r="AN218" s="162">
        <v>0</v>
      </c>
      <c r="AO218" s="162">
        <v>7.1147928303894901</v>
      </c>
      <c r="AP218" s="162">
        <v>0</v>
      </c>
      <c r="AQ218" s="162">
        <v>0</v>
      </c>
      <c r="AR218" s="710" t="str">
        <v>CPS-31650-00r1.asm</v>
      </c>
      <c r="AV218" s="82" t="str">
        <v>204,204,0</v>
      </c>
      <c r="AW218" s="966">
        <v>-90</v>
      </c>
      <c r="AX218" s="966">
        <v>-82.88520716961051</v>
      </c>
      <c r="AY218" s="966">
        <v>7.1147928303894901</v>
      </c>
    </row>
    <row r="219" spans="2:51" x14ac:dyDescent="0.25">
      <c r="B219" s="650"/>
      <c r="C219" s="651"/>
      <c r="D219" s="652"/>
      <c r="E219" s="653"/>
      <c r="F219" s="651"/>
      <c r="G219" s="654"/>
      <c r="H219" s="653"/>
      <c r="I219" s="934"/>
      <c r="J219" s="938"/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960"/>
      <c r="M219" s="961"/>
      <c r="N219" s="958"/>
      <c r="O219" s="959"/>
      <c r="Q219" s="162" t="str">
        <f t="shared" si="1078"/>
        <v/>
      </c>
      <c r="R219" s="162" t="str">
        <f t="shared" si="1079"/>
        <v/>
      </c>
      <c r="S219" s="162" t="str">
        <f t="shared" si="1080"/>
        <v/>
      </c>
      <c r="T219" s="162" t="str">
        <f t="shared" si="1081"/>
        <v/>
      </c>
      <c r="U219" s="162" t="str">
        <f t="shared" si="1082"/>
        <v/>
      </c>
      <c r="V219" s="162" t="str">
        <f t="shared" si="1083"/>
        <v/>
      </c>
      <c r="W219" s="162" t="str">
        <f>IFERROR(IF(ISNUMBER(MATCH($Z219,Settings!$AK$28:$AK$36,0)),INDEX(Settings!$AO$14:$AO$36,MATCH($Z219,Settings!$AK$14:$AK$36,0))/2,INDEX(Settings!$AM$14:$AM$36,MATCH($Z219,Settings!$AK$14:$AK$36,0))/2),"")</f>
        <v/>
      </c>
      <c r="X219" s="162" t="str">
        <f t="shared" si="1084"/>
        <v/>
      </c>
      <c r="Y219" s="162"/>
      <c r="Z219" s="931" t="str">
        <f t="shared" si="1085"/>
        <v/>
      </c>
      <c r="AA219" s="82"/>
      <c r="AB219" s="75"/>
      <c r="AC219" s="75"/>
      <c r="AD219" s="166"/>
      <c r="AE219" s="75">
        <v>2.117</v>
      </c>
      <c r="AF219" s="82">
        <v>2</v>
      </c>
      <c r="AG219" s="82">
        <v>1</v>
      </c>
      <c r="AH219" s="82">
        <v>2</v>
      </c>
      <c r="AI219" s="82">
        <v>0.99999999998544808</v>
      </c>
      <c r="AJ219" s="166">
        <v>2.11721</v>
      </c>
      <c r="AK219" s="82">
        <v>2.1171099999999998</v>
      </c>
      <c r="AL219" s="162">
        <v>0</v>
      </c>
      <c r="AM219" s="162">
        <v>0</v>
      </c>
      <c r="AN219" s="162">
        <v>0</v>
      </c>
      <c r="AO219" s="162">
        <v>5.8677994991941205</v>
      </c>
      <c r="AP219" s="162">
        <v>0</v>
      </c>
      <c r="AQ219" s="162">
        <v>0</v>
      </c>
      <c r="AR219" s="710" t="str">
        <v>CPS-31654-00(.020)r1.asm</v>
      </c>
      <c r="AV219" s="82" t="str">
        <v>204,204,0</v>
      </c>
      <c r="AW219" s="966">
        <v>-88.75</v>
      </c>
      <c r="AX219" s="966">
        <v>-82.88220050080588</v>
      </c>
      <c r="AY219" s="966">
        <v>5.8677994991941205</v>
      </c>
    </row>
    <row r="220" spans="2:51" x14ac:dyDescent="0.25">
      <c r="B220" s="650"/>
      <c r="C220" s="651"/>
      <c r="D220" s="652"/>
      <c r="E220" s="653"/>
      <c r="F220" s="651"/>
      <c r="G220" s="654"/>
      <c r="H220" s="653"/>
      <c r="I220" s="934"/>
      <c r="J220" s="938"/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960"/>
      <c r="M220" s="961"/>
      <c r="N220" s="958"/>
      <c r="O220" s="959"/>
      <c r="Q220" s="162" t="str">
        <f t="shared" si="1078"/>
        <v/>
      </c>
      <c r="R220" s="162" t="str">
        <f t="shared" si="1079"/>
        <v/>
      </c>
      <c r="S220" s="162" t="str">
        <f t="shared" si="1080"/>
        <v/>
      </c>
      <c r="T220" s="162" t="str">
        <f t="shared" si="1081"/>
        <v/>
      </c>
      <c r="U220" s="162" t="str">
        <f t="shared" si="1082"/>
        <v/>
      </c>
      <c r="V220" s="162" t="str">
        <f t="shared" si="1083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4"/>
        <v/>
      </c>
      <c r="Y220" s="162"/>
      <c r="Z220" s="931" t="str">
        <f t="shared" si="1085"/>
        <v/>
      </c>
      <c r="AA220" s="82"/>
      <c r="AB220" s="75"/>
      <c r="AC220" s="75"/>
      <c r="AD220" s="166"/>
      <c r="AE220" s="75">
        <v>2.1139999999999999</v>
      </c>
      <c r="AF220" s="82">
        <v>2</v>
      </c>
      <c r="AG220" s="82">
        <v>1</v>
      </c>
      <c r="AH220" s="82">
        <v>2</v>
      </c>
      <c r="AI220" s="82">
        <v>0.99999999998544808</v>
      </c>
      <c r="AJ220" s="166">
        <v>2.1142099999999999</v>
      </c>
      <c r="AK220" s="82">
        <v>2.1141099999999997</v>
      </c>
      <c r="AL220" s="162">
        <v>0</v>
      </c>
      <c r="AM220" s="162">
        <v>0</v>
      </c>
      <c r="AN220" s="162">
        <v>0</v>
      </c>
      <c r="AO220" s="162">
        <v>-6.9252157503873875</v>
      </c>
      <c r="AP220" s="162">
        <v>0</v>
      </c>
      <c r="AQ220" s="162">
        <v>0</v>
      </c>
      <c r="AR220" s="710" t="str">
        <v>CPS-31654-00(.020)r1.asm</v>
      </c>
      <c r="AV220" s="82" t="str">
        <v>204,204,0</v>
      </c>
      <c r="AW220" s="966">
        <v>-56.419999999999987</v>
      </c>
      <c r="AX220" s="966">
        <v>-63.345215750387375</v>
      </c>
      <c r="AY220" s="966">
        <v>-6.9252157503873875</v>
      </c>
    </row>
    <row r="221" spans="2:51" x14ac:dyDescent="0.25">
      <c r="B221" s="650"/>
      <c r="C221" s="651"/>
      <c r="D221" s="652"/>
      <c r="E221" s="653"/>
      <c r="F221" s="651"/>
      <c r="G221" s="654"/>
      <c r="H221" s="653"/>
      <c r="I221" s="934"/>
      <c r="J221" s="938"/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960"/>
      <c r="M221" s="961"/>
      <c r="N221" s="958"/>
      <c r="O221" s="959"/>
      <c r="Q221" s="162" t="str">
        <f t="shared" si="1078"/>
        <v/>
      </c>
      <c r="R221" s="162" t="str">
        <f t="shared" si="1079"/>
        <v/>
      </c>
      <c r="S221" s="162" t="str">
        <f t="shared" si="1080"/>
        <v/>
      </c>
      <c r="T221" s="162" t="str">
        <f t="shared" si="1081"/>
        <v/>
      </c>
      <c r="U221" s="162" t="str">
        <f t="shared" si="1082"/>
        <v/>
      </c>
      <c r="V221" s="162" t="str">
        <f t="shared" si="1083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4"/>
        <v/>
      </c>
      <c r="Y221" s="162"/>
      <c r="Z221" s="931" t="str">
        <f t="shared" si="1085"/>
        <v/>
      </c>
      <c r="AA221" s="82"/>
      <c r="AB221" s="75"/>
      <c r="AC221" s="75"/>
      <c r="AD221" s="166"/>
      <c r="AE221" s="75">
        <v>2.1110000000000002</v>
      </c>
      <c r="AF221" s="82">
        <v>2</v>
      </c>
      <c r="AG221" s="82">
        <v>1</v>
      </c>
      <c r="AH221" s="82">
        <v>2</v>
      </c>
      <c r="AI221" s="82">
        <v>1.0000000000218279</v>
      </c>
      <c r="AJ221" s="166">
        <v>2.1112100000000003</v>
      </c>
      <c r="AK221" s="82">
        <v>2.11111</v>
      </c>
      <c r="AL221" s="162">
        <v>0</v>
      </c>
      <c r="AM221" s="162">
        <v>0</v>
      </c>
      <c r="AN221" s="162">
        <v>0</v>
      </c>
      <c r="AO221" s="162">
        <v>-11.445056903293299</v>
      </c>
      <c r="AP221" s="162">
        <v>0</v>
      </c>
      <c r="AQ221" s="162">
        <v>0</v>
      </c>
      <c r="AR221" s="710" t="str">
        <v>CPS-31654-00(.020)r1.asm</v>
      </c>
      <c r="AV221" s="82" t="str">
        <v>204,204,0</v>
      </c>
      <c r="AW221" s="966">
        <v>-22.760000000000005</v>
      </c>
      <c r="AX221" s="966">
        <v>-34.205056903293304</v>
      </c>
      <c r="AY221" s="966">
        <v>-11.445056903293299</v>
      </c>
    </row>
    <row r="222" spans="2:51" x14ac:dyDescent="0.25">
      <c r="B222" s="650"/>
      <c r="C222" s="651"/>
      <c r="D222" s="652"/>
      <c r="E222" s="653"/>
      <c r="F222" s="651"/>
      <c r="G222" s="654"/>
      <c r="H222" s="653"/>
      <c r="I222" s="934"/>
      <c r="J222" s="938"/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960"/>
      <c r="M222" s="961"/>
      <c r="N222" s="958"/>
      <c r="O222" s="959"/>
      <c r="Q222" s="162" t="str">
        <f t="shared" si="1078"/>
        <v/>
      </c>
      <c r="R222" s="162" t="str">
        <f t="shared" si="1079"/>
        <v/>
      </c>
      <c r="S222" s="162" t="str">
        <f t="shared" si="1080"/>
        <v/>
      </c>
      <c r="T222" s="162" t="str">
        <f t="shared" si="1081"/>
        <v/>
      </c>
      <c r="U222" s="162" t="str">
        <f t="shared" si="1082"/>
        <v/>
      </c>
      <c r="V222" s="162" t="str">
        <f t="shared" si="1083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4"/>
        <v/>
      </c>
      <c r="Y222" s="162"/>
      <c r="Z222" s="931" t="str">
        <f t="shared" si="1085"/>
        <v/>
      </c>
      <c r="AA222" s="82"/>
      <c r="AB222" s="75"/>
      <c r="AC222" s="75"/>
      <c r="AD222" s="166"/>
      <c r="AE222" s="75">
        <v>2.1080000000000001</v>
      </c>
      <c r="AF222" s="82">
        <v>2</v>
      </c>
      <c r="AG222" s="82">
        <v>1</v>
      </c>
      <c r="AH222" s="82">
        <v>2</v>
      </c>
      <c r="AI222" s="82">
        <v>1.0000000000218279</v>
      </c>
      <c r="AJ222" s="166">
        <v>2.1082100000000001</v>
      </c>
      <c r="AK222" s="82">
        <v>2.1081099999999999</v>
      </c>
      <c r="AL222" s="162">
        <v>0</v>
      </c>
      <c r="AM222" s="162">
        <v>0</v>
      </c>
      <c r="AN222" s="162">
        <v>0</v>
      </c>
      <c r="AO222" s="162">
        <v>-13.94709343707801</v>
      </c>
      <c r="AP222" s="162">
        <v>0</v>
      </c>
      <c r="AQ222" s="162">
        <v>0</v>
      </c>
      <c r="AR222" s="710" t="str">
        <v>CPS-31654-00(.020)r1.asm</v>
      </c>
      <c r="AV222" s="82" t="str">
        <v>204,204,0</v>
      </c>
      <c r="AW222" s="966">
        <v>10.879999999999995</v>
      </c>
      <c r="AX222" s="966">
        <v>-3.0670934370780145</v>
      </c>
      <c r="AY222" s="966">
        <v>-13.94709343707801</v>
      </c>
    </row>
    <row r="223" spans="2:51" x14ac:dyDescent="0.25">
      <c r="B223" s="650"/>
      <c r="C223" s="651"/>
      <c r="D223" s="652"/>
      <c r="E223" s="653"/>
      <c r="F223" s="651"/>
      <c r="G223" s="654"/>
      <c r="H223" s="653"/>
      <c r="I223" s="934"/>
      <c r="J223" s="938"/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960"/>
      <c r="M223" s="961"/>
      <c r="N223" s="958"/>
      <c r="O223" s="959"/>
      <c r="Q223" s="162" t="str">
        <f t="shared" si="1078"/>
        <v/>
      </c>
      <c r="R223" s="162" t="str">
        <f t="shared" si="1079"/>
        <v/>
      </c>
      <c r="S223" s="162" t="str">
        <f t="shared" si="1080"/>
        <v/>
      </c>
      <c r="T223" s="162" t="str">
        <f t="shared" si="1081"/>
        <v/>
      </c>
      <c r="U223" s="162" t="str">
        <f t="shared" si="1082"/>
        <v/>
      </c>
      <c r="V223" s="162" t="str">
        <f t="shared" si="1083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4"/>
        <v/>
      </c>
      <c r="Y223" s="162"/>
      <c r="Z223" s="931" t="str">
        <f t="shared" si="1085"/>
        <v/>
      </c>
      <c r="AA223" s="82"/>
      <c r="AB223" s="75"/>
      <c r="AC223" s="75"/>
      <c r="AD223" s="166"/>
      <c r="AE223" s="75">
        <v>1.119</v>
      </c>
      <c r="AF223" s="82">
        <v>1</v>
      </c>
      <c r="AG223" s="82">
        <v>1</v>
      </c>
      <c r="AH223" s="82">
        <v>2</v>
      </c>
      <c r="AI223" s="82">
        <v>1.000000000003638</v>
      </c>
      <c r="AJ223" s="166">
        <v>1.11921</v>
      </c>
      <c r="AK223" s="82">
        <v>1.11911</v>
      </c>
      <c r="AL223" s="162">
        <v>0</v>
      </c>
      <c r="AM223" s="162">
        <v>0</v>
      </c>
      <c r="AN223" s="162">
        <v>0</v>
      </c>
      <c r="AO223" s="162">
        <v>7.114880423187472</v>
      </c>
      <c r="AP223" s="162">
        <v>0</v>
      </c>
      <c r="AQ223" s="162">
        <v>0</v>
      </c>
      <c r="AR223" s="710" t="str">
        <v>CPS-31650-00r1.asm</v>
      </c>
      <c r="AV223" s="82" t="str">
        <v>255,127,0</v>
      </c>
      <c r="AW223" s="966">
        <v>-90</v>
      </c>
      <c r="AX223" s="966">
        <v>-82.885119576812528</v>
      </c>
      <c r="AY223" s="966">
        <v>7.114880423187472</v>
      </c>
    </row>
    <row r="224" spans="2:51" x14ac:dyDescent="0.25">
      <c r="B224" s="650"/>
      <c r="C224" s="651"/>
      <c r="D224" s="652"/>
      <c r="E224" s="653"/>
      <c r="F224" s="651"/>
      <c r="G224" s="654"/>
      <c r="H224" s="653"/>
      <c r="I224" s="934"/>
      <c r="J224" s="938"/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960"/>
      <c r="M224" s="961"/>
      <c r="N224" s="958"/>
      <c r="O224" s="959"/>
      <c r="Q224" s="162" t="str">
        <f t="shared" si="1078"/>
        <v/>
      </c>
      <c r="R224" s="162" t="str">
        <f t="shared" si="1079"/>
        <v/>
      </c>
      <c r="S224" s="162" t="str">
        <f t="shared" si="1080"/>
        <v/>
      </c>
      <c r="T224" s="162" t="str">
        <f t="shared" si="1081"/>
        <v/>
      </c>
      <c r="U224" s="162" t="str">
        <f t="shared" si="1082"/>
        <v/>
      </c>
      <c r="V224" s="162" t="str">
        <f t="shared" si="1083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4"/>
        <v/>
      </c>
      <c r="Y224" s="162"/>
      <c r="Z224" s="931" t="str">
        <f t="shared" si="1085"/>
        <v/>
      </c>
      <c r="AA224" s="82"/>
      <c r="AB224" s="75"/>
      <c r="AC224" s="75"/>
      <c r="AD224" s="166"/>
      <c r="AE224" s="75">
        <v>1.1160000000000001</v>
      </c>
      <c r="AF224" s="82">
        <v>1</v>
      </c>
      <c r="AG224" s="82">
        <v>1</v>
      </c>
      <c r="AH224" s="82">
        <v>2</v>
      </c>
      <c r="AI224" s="82">
        <v>1.0000000000218279</v>
      </c>
      <c r="AJ224" s="166">
        <v>1.1162100000000001</v>
      </c>
      <c r="AK224" s="82">
        <v>1.1161100000000002</v>
      </c>
      <c r="AL224" s="162">
        <v>0</v>
      </c>
      <c r="AM224" s="162">
        <v>0</v>
      </c>
      <c r="AN224" s="162">
        <v>0</v>
      </c>
      <c r="AO224" s="162">
        <v>3.4467758997179345</v>
      </c>
      <c r="AP224" s="162">
        <v>0</v>
      </c>
      <c r="AQ224" s="162">
        <v>0</v>
      </c>
      <c r="AR224" s="710" t="str">
        <v>CPS-32425r1.par</v>
      </c>
      <c r="AV224" s="82" t="str">
        <v>255,127,0</v>
      </c>
      <c r="AW224" s="966">
        <v>-78.53</v>
      </c>
      <c r="AX224" s="966">
        <v>-75.083224100282067</v>
      </c>
      <c r="AY224" s="966">
        <v>3.4467758997179345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34"/>
      <c r="J225" s="938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60"/>
      <c r="M225" s="961"/>
      <c r="N225" s="958"/>
      <c r="O225" s="959"/>
      <c r="Q225" s="162" t="str">
        <f t="shared" si="1078"/>
        <v/>
      </c>
      <c r="R225" s="162" t="str">
        <f t="shared" si="1079"/>
        <v/>
      </c>
      <c r="S225" s="162" t="str">
        <f t="shared" si="1080"/>
        <v/>
      </c>
      <c r="T225" s="162" t="str">
        <f t="shared" si="1081"/>
        <v/>
      </c>
      <c r="U225" s="162" t="str">
        <f t="shared" si="1082"/>
        <v/>
      </c>
      <c r="V225" s="162" t="str">
        <f t="shared" si="1083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4"/>
        <v/>
      </c>
      <c r="Y225" s="162"/>
      <c r="Z225" s="931" t="str">
        <f t="shared" si="1085"/>
        <v/>
      </c>
      <c r="AA225" s="82"/>
      <c r="AB225" s="75"/>
      <c r="AC225" s="75"/>
      <c r="AD225" s="166"/>
      <c r="AE225" s="75">
        <v>1.113</v>
      </c>
      <c r="AF225" s="82">
        <v>1</v>
      </c>
      <c r="AG225" s="82">
        <v>1</v>
      </c>
      <c r="AH225" s="82">
        <v>2</v>
      </c>
      <c r="AI225" s="82">
        <v>1.000000000003638</v>
      </c>
      <c r="AJ225" s="166">
        <v>1.11321</v>
      </c>
      <c r="AK225" s="82">
        <v>1.11311</v>
      </c>
      <c r="AL225" s="162">
        <v>0</v>
      </c>
      <c r="AM225" s="162">
        <v>0</v>
      </c>
      <c r="AN225" s="162">
        <v>0</v>
      </c>
      <c r="AO225" s="162">
        <v>-8.5390609582298538</v>
      </c>
      <c r="AP225" s="162">
        <v>0</v>
      </c>
      <c r="AQ225" s="162">
        <v>0</v>
      </c>
      <c r="AR225" s="710" t="str">
        <v>CPS-31654-00(.020)r1.asm</v>
      </c>
      <c r="AV225" s="82" t="str">
        <v>255,127,0</v>
      </c>
      <c r="AW225" s="966">
        <v>-45.319999999999993</v>
      </c>
      <c r="AX225" s="966">
        <v>-53.859060958229847</v>
      </c>
      <c r="AY225" s="966">
        <v>-8.5390609582298538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34"/>
      <c r="J226" s="938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60"/>
      <c r="M226" s="961"/>
      <c r="N226" s="958"/>
      <c r="O226" s="959"/>
      <c r="Q226" s="162" t="str">
        <f t="shared" si="1078"/>
        <v/>
      </c>
      <c r="R226" s="162" t="str">
        <f t="shared" si="1079"/>
        <v/>
      </c>
      <c r="S226" s="162" t="str">
        <f t="shared" si="1080"/>
        <v/>
      </c>
      <c r="T226" s="162" t="str">
        <f t="shared" si="1081"/>
        <v/>
      </c>
      <c r="U226" s="162" t="str">
        <f t="shared" si="1082"/>
        <v/>
      </c>
      <c r="V226" s="162" t="str">
        <f t="shared" si="1083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4"/>
        <v/>
      </c>
      <c r="Y226" s="162"/>
      <c r="Z226" s="931" t="str">
        <f t="shared" si="1085"/>
        <v/>
      </c>
      <c r="AA226" s="82"/>
      <c r="AB226" s="75"/>
      <c r="AC226" s="75"/>
      <c r="AD226" s="166"/>
      <c r="AE226" s="75">
        <v>1.1100000000000001</v>
      </c>
      <c r="AF226" s="82">
        <v>1</v>
      </c>
      <c r="AG226" s="82">
        <v>1</v>
      </c>
      <c r="AH226" s="82">
        <v>2</v>
      </c>
      <c r="AI226" s="82">
        <v>1.0000000000218279</v>
      </c>
      <c r="AJ226" s="166">
        <v>1.1102100000000001</v>
      </c>
      <c r="AK226" s="82">
        <v>1.1101100000000002</v>
      </c>
      <c r="AL226" s="162">
        <v>0</v>
      </c>
      <c r="AM226" s="162">
        <v>0</v>
      </c>
      <c r="AN226" s="162">
        <v>0</v>
      </c>
      <c r="AO226" s="162">
        <v>-12.819475319260988</v>
      </c>
      <c r="AP226" s="162">
        <v>0</v>
      </c>
      <c r="AQ226" s="162">
        <v>0</v>
      </c>
      <c r="AR226" s="710" t="str">
        <v>CPS-32425r1.par</v>
      </c>
      <c r="AV226" s="82" t="str">
        <v>255,127,0</v>
      </c>
      <c r="AW226" s="966">
        <v>-11.469999999999999</v>
      </c>
      <c r="AX226" s="966">
        <v>-24.289475319260987</v>
      </c>
      <c r="AY226" s="966">
        <v>-12.819475319260988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34"/>
      <c r="J227" s="938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60"/>
      <c r="M227" s="961"/>
      <c r="N227" s="958"/>
      <c r="O227" s="959"/>
      <c r="Q227" s="162" t="str">
        <f t="shared" si="1078"/>
        <v/>
      </c>
      <c r="R227" s="162" t="str">
        <f t="shared" si="1079"/>
        <v/>
      </c>
      <c r="S227" s="162" t="str">
        <f t="shared" si="1080"/>
        <v/>
      </c>
      <c r="T227" s="162" t="str">
        <f t="shared" si="1081"/>
        <v/>
      </c>
      <c r="U227" s="162" t="str">
        <f t="shared" si="1082"/>
        <v/>
      </c>
      <c r="V227" s="162" t="str">
        <f t="shared" si="1083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4"/>
        <v/>
      </c>
      <c r="Y227" s="162"/>
      <c r="Z227" s="931" t="str">
        <f t="shared" si="1085"/>
        <v/>
      </c>
      <c r="AA227" s="82"/>
      <c r="AB227" s="75"/>
      <c r="AC227" s="75"/>
      <c r="AD227" s="166"/>
      <c r="AE227" s="75">
        <v>1.107</v>
      </c>
      <c r="AF227" s="82">
        <v>1</v>
      </c>
      <c r="AG227" s="82">
        <v>1</v>
      </c>
      <c r="AH227" s="82">
        <v>2</v>
      </c>
      <c r="AI227" s="82">
        <v>1.000000000003638</v>
      </c>
      <c r="AJ227" s="166">
        <v>1.10721</v>
      </c>
      <c r="AK227" s="82">
        <v>1.10711</v>
      </c>
      <c r="AL227" s="162">
        <v>0</v>
      </c>
      <c r="AM227" s="162">
        <v>0</v>
      </c>
      <c r="AN227" s="162">
        <v>0</v>
      </c>
      <c r="AO227" s="162">
        <v>-18.497064912911554</v>
      </c>
      <c r="AP227" s="162">
        <v>0</v>
      </c>
      <c r="AQ227" s="162">
        <v>0</v>
      </c>
      <c r="AR227" s="710" t="str">
        <v>CPS-31654-00(.020)r1.asm</v>
      </c>
      <c r="AV227" s="82" t="str">
        <v>255,127,0</v>
      </c>
      <c r="AW227" s="966">
        <v>15</v>
      </c>
      <c r="AX227" s="966">
        <v>-3.4970649129115547</v>
      </c>
      <c r="AY227" s="966">
        <v>-18.497064912911554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34"/>
      <c r="J228" s="938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60"/>
      <c r="M228" s="961"/>
      <c r="N228" s="958"/>
      <c r="O228" s="959"/>
      <c r="Q228" s="162" t="str">
        <f t="shared" ref="Q228:Q259" si="1086">IFERROR(INDEX(B$164:B$305,MATCH($Y228,$J$164:$J$305,0)),"")</f>
        <v/>
      </c>
      <c r="R228" s="162" t="str">
        <f t="shared" ref="R228:R259" si="1087">IFERROR(INDEX(C$164:C$305,MATCH($Y228,$J$164:$J$305,0)),"")</f>
        <v/>
      </c>
      <c r="S228" s="162" t="str">
        <f t="shared" ref="S228:S259" si="1088">IFERROR(INDEX(D$164:D$305,MATCH($Y228,$J$164:$J$305,0)),"")</f>
        <v/>
      </c>
      <c r="T228" s="162" t="str">
        <f t="shared" ref="T228:T259" si="1089">IFERROR(IF($N228="Y",-1*INDEX(E$164:E$305,MATCH($Y228,$J$164:$J$305,0)),INDEX(E$164:E$305,MATCH($Y228,$J$164:$J$305,0))),"")</f>
        <v/>
      </c>
      <c r="U228" s="162" t="str">
        <f t="shared" ref="U228:U259" si="1090">IFERROR(IF($N228="Y",-1*INDEX(F$164:F$305,MATCH($Y228,$J$164:$J$305,0)),INDEX(F$164:F$305,MATCH($Y228,$J$164:$J$305,0))),"")</f>
        <v/>
      </c>
      <c r="V228" s="162" t="str">
        <f t="shared" ref="V228:V259" si="1091">IFERROR(IF($N228="Y",-1*INDEX(G$164:G$305,MATCH($Y228,$J$164:$J$305,0)),INDEX(G$164:G$305,MATCH($Y228,$J$164:$J$305,0))),"")</f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ref="X228:X259" si="1092">IFERROR(INDEX(I$164:I$305,MATCH($Y228,$J$164:$J$305,0)),"")</f>
        <v/>
      </c>
      <c r="Y228" s="162"/>
      <c r="Z228" s="931" t="str">
        <f t="shared" ref="Z228:Z259" si="1093">IFERROR(INDEX(K$164:K$305,MATCH($Y228,$J$164:$J$305,0)),"")</f>
        <v/>
      </c>
      <c r="AA228" s="82"/>
      <c r="AB228" s="75"/>
      <c r="AC228" s="75"/>
      <c r="AD228" s="166"/>
      <c r="AE228" s="75">
        <v>1.1040000000000001</v>
      </c>
      <c r="AF228" s="82">
        <v>1</v>
      </c>
      <c r="AG228" s="82">
        <v>1</v>
      </c>
      <c r="AH228" s="82">
        <v>2</v>
      </c>
      <c r="AI228" s="82">
        <v>1.0000000000218279</v>
      </c>
      <c r="AJ228" s="166">
        <v>1.1042100000000001</v>
      </c>
      <c r="AK228" s="82">
        <v>1.1041100000000001</v>
      </c>
      <c r="AL228" s="162">
        <v>0</v>
      </c>
      <c r="AM228" s="162">
        <v>0</v>
      </c>
      <c r="AN228" s="162">
        <v>0</v>
      </c>
      <c r="AO228" s="162">
        <v>-21.037121985193423</v>
      </c>
      <c r="AP228" s="162">
        <v>0</v>
      </c>
      <c r="AQ228" s="162">
        <v>0</v>
      </c>
      <c r="AR228" s="710" t="str">
        <v>1613 Ripper.par</v>
      </c>
      <c r="AV228" s="82" t="str">
        <v>255,127,0</v>
      </c>
      <c r="AW228" s="966">
        <v>15</v>
      </c>
      <c r="AX228" s="966">
        <v>-6.0371219851934219</v>
      </c>
      <c r="AY228" s="966">
        <v>-21.037121985193423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34"/>
      <c r="J229" s="938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60"/>
      <c r="M229" s="961"/>
      <c r="N229" s="958"/>
      <c r="O229" s="959"/>
      <c r="Q229" s="162" t="str">
        <f t="shared" si="1086"/>
        <v/>
      </c>
      <c r="R229" s="162" t="str">
        <f t="shared" si="1087"/>
        <v/>
      </c>
      <c r="S229" s="162" t="str">
        <f t="shared" si="1088"/>
        <v/>
      </c>
      <c r="T229" s="162" t="str">
        <f t="shared" si="1089"/>
        <v/>
      </c>
      <c r="U229" s="162" t="str">
        <f t="shared" si="1090"/>
        <v/>
      </c>
      <c r="V229" s="162" t="str">
        <f t="shared" si="1091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92"/>
        <v/>
      </c>
      <c r="Y229" s="162"/>
      <c r="Z229" s="931" t="str">
        <f t="shared" si="1093"/>
        <v/>
      </c>
      <c r="AA229" s="82"/>
      <c r="AB229" s="75"/>
      <c r="AC229" s="75"/>
      <c r="AD229" s="166"/>
      <c r="AE229" s="75">
        <v>1.101</v>
      </c>
      <c r="AF229" s="82">
        <v>1</v>
      </c>
      <c r="AG229" s="82">
        <v>1</v>
      </c>
      <c r="AH229" s="82">
        <v>2</v>
      </c>
      <c r="AI229" s="82">
        <v>1.000000000003638</v>
      </c>
      <c r="AJ229" s="166">
        <v>1.10121</v>
      </c>
      <c r="AK229" s="82">
        <v>1.10111</v>
      </c>
      <c r="AL229" s="162">
        <v>0</v>
      </c>
      <c r="AM229" s="162">
        <v>0</v>
      </c>
      <c r="AN229" s="162">
        <v>0</v>
      </c>
      <c r="AO229" s="162">
        <v>-29.15496962616082</v>
      </c>
      <c r="AP229" s="162">
        <v>0</v>
      </c>
      <c r="AQ229" s="162">
        <v>0</v>
      </c>
      <c r="AR229" s="710" t="str">
        <v>CPS-31650-00r1.asm</v>
      </c>
      <c r="AV229" s="82" t="str">
        <v>255,127,0</v>
      </c>
      <c r="AW229" s="966">
        <v>15</v>
      </c>
      <c r="AX229" s="966">
        <v>-14.154969626160819</v>
      </c>
      <c r="AY229" s="966">
        <v>-29.15496962616082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34"/>
      <c r="J230" s="938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60"/>
      <c r="M230" s="961"/>
      <c r="N230" s="958"/>
      <c r="O230" s="959"/>
      <c r="Q230" s="162" t="str">
        <f t="shared" si="1086"/>
        <v/>
      </c>
      <c r="R230" s="162" t="str">
        <f t="shared" si="1087"/>
        <v/>
      </c>
      <c r="S230" s="162" t="str">
        <f t="shared" si="1088"/>
        <v/>
      </c>
      <c r="T230" s="162" t="str">
        <f t="shared" si="1089"/>
        <v/>
      </c>
      <c r="U230" s="162" t="str">
        <f t="shared" si="1090"/>
        <v/>
      </c>
      <c r="V230" s="162" t="str">
        <f t="shared" si="1091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92"/>
        <v/>
      </c>
      <c r="Y230" s="162"/>
      <c r="Z230" s="931" t="str">
        <f t="shared" si="1093"/>
        <v/>
      </c>
      <c r="AA230" s="82"/>
      <c r="AB230" s="75"/>
      <c r="AC230" s="75"/>
      <c r="AD230" s="166"/>
      <c r="AE230" s="75">
        <v>6.1180000000000003</v>
      </c>
      <c r="AF230" s="82">
        <v>6</v>
      </c>
      <c r="AG230" s="82">
        <v>1</v>
      </c>
      <c r="AH230" s="82">
        <v>1</v>
      </c>
      <c r="AI230" s="82">
        <v>2.0000000000436557</v>
      </c>
      <c r="AJ230" s="166">
        <v>6.1181200000000002</v>
      </c>
      <c r="AK230" s="82" t="str">
        <v>Model Space</v>
      </c>
      <c r="AL230" s="162">
        <v>-5.84375</v>
      </c>
      <c r="AM230" s="162">
        <v>-3.764890060112914</v>
      </c>
      <c r="AN230" s="162">
        <v>-1.669950665881943</v>
      </c>
      <c r="AO230" s="162">
        <v>-82.885234373821604</v>
      </c>
      <c r="AP230" s="162">
        <v>29.815366732757649</v>
      </c>
      <c r="AQ230" s="162">
        <v>0</v>
      </c>
      <c r="AR230" s="710" t="str">
        <v>CPS-31650-00r1.asm</v>
      </c>
      <c r="AV230" s="82" t="str">
        <v>127,0,255</v>
      </c>
      <c r="AW230" s="966">
        <v>-90</v>
      </c>
      <c r="AX230" s="966">
        <v>-82.885234373821604</v>
      </c>
      <c r="AY230" s="966">
        <v>0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34"/>
      <c r="J231" s="938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60"/>
      <c r="M231" s="961"/>
      <c r="N231" s="958"/>
      <c r="O231" s="959"/>
      <c r="Q231" s="162" t="str">
        <f t="shared" si="1086"/>
        <v/>
      </c>
      <c r="R231" s="162" t="str">
        <f t="shared" si="1087"/>
        <v/>
      </c>
      <c r="S231" s="162" t="str">
        <f t="shared" si="1088"/>
        <v/>
      </c>
      <c r="T231" s="162" t="str">
        <f t="shared" si="1089"/>
        <v/>
      </c>
      <c r="U231" s="162" t="str">
        <f t="shared" si="1090"/>
        <v/>
      </c>
      <c r="V231" s="162" t="str">
        <f t="shared" si="1091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92"/>
        <v/>
      </c>
      <c r="Y231" s="162"/>
      <c r="Z231" s="931" t="str">
        <f t="shared" si="1093"/>
        <v/>
      </c>
      <c r="AA231" s="82"/>
      <c r="AB231" s="75"/>
      <c r="AC231" s="75"/>
      <c r="AD231" s="166"/>
      <c r="AE231" s="75">
        <v>6.1150000000000002</v>
      </c>
      <c r="AF231" s="82">
        <v>6</v>
      </c>
      <c r="AG231" s="82">
        <v>1</v>
      </c>
      <c r="AH231" s="82">
        <v>1</v>
      </c>
      <c r="AI231" s="82">
        <v>2.0000000000436557</v>
      </c>
      <c r="AJ231" s="166">
        <v>6.1151200000000001</v>
      </c>
      <c r="AK231" s="82" t="str">
        <v>Model Space</v>
      </c>
      <c r="AL231" s="162">
        <v>-5.84375</v>
      </c>
      <c r="AM231" s="162">
        <v>-3.5254923686512205</v>
      </c>
      <c r="AN231" s="162">
        <v>-0.9986690360951429</v>
      </c>
      <c r="AO231" s="162">
        <v>-66.2714608329415</v>
      </c>
      <c r="AP231" s="162">
        <v>20.591551472358034</v>
      </c>
      <c r="AQ231" s="162">
        <v>0</v>
      </c>
      <c r="AR231" s="710" t="str">
        <v>CPS-31654-00(.020)r1.asm</v>
      </c>
      <c r="AV231" s="82" t="str">
        <v>127,0,255</v>
      </c>
      <c r="AW231" s="966">
        <v>-67.47999999999999</v>
      </c>
      <c r="AX231" s="966">
        <v>-66.2714608329415</v>
      </c>
      <c r="AY231" s="966">
        <v>0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34"/>
      <c r="J232" s="938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60"/>
      <c r="M232" s="961"/>
      <c r="N232" s="958"/>
      <c r="O232" s="959"/>
      <c r="Q232" s="162" t="str">
        <f t="shared" si="1086"/>
        <v/>
      </c>
      <c r="R232" s="162" t="str">
        <f t="shared" si="1087"/>
        <v/>
      </c>
      <c r="S232" s="162" t="str">
        <f t="shared" si="1088"/>
        <v/>
      </c>
      <c r="T232" s="162" t="str">
        <f t="shared" si="1089"/>
        <v/>
      </c>
      <c r="U232" s="162" t="str">
        <f t="shared" si="1090"/>
        <v/>
      </c>
      <c r="V232" s="162" t="str">
        <f t="shared" si="1091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92"/>
        <v/>
      </c>
      <c r="Y232" s="162"/>
      <c r="Z232" s="931" t="str">
        <f t="shared" si="1093"/>
        <v/>
      </c>
      <c r="AA232" s="82"/>
      <c r="AB232" s="75"/>
      <c r="AC232" s="75"/>
      <c r="AD232" s="166"/>
      <c r="AE232" s="75">
        <v>6.1120000000000001</v>
      </c>
      <c r="AF232" s="82">
        <v>6</v>
      </c>
      <c r="AG232" s="82">
        <v>1</v>
      </c>
      <c r="AH232" s="82">
        <v>1</v>
      </c>
      <c r="AI232" s="82">
        <v>1.9999999999708962</v>
      </c>
      <c r="AJ232" s="166">
        <v>6.11212</v>
      </c>
      <c r="AK232" s="82" t="str">
        <v>Model Space</v>
      </c>
      <c r="AL232" s="162">
        <v>-5.84375</v>
      </c>
      <c r="AM232" s="162">
        <v>-3.034372922278215</v>
      </c>
      <c r="AN232" s="162">
        <v>-0.40716492345466965</v>
      </c>
      <c r="AO232" s="162">
        <v>-45.079118877652334</v>
      </c>
      <c r="AP232" s="162">
        <v>15.955967967082886</v>
      </c>
      <c r="AQ232" s="162">
        <v>0</v>
      </c>
      <c r="AR232" s="710" t="str">
        <v>CPS-31654-00(.020)r1.asm</v>
      </c>
      <c r="AV232" s="82" t="str">
        <v>127,0,255</v>
      </c>
      <c r="AW232" s="966">
        <v>-34.049999999999997</v>
      </c>
      <c r="AX232" s="966">
        <v>-45.079118877652334</v>
      </c>
      <c r="AY232" s="966">
        <v>0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34"/>
      <c r="J233" s="938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60"/>
      <c r="M233" s="961"/>
      <c r="N233" s="958"/>
      <c r="O233" s="959"/>
      <c r="Q233" s="162" t="str">
        <f t="shared" si="1086"/>
        <v/>
      </c>
      <c r="R233" s="162" t="str">
        <f t="shared" si="1087"/>
        <v/>
      </c>
      <c r="S233" s="162" t="str">
        <f t="shared" si="1088"/>
        <v/>
      </c>
      <c r="T233" s="162" t="str">
        <f t="shared" si="1089"/>
        <v/>
      </c>
      <c r="U233" s="162" t="str">
        <f t="shared" si="1090"/>
        <v/>
      </c>
      <c r="V233" s="162" t="str">
        <f t="shared" si="1091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92"/>
        <v/>
      </c>
      <c r="Y233" s="162"/>
      <c r="Z233" s="931" t="str">
        <f t="shared" si="1093"/>
        <v/>
      </c>
      <c r="AA233" s="82"/>
      <c r="AB233" s="75"/>
      <c r="AC233" s="75"/>
      <c r="AD233" s="166"/>
      <c r="AE233" s="75">
        <v>6.109</v>
      </c>
      <c r="AF233" s="82">
        <v>6</v>
      </c>
      <c r="AG233" s="82">
        <v>1</v>
      </c>
      <c r="AH233" s="82">
        <v>1</v>
      </c>
      <c r="AI233" s="82">
        <v>1.9999999999708962</v>
      </c>
      <c r="AJ233" s="166">
        <v>6.1091199999999999</v>
      </c>
      <c r="AK233" s="82" t="str">
        <v>Model Space</v>
      </c>
      <c r="AL233" s="162">
        <v>-5.84375</v>
      </c>
      <c r="AM233" s="162">
        <v>-2.2943562371825985</v>
      </c>
      <c r="AN233" s="162">
        <v>-0.17900111247667605</v>
      </c>
      <c r="AO233" s="162">
        <v>-13.927402596117105</v>
      </c>
      <c r="AP233" s="162">
        <v>15.442472381298492</v>
      </c>
      <c r="AQ233" s="162">
        <v>0</v>
      </c>
      <c r="AR233" s="710" t="str">
        <v>CPS-31654-00(.020)r1.asm</v>
      </c>
      <c r="AV233" s="82" t="str">
        <v>127,0,255</v>
      </c>
      <c r="AW233" s="966">
        <v>-0.29000000000000625</v>
      </c>
      <c r="AX233" s="966">
        <v>-13.927402596117105</v>
      </c>
      <c r="AY233" s="966">
        <v>0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34"/>
      <c r="J234" s="938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60"/>
      <c r="M234" s="961"/>
      <c r="N234" s="958"/>
      <c r="O234" s="959"/>
      <c r="Q234" s="162" t="str">
        <f t="shared" si="1086"/>
        <v/>
      </c>
      <c r="R234" s="162" t="str">
        <f t="shared" si="1087"/>
        <v/>
      </c>
      <c r="S234" s="162" t="str">
        <f t="shared" si="1088"/>
        <v/>
      </c>
      <c r="T234" s="162" t="str">
        <f t="shared" si="1089"/>
        <v/>
      </c>
      <c r="U234" s="162" t="str">
        <f t="shared" si="1090"/>
        <v/>
      </c>
      <c r="V234" s="162" t="str">
        <f t="shared" si="1091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92"/>
        <v/>
      </c>
      <c r="Y234" s="162"/>
      <c r="Z234" s="931" t="str">
        <f t="shared" si="1093"/>
        <v/>
      </c>
      <c r="AA234" s="82"/>
      <c r="AB234" s="75"/>
      <c r="AC234" s="75"/>
      <c r="AD234" s="166"/>
      <c r="AE234" s="75">
        <v>5.12</v>
      </c>
      <c r="AF234" s="82">
        <v>5</v>
      </c>
      <c r="AG234" s="82">
        <v>1</v>
      </c>
      <c r="AH234" s="82">
        <v>1</v>
      </c>
      <c r="AI234" s="82">
        <v>1.9999999999708962</v>
      </c>
      <c r="AJ234" s="166">
        <v>5.12012</v>
      </c>
      <c r="AK234" s="82" t="str">
        <v>Model Space</v>
      </c>
      <c r="AL234" s="162">
        <v>-5.3125</v>
      </c>
      <c r="AM234" s="162">
        <v>-3.7649184273801675</v>
      </c>
      <c r="AN234" s="162">
        <v>-2.1782450229000796</v>
      </c>
      <c r="AO234" s="162">
        <v>-82.88520716961051</v>
      </c>
      <c r="AP234" s="162">
        <v>29.815241834246212</v>
      </c>
      <c r="AQ234" s="162">
        <v>0</v>
      </c>
      <c r="AR234" s="710" t="str">
        <v>CPS-31650-00r1.asm</v>
      </c>
      <c r="AV234" s="82" t="str">
        <v>0,102,204</v>
      </c>
      <c r="AW234" s="966">
        <v>-90</v>
      </c>
      <c r="AX234" s="966">
        <v>-82.88520716961051</v>
      </c>
      <c r="AY234" s="966">
        <v>0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34"/>
      <c r="J235" s="938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60"/>
      <c r="M235" s="961"/>
      <c r="N235" s="958"/>
      <c r="O235" s="959"/>
      <c r="Q235" s="162" t="str">
        <f t="shared" si="1086"/>
        <v/>
      </c>
      <c r="R235" s="162" t="str">
        <f t="shared" si="1087"/>
        <v/>
      </c>
      <c r="S235" s="162" t="str">
        <f t="shared" si="1088"/>
        <v/>
      </c>
      <c r="T235" s="162" t="str">
        <f t="shared" si="1089"/>
        <v/>
      </c>
      <c r="U235" s="162" t="str">
        <f t="shared" si="1090"/>
        <v/>
      </c>
      <c r="V235" s="162" t="str">
        <f t="shared" si="1091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92"/>
        <v/>
      </c>
      <c r="Y235" s="162"/>
      <c r="Z235" s="931" t="str">
        <f t="shared" si="1093"/>
        <v/>
      </c>
      <c r="AA235" s="82"/>
      <c r="AB235" s="75"/>
      <c r="AC235" s="75"/>
      <c r="AD235" s="166"/>
      <c r="AE235" s="75">
        <v>5.117</v>
      </c>
      <c r="AF235" s="82">
        <v>5</v>
      </c>
      <c r="AG235" s="82">
        <v>1</v>
      </c>
      <c r="AH235" s="82">
        <v>1</v>
      </c>
      <c r="AI235" s="82">
        <v>1.9999999999708962</v>
      </c>
      <c r="AJ235" s="166">
        <v>5.1171199999999999</v>
      </c>
      <c r="AK235" s="82" t="str">
        <v>Model Space</v>
      </c>
      <c r="AL235" s="162">
        <v>-5.3125</v>
      </c>
      <c r="AM235" s="162">
        <v>-3.6339402588383254</v>
      </c>
      <c r="AN235" s="162">
        <v>-1.5204488315591391</v>
      </c>
      <c r="AO235" s="162">
        <v>-82.882200500805865</v>
      </c>
      <c r="AP235" s="162">
        <v>20.519458212808804</v>
      </c>
      <c r="AQ235" s="162">
        <v>0</v>
      </c>
      <c r="AR235" s="710" t="str">
        <v>CPS-31654-00(.020)r1.asm</v>
      </c>
      <c r="AV235" s="82" t="str">
        <v>0,102,204</v>
      </c>
      <c r="AW235" s="966">
        <v>-88.75</v>
      </c>
      <c r="AX235" s="966">
        <v>-82.882200500805865</v>
      </c>
      <c r="AY235" s="966">
        <v>0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34"/>
      <c r="J236" s="938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60"/>
      <c r="M236" s="961"/>
      <c r="N236" s="958"/>
      <c r="O236" s="959"/>
      <c r="Q236" s="162" t="str">
        <f t="shared" si="1086"/>
        <v/>
      </c>
      <c r="R236" s="162" t="str">
        <f t="shared" si="1087"/>
        <v/>
      </c>
      <c r="S236" s="162" t="str">
        <f t="shared" si="1088"/>
        <v/>
      </c>
      <c r="T236" s="162" t="str">
        <f t="shared" si="1089"/>
        <v/>
      </c>
      <c r="U236" s="162" t="str">
        <f t="shared" si="1090"/>
        <v/>
      </c>
      <c r="V236" s="162" t="str">
        <f t="shared" si="1091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92"/>
        <v/>
      </c>
      <c r="Y236" s="162"/>
      <c r="Z236" s="931" t="str">
        <f t="shared" si="1093"/>
        <v/>
      </c>
      <c r="AA236" s="82"/>
      <c r="AB236" s="75"/>
      <c r="AC236" s="75"/>
      <c r="AD236" s="166"/>
      <c r="AE236" s="75">
        <v>5.1139999999999999</v>
      </c>
      <c r="AF236" s="82">
        <v>5</v>
      </c>
      <c r="AG236" s="82">
        <v>1</v>
      </c>
      <c r="AH236" s="82">
        <v>1</v>
      </c>
      <c r="AI236" s="82">
        <v>1.9999999999708962</v>
      </c>
      <c r="AJ236" s="166">
        <v>5.1141199999999998</v>
      </c>
      <c r="AK236" s="82" t="str">
        <v>Model Space</v>
      </c>
      <c r="AL236" s="162">
        <v>-5.3125</v>
      </c>
      <c r="AM236" s="162">
        <v>-3.4017220332357283</v>
      </c>
      <c r="AN236" s="162">
        <v>-0.81039189084336716</v>
      </c>
      <c r="AO236" s="162">
        <v>-63.345215750387418</v>
      </c>
      <c r="AP236" s="162">
        <v>16.038781128165919</v>
      </c>
      <c r="AQ236" s="162">
        <v>0</v>
      </c>
      <c r="AR236" s="710" t="str">
        <v>CPS-32425r1.par</v>
      </c>
      <c r="AV236" s="82" t="str">
        <v>0,102,204</v>
      </c>
      <c r="AW236" s="966">
        <v>-56.419999999999987</v>
      </c>
      <c r="AX236" s="966">
        <v>-63.345215750387418</v>
      </c>
      <c r="AY236" s="966">
        <v>0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34"/>
      <c r="J237" s="938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60"/>
      <c r="M237" s="961"/>
      <c r="N237" s="958"/>
      <c r="O237" s="959"/>
      <c r="Q237" s="162" t="str">
        <f t="shared" si="1086"/>
        <v/>
      </c>
      <c r="R237" s="162" t="str">
        <f t="shared" si="1087"/>
        <v/>
      </c>
      <c r="S237" s="162" t="str">
        <f t="shared" si="1088"/>
        <v/>
      </c>
      <c r="T237" s="162" t="str">
        <f t="shared" si="1089"/>
        <v/>
      </c>
      <c r="U237" s="162" t="str">
        <f t="shared" si="1090"/>
        <v/>
      </c>
      <c r="V237" s="162" t="str">
        <f t="shared" si="1091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92"/>
        <v/>
      </c>
      <c r="Y237" s="162"/>
      <c r="Z237" s="931" t="str">
        <f t="shared" si="1093"/>
        <v/>
      </c>
      <c r="AA237" s="82"/>
      <c r="AB237" s="75"/>
      <c r="AC237" s="75"/>
      <c r="AD237" s="166"/>
      <c r="AE237" s="75">
        <v>5.1109999999999998</v>
      </c>
      <c r="AF237" s="82">
        <v>5</v>
      </c>
      <c r="AG237" s="82">
        <v>1</v>
      </c>
      <c r="AH237" s="82">
        <v>1</v>
      </c>
      <c r="AI237" s="82">
        <v>1.9999999999708962</v>
      </c>
      <c r="AJ237" s="166">
        <v>5.1111199999999997</v>
      </c>
      <c r="AK237" s="82" t="str">
        <v>Model Space</v>
      </c>
      <c r="AL237" s="162">
        <v>-5.3125</v>
      </c>
      <c r="AM237" s="162">
        <v>-2.8032563903699872</v>
      </c>
      <c r="AN237" s="162">
        <v>-0.32147563721503547</v>
      </c>
      <c r="AO237" s="162">
        <v>-34.205056903293389</v>
      </c>
      <c r="AP237" s="162">
        <v>15.850091478411285</v>
      </c>
      <c r="AQ237" s="162">
        <v>0</v>
      </c>
      <c r="AR237" s="710" t="str">
        <v>CPS-31654-00(.020)r1.asm</v>
      </c>
      <c r="AV237" s="82" t="str">
        <v>0,102,204</v>
      </c>
      <c r="AW237" s="966">
        <v>-22.760000000000005</v>
      </c>
      <c r="AX237" s="966">
        <v>-34.205056903293389</v>
      </c>
      <c r="AY237" s="966">
        <v>0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34"/>
      <c r="J238" s="938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60"/>
      <c r="M238" s="961"/>
      <c r="N238" s="958"/>
      <c r="O238" s="959"/>
      <c r="Q238" s="162" t="str">
        <f t="shared" si="1086"/>
        <v/>
      </c>
      <c r="R238" s="162" t="str">
        <f t="shared" si="1087"/>
        <v/>
      </c>
      <c r="S238" s="162" t="str">
        <f t="shared" si="1088"/>
        <v/>
      </c>
      <c r="T238" s="162" t="str">
        <f t="shared" si="1089"/>
        <v/>
      </c>
      <c r="U238" s="162" t="str">
        <f t="shared" si="1090"/>
        <v/>
      </c>
      <c r="V238" s="162" t="str">
        <f t="shared" si="1091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92"/>
        <v/>
      </c>
      <c r="Y238" s="162"/>
      <c r="Z238" s="931" t="str">
        <f t="shared" si="1093"/>
        <v/>
      </c>
      <c r="AA238" s="82"/>
      <c r="AB238" s="75"/>
      <c r="AC238" s="75"/>
      <c r="AD238" s="166"/>
      <c r="AE238" s="75">
        <v>5.1079999999999997</v>
      </c>
      <c r="AF238" s="82">
        <v>5</v>
      </c>
      <c r="AG238" s="82">
        <v>1</v>
      </c>
      <c r="AH238" s="82">
        <v>1</v>
      </c>
      <c r="AI238" s="82">
        <v>1.9999999999708962</v>
      </c>
      <c r="AJ238" s="166">
        <v>5.1081199999999995</v>
      </c>
      <c r="AK238" s="82" t="str">
        <v>Model Space</v>
      </c>
      <c r="AL238" s="162">
        <v>-5.3125</v>
      </c>
      <c r="AM238" s="162">
        <v>-2.0355661979887705</v>
      </c>
      <c r="AN238" s="162">
        <v>-0.23984655718294565</v>
      </c>
      <c r="AO238" s="162">
        <v>-3.0670934370783089</v>
      </c>
      <c r="AP238" s="162">
        <v>15.022023941711254</v>
      </c>
      <c r="AQ238" s="162">
        <v>0</v>
      </c>
      <c r="AR238" s="710" t="str">
        <v>CPS-32425r1.par</v>
      </c>
      <c r="AV238" s="82" t="str">
        <v>0,102,204</v>
      </c>
      <c r="AW238" s="966">
        <v>10.879999999999995</v>
      </c>
      <c r="AX238" s="966">
        <v>-3.0670934370783089</v>
      </c>
      <c r="AY238" s="966">
        <v>0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34"/>
      <c r="J239" s="938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60"/>
      <c r="M239" s="961"/>
      <c r="N239" s="958"/>
      <c r="O239" s="959"/>
      <c r="Q239" s="162" t="str">
        <f t="shared" si="1086"/>
        <v/>
      </c>
      <c r="R239" s="162" t="str">
        <f t="shared" si="1087"/>
        <v/>
      </c>
      <c r="S239" s="162" t="str">
        <f t="shared" si="1088"/>
        <v/>
      </c>
      <c r="T239" s="162" t="str">
        <f t="shared" si="1089"/>
        <v/>
      </c>
      <c r="U239" s="162" t="str">
        <f t="shared" si="1090"/>
        <v/>
      </c>
      <c r="V239" s="162" t="str">
        <f t="shared" si="1091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92"/>
        <v/>
      </c>
      <c r="Y239" s="162"/>
      <c r="Z239" s="931" t="str">
        <f t="shared" si="1093"/>
        <v/>
      </c>
      <c r="AA239" s="82"/>
      <c r="AB239" s="75"/>
      <c r="AC239" s="75"/>
      <c r="AD239" s="166"/>
      <c r="AE239" s="75">
        <v>5.1050000000000004</v>
      </c>
      <c r="AF239" s="82">
        <v>5</v>
      </c>
      <c r="AG239" s="82">
        <v>1</v>
      </c>
      <c r="AH239" s="82">
        <v>1</v>
      </c>
      <c r="AI239" s="82">
        <v>2.0000000000436557</v>
      </c>
      <c r="AJ239" s="166">
        <v>5.1051200000000003</v>
      </c>
      <c r="AK239" s="82" t="str">
        <v>Model Space</v>
      </c>
      <c r="AL239" s="162">
        <v>-5.3125</v>
      </c>
      <c r="AM239" s="162">
        <v>-1.2813897088914343</v>
      </c>
      <c r="AN239" s="162">
        <v>-0.43798283649165026</v>
      </c>
      <c r="AO239" s="162">
        <v>-4.8651983532143479</v>
      </c>
      <c r="AP239" s="162">
        <v>15.055521859842429</v>
      </c>
      <c r="AQ239" s="162">
        <v>0</v>
      </c>
      <c r="AR239" s="710" t="str">
        <v>CPS-31654-00(.020)r1.asm</v>
      </c>
      <c r="AV239" s="82" t="str">
        <v>0,102,204</v>
      </c>
      <c r="AW239" s="966">
        <v>15</v>
      </c>
      <c r="AX239" s="966">
        <v>-4.8651983532143479</v>
      </c>
      <c r="AY239" s="966">
        <v>0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34"/>
      <c r="J240" s="938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60"/>
      <c r="M240" s="961"/>
      <c r="N240" s="958"/>
      <c r="O240" s="959"/>
      <c r="Q240" s="162" t="str">
        <f t="shared" si="1086"/>
        <v/>
      </c>
      <c r="R240" s="162" t="str">
        <f t="shared" si="1087"/>
        <v/>
      </c>
      <c r="S240" s="162" t="str">
        <f t="shared" si="1088"/>
        <v/>
      </c>
      <c r="T240" s="162" t="str">
        <f t="shared" si="1089"/>
        <v/>
      </c>
      <c r="U240" s="162" t="str">
        <f t="shared" si="1090"/>
        <v/>
      </c>
      <c r="V240" s="162" t="str">
        <f t="shared" si="1091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92"/>
        <v/>
      </c>
      <c r="Y240" s="162"/>
      <c r="Z240" s="931" t="str">
        <f t="shared" si="1093"/>
        <v/>
      </c>
      <c r="AA240" s="82"/>
      <c r="AB240" s="75"/>
      <c r="AC240" s="75"/>
      <c r="AD240" s="166"/>
      <c r="AE240" s="75">
        <v>5.1020000000000003</v>
      </c>
      <c r="AF240" s="82">
        <v>5</v>
      </c>
      <c r="AG240" s="82">
        <v>1</v>
      </c>
      <c r="AH240" s="82">
        <v>1</v>
      </c>
      <c r="AI240" s="82">
        <v>2.0000000000436557</v>
      </c>
      <c r="AJ240" s="166">
        <v>5.1021200000000002</v>
      </c>
      <c r="AK240" s="82" t="str">
        <v>Model Space</v>
      </c>
      <c r="AL240" s="162">
        <v>-5.3125</v>
      </c>
      <c r="AM240" s="162">
        <v>-0.55262970106771236</v>
      </c>
      <c r="AN240" s="162">
        <v>-0.63458044284138349</v>
      </c>
      <c r="AO240" s="162">
        <v>-8.7315899677390298</v>
      </c>
      <c r="AP240" s="162">
        <v>19.231489507648522</v>
      </c>
      <c r="AQ240" s="162">
        <v>0</v>
      </c>
      <c r="AR240" s="710" t="str">
        <v>CPS-31654-00(.020)r1.asm</v>
      </c>
      <c r="AV240" s="82" t="str">
        <v>0,102,204</v>
      </c>
      <c r="AW240" s="966">
        <v>15</v>
      </c>
      <c r="AX240" s="966">
        <v>-8.7315899677390298</v>
      </c>
      <c r="AY240" s="966">
        <v>0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34"/>
      <c r="J241" s="938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60"/>
      <c r="M241" s="961"/>
      <c r="N241" s="958"/>
      <c r="O241" s="959"/>
      <c r="Q241" s="162" t="str">
        <f t="shared" si="1086"/>
        <v/>
      </c>
      <c r="R241" s="162" t="str">
        <f t="shared" si="1087"/>
        <v/>
      </c>
      <c r="S241" s="162" t="str">
        <f t="shared" si="1088"/>
        <v/>
      </c>
      <c r="T241" s="162" t="str">
        <f t="shared" si="1089"/>
        <v/>
      </c>
      <c r="U241" s="162" t="str">
        <f t="shared" si="1090"/>
        <v/>
      </c>
      <c r="V241" s="162" t="str">
        <f t="shared" si="1091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92"/>
        <v/>
      </c>
      <c r="Y241" s="162"/>
      <c r="Z241" s="931" t="str">
        <f t="shared" si="1093"/>
        <v/>
      </c>
      <c r="AA241" s="82"/>
      <c r="AB241" s="75"/>
      <c r="AC241" s="75"/>
      <c r="AD241" s="166"/>
      <c r="AE241" s="75">
        <v>4.1189999999999998</v>
      </c>
      <c r="AF241" s="82">
        <v>4</v>
      </c>
      <c r="AG241" s="82">
        <v>1</v>
      </c>
      <c r="AH241" s="82">
        <v>1</v>
      </c>
      <c r="AI241" s="82">
        <v>1.9999999999708962</v>
      </c>
      <c r="AJ241" s="166">
        <v>4.1191199999999997</v>
      </c>
      <c r="AK241" s="82" t="str">
        <v>Model Space</v>
      </c>
      <c r="AL241" s="162">
        <v>-4.78125</v>
      </c>
      <c r="AM241" s="162">
        <v>-3.764862707988168</v>
      </c>
      <c r="AN241" s="162">
        <v>-1.9843114081331656</v>
      </c>
      <c r="AO241" s="162">
        <v>-82.885119576812542</v>
      </c>
      <c r="AP241" s="162">
        <v>29.814839690466808</v>
      </c>
      <c r="AQ241" s="162">
        <v>0</v>
      </c>
      <c r="AR241" s="710" t="str">
        <v>CPS-31650-00r1.asm</v>
      </c>
      <c r="AV241" s="82" t="str">
        <v>0,204,204</v>
      </c>
      <c r="AW241" s="966">
        <v>-90</v>
      </c>
      <c r="AX241" s="966">
        <v>-82.885119576812542</v>
      </c>
      <c r="AY241" s="966">
        <v>0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34"/>
      <c r="J242" s="938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60"/>
      <c r="M242" s="961"/>
      <c r="N242" s="958"/>
      <c r="O242" s="959"/>
      <c r="Q242" s="162" t="str">
        <f t="shared" si="1086"/>
        <v/>
      </c>
      <c r="R242" s="162" t="str">
        <f t="shared" si="1087"/>
        <v/>
      </c>
      <c r="S242" s="162" t="str">
        <f t="shared" si="1088"/>
        <v/>
      </c>
      <c r="T242" s="162" t="str">
        <f t="shared" si="1089"/>
        <v/>
      </c>
      <c r="U242" s="162" t="str">
        <f t="shared" si="1090"/>
        <v/>
      </c>
      <c r="V242" s="162" t="str">
        <f t="shared" si="1091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92"/>
        <v/>
      </c>
      <c r="Y242" s="162"/>
      <c r="Z242" s="931" t="str">
        <f t="shared" si="1093"/>
        <v/>
      </c>
      <c r="AA242" s="82"/>
      <c r="AB242" s="75"/>
      <c r="AC242" s="75"/>
      <c r="AD242" s="166"/>
      <c r="AE242" s="75">
        <v>4.1159999999999997</v>
      </c>
      <c r="AF242" s="82">
        <v>4</v>
      </c>
      <c r="AG242" s="82">
        <v>1</v>
      </c>
      <c r="AH242" s="82">
        <v>1</v>
      </c>
      <c r="AI242" s="82">
        <v>1.9999999999708962</v>
      </c>
      <c r="AJ242" s="166">
        <v>4.1161199999999996</v>
      </c>
      <c r="AK242" s="82" t="str">
        <v>Model Space</v>
      </c>
      <c r="AL242" s="162">
        <v>-4.78125</v>
      </c>
      <c r="AM242" s="162">
        <v>-3.6040192688164141</v>
      </c>
      <c r="AN242" s="162">
        <v>-1.3244470063732925</v>
      </c>
      <c r="AO242" s="162">
        <v>-75.083224100282081</v>
      </c>
      <c r="AP242" s="162">
        <v>20.543710441538337</v>
      </c>
      <c r="AQ242" s="162">
        <v>0</v>
      </c>
      <c r="AR242" s="710" t="str">
        <v>CPS-31654-00(.020)r1.asm</v>
      </c>
      <c r="AV242" s="82" t="str">
        <v>0,204,204</v>
      </c>
      <c r="AW242" s="966">
        <v>-78.53</v>
      </c>
      <c r="AX242" s="966">
        <v>-75.083224100282081</v>
      </c>
      <c r="AY242" s="966">
        <v>0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34"/>
      <c r="J243" s="938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60"/>
      <c r="M243" s="961"/>
      <c r="N243" s="958"/>
      <c r="O243" s="959"/>
      <c r="Q243" s="162" t="str">
        <f t="shared" si="1086"/>
        <v/>
      </c>
      <c r="R243" s="162" t="str">
        <f t="shared" si="1087"/>
        <v/>
      </c>
      <c r="S243" s="162" t="str">
        <f t="shared" si="1088"/>
        <v/>
      </c>
      <c r="T243" s="162" t="str">
        <f t="shared" si="1089"/>
        <v/>
      </c>
      <c r="U243" s="162" t="str">
        <f t="shared" si="1090"/>
        <v/>
      </c>
      <c r="V243" s="162" t="str">
        <f t="shared" si="1091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92"/>
        <v/>
      </c>
      <c r="Y243" s="162"/>
      <c r="Z243" s="931" t="str">
        <f t="shared" si="1093"/>
        <v/>
      </c>
      <c r="AA243" s="82"/>
      <c r="AB243" s="75"/>
      <c r="AC243" s="75"/>
      <c r="AD243" s="166"/>
      <c r="AE243" s="75">
        <v>4.1130000000000004</v>
      </c>
      <c r="AF243" s="82">
        <v>4</v>
      </c>
      <c r="AG243" s="82">
        <v>1</v>
      </c>
      <c r="AH243" s="82">
        <v>1</v>
      </c>
      <c r="AI243" s="82">
        <v>2.0000000000436557</v>
      </c>
      <c r="AJ243" s="166">
        <v>4.1131200000000003</v>
      </c>
      <c r="AK243" s="82" t="str">
        <v>Model Space</v>
      </c>
      <c r="AL243" s="162">
        <v>-4.78125</v>
      </c>
      <c r="AM243" s="162">
        <v>-3.2370764665049228</v>
      </c>
      <c r="AN243" s="162">
        <v>-0.65322648408184614</v>
      </c>
      <c r="AO243" s="162">
        <v>-53.859060958229826</v>
      </c>
      <c r="AP243" s="162">
        <v>16.015570855073868</v>
      </c>
      <c r="AQ243" s="162">
        <v>0</v>
      </c>
      <c r="AR243" s="710" t="str">
        <v>CPS-31654-00(.020)r1.asm</v>
      </c>
      <c r="AV243" s="82" t="str">
        <v>0,204,204</v>
      </c>
      <c r="AW243" s="966">
        <v>-45.319999999999993</v>
      </c>
      <c r="AX243" s="966">
        <v>-53.859060958229826</v>
      </c>
      <c r="AY243" s="966">
        <v>0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34"/>
      <c r="J244" s="938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60"/>
      <c r="M244" s="961"/>
      <c r="N244" s="958"/>
      <c r="O244" s="959"/>
      <c r="Q244" s="162" t="str">
        <f t="shared" si="1086"/>
        <v/>
      </c>
      <c r="R244" s="162" t="str">
        <f t="shared" si="1087"/>
        <v/>
      </c>
      <c r="S244" s="162" t="str">
        <f t="shared" si="1088"/>
        <v/>
      </c>
      <c r="T244" s="162" t="str">
        <f t="shared" si="1089"/>
        <v/>
      </c>
      <c r="U244" s="162" t="str">
        <f t="shared" si="1090"/>
        <v/>
      </c>
      <c r="V244" s="162" t="str">
        <f t="shared" si="1091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92"/>
        <v/>
      </c>
      <c r="Y244" s="162"/>
      <c r="Z244" s="931" t="str">
        <f t="shared" si="1093"/>
        <v/>
      </c>
      <c r="AA244" s="82"/>
      <c r="AB244" s="75"/>
      <c r="AC244" s="75"/>
      <c r="AD244" s="166"/>
      <c r="AE244" s="75">
        <v>4.1100000000000003</v>
      </c>
      <c r="AF244" s="82">
        <v>4</v>
      </c>
      <c r="AG244" s="82">
        <v>1</v>
      </c>
      <c r="AH244" s="82">
        <v>1</v>
      </c>
      <c r="AI244" s="82">
        <v>2.0000000000436557</v>
      </c>
      <c r="AJ244" s="166">
        <v>4.1101200000000002</v>
      </c>
      <c r="AK244" s="82" t="str">
        <v>Model Space</v>
      </c>
      <c r="AL244" s="162">
        <v>-4.78125</v>
      </c>
      <c r="AM244" s="162">
        <v>-2.5526383919388191</v>
      </c>
      <c r="AN244" s="162">
        <v>-0.28606016979676174</v>
      </c>
      <c r="AO244" s="162">
        <v>-24.289475319261033</v>
      </c>
      <c r="AP244" s="162">
        <v>15.677480903393381</v>
      </c>
      <c r="AQ244" s="162">
        <v>0</v>
      </c>
      <c r="AR244" s="710" t="str">
        <v>CPS-31654-00(.020)r1.asm</v>
      </c>
      <c r="AV244" s="82" t="str">
        <v>0,204,204</v>
      </c>
      <c r="AW244" s="966">
        <v>-11.469999999999999</v>
      </c>
      <c r="AX244" s="966">
        <v>-24.289475319261033</v>
      </c>
      <c r="AY244" s="966">
        <v>0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34"/>
      <c r="J245" s="938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60"/>
      <c r="M245" s="961"/>
      <c r="N245" s="958"/>
      <c r="O245" s="959"/>
      <c r="Q245" s="162" t="str">
        <f t="shared" si="1086"/>
        <v/>
      </c>
      <c r="R245" s="162" t="str">
        <f t="shared" si="1087"/>
        <v/>
      </c>
      <c r="S245" s="162" t="str">
        <f t="shared" si="1088"/>
        <v/>
      </c>
      <c r="T245" s="162" t="str">
        <f t="shared" si="1089"/>
        <v/>
      </c>
      <c r="U245" s="162" t="str">
        <f t="shared" si="1090"/>
        <v/>
      </c>
      <c r="V245" s="162" t="str">
        <f t="shared" si="1091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92"/>
        <v/>
      </c>
      <c r="Y245" s="162"/>
      <c r="Z245" s="931" t="str">
        <f t="shared" si="1093"/>
        <v/>
      </c>
      <c r="AA245" s="82"/>
      <c r="AB245" s="75"/>
      <c r="AC245" s="75"/>
      <c r="AD245" s="166"/>
      <c r="AE245" s="75">
        <v>3.1179999999999999</v>
      </c>
      <c r="AF245" s="82">
        <v>3</v>
      </c>
      <c r="AG245" s="82">
        <v>1</v>
      </c>
      <c r="AH245" s="82">
        <v>1</v>
      </c>
      <c r="AI245" s="82">
        <v>1.9999999999708962</v>
      </c>
      <c r="AJ245" s="166">
        <v>3.1181199999999998</v>
      </c>
      <c r="AK245" s="82" t="str">
        <v>Model Space</v>
      </c>
      <c r="AL245" s="162">
        <v>-4.25</v>
      </c>
      <c r="AM245" s="162">
        <v>-3.7648373792018002</v>
      </c>
      <c r="AN245" s="162">
        <v>-1.7880056536189246</v>
      </c>
      <c r="AO245" s="162">
        <v>-82.885057651821043</v>
      </c>
      <c r="AP245" s="162">
        <v>29.814555396089474</v>
      </c>
      <c r="AQ245" s="162">
        <v>0</v>
      </c>
      <c r="AR245" s="710" t="str">
        <v>CPS-31650-00r1.asm</v>
      </c>
      <c r="AV245" s="82" t="str">
        <v>0,204,0</v>
      </c>
      <c r="AW245" s="966">
        <v>-90</v>
      </c>
      <c r="AX245" s="966">
        <v>-82.885057651821043</v>
      </c>
      <c r="AY245" s="966">
        <v>0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34"/>
      <c r="J246" s="938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60"/>
      <c r="M246" s="961"/>
      <c r="N246" s="958"/>
      <c r="O246" s="959"/>
      <c r="Q246" s="162" t="str">
        <f t="shared" si="1086"/>
        <v/>
      </c>
      <c r="R246" s="162" t="str">
        <f t="shared" si="1087"/>
        <v/>
      </c>
      <c r="S246" s="162" t="str">
        <f t="shared" si="1088"/>
        <v/>
      </c>
      <c r="T246" s="162" t="str">
        <f t="shared" si="1089"/>
        <v/>
      </c>
      <c r="U246" s="162" t="str">
        <f t="shared" si="1090"/>
        <v/>
      </c>
      <c r="V246" s="162" t="str">
        <f t="shared" si="1091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92"/>
        <v/>
      </c>
      <c r="Y246" s="162"/>
      <c r="Z246" s="931" t="str">
        <f t="shared" si="1093"/>
        <v/>
      </c>
      <c r="AA246" s="82"/>
      <c r="AB246" s="75"/>
      <c r="AC246" s="75"/>
      <c r="AD246" s="166"/>
      <c r="AE246" s="75">
        <v>3.1150000000000002</v>
      </c>
      <c r="AF246" s="82">
        <v>3</v>
      </c>
      <c r="AG246" s="82">
        <v>1</v>
      </c>
      <c r="AH246" s="82">
        <v>1</v>
      </c>
      <c r="AI246" s="82">
        <v>2.000000000007276</v>
      </c>
      <c r="AJ246" s="166">
        <v>3.1151200000000001</v>
      </c>
      <c r="AK246" s="82" t="str">
        <v>Model Space</v>
      </c>
      <c r="AL246" s="162">
        <v>-4.25</v>
      </c>
      <c r="AM246" s="162">
        <v>-3.5254392595639894</v>
      </c>
      <c r="AN246" s="162">
        <v>-1.1167239900610499</v>
      </c>
      <c r="AO246" s="162">
        <v>-66.270532964921799</v>
      </c>
      <c r="AP246" s="162">
        <v>20.590758432190892</v>
      </c>
      <c r="AQ246" s="162">
        <v>0</v>
      </c>
      <c r="AR246" s="710" t="str">
        <v>CPS-31654-00(.020)r1.asm</v>
      </c>
      <c r="AV246" s="82" t="str">
        <v>0,204,0</v>
      </c>
      <c r="AW246" s="966">
        <v>-67.47999999999999</v>
      </c>
      <c r="AX246" s="966">
        <v>-66.270532964921799</v>
      </c>
      <c r="AY246" s="966">
        <v>0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34"/>
      <c r="J247" s="938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60"/>
      <c r="M247" s="961"/>
      <c r="N247" s="958"/>
      <c r="O247" s="959"/>
      <c r="Q247" s="162" t="str">
        <f t="shared" si="1086"/>
        <v/>
      </c>
      <c r="R247" s="162" t="str">
        <f t="shared" si="1087"/>
        <v/>
      </c>
      <c r="S247" s="162" t="str">
        <f t="shared" si="1088"/>
        <v/>
      </c>
      <c r="T247" s="162" t="str">
        <f t="shared" si="1089"/>
        <v/>
      </c>
      <c r="U247" s="162" t="str">
        <f t="shared" si="1090"/>
        <v/>
      </c>
      <c r="V247" s="162" t="str">
        <f t="shared" si="1091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92"/>
        <v/>
      </c>
      <c r="Y247" s="162"/>
      <c r="Z247" s="931" t="str">
        <f t="shared" si="1093"/>
        <v/>
      </c>
      <c r="AA247" s="82"/>
      <c r="AB247" s="75"/>
      <c r="AC247" s="75"/>
      <c r="AD247" s="166"/>
      <c r="AE247" s="75">
        <v>3.1120000000000001</v>
      </c>
      <c r="AF247" s="82">
        <v>3</v>
      </c>
      <c r="AG247" s="82">
        <v>1</v>
      </c>
      <c r="AH247" s="82">
        <v>1</v>
      </c>
      <c r="AI247" s="82">
        <v>2.000000000007276</v>
      </c>
      <c r="AJ247" s="166">
        <v>3.11212</v>
      </c>
      <c r="AK247" s="82" t="str">
        <v>Model Space</v>
      </c>
      <c r="AL247" s="162">
        <v>-4.25</v>
      </c>
      <c r="AM247" s="162">
        <v>-3.0343191530778957</v>
      </c>
      <c r="AN247" s="162">
        <v>-0.52521978880341225</v>
      </c>
      <c r="AO247" s="162">
        <v>-45.076664077700258</v>
      </c>
      <c r="AP247" s="162">
        <v>15.955264211158095</v>
      </c>
      <c r="AQ247" s="162">
        <v>0</v>
      </c>
      <c r="AR247" s="710" t="str">
        <v>CPS-32425r1.par</v>
      </c>
      <c r="AV247" s="82" t="str">
        <v>0,204,0</v>
      </c>
      <c r="AW247" s="966">
        <v>-34.049999999999997</v>
      </c>
      <c r="AX247" s="966">
        <v>-45.076664077700258</v>
      </c>
      <c r="AY247" s="966">
        <v>0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34"/>
      <c r="J248" s="938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60"/>
      <c r="M248" s="961"/>
      <c r="N248" s="958"/>
      <c r="O248" s="959"/>
      <c r="Q248" s="162" t="str">
        <f t="shared" si="1086"/>
        <v/>
      </c>
      <c r="R248" s="162" t="str">
        <f t="shared" si="1087"/>
        <v/>
      </c>
      <c r="S248" s="162" t="str">
        <f t="shared" si="1088"/>
        <v/>
      </c>
      <c r="T248" s="162" t="str">
        <f t="shared" si="1089"/>
        <v/>
      </c>
      <c r="U248" s="162" t="str">
        <f t="shared" si="1090"/>
        <v/>
      </c>
      <c r="V248" s="162" t="str">
        <f t="shared" si="1091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92"/>
        <v/>
      </c>
      <c r="Y248" s="162"/>
      <c r="Z248" s="931" t="str">
        <f t="shared" si="1093"/>
        <v/>
      </c>
      <c r="AA248" s="82"/>
      <c r="AB248" s="75"/>
      <c r="AC248" s="75"/>
      <c r="AD248" s="166"/>
      <c r="AE248" s="75">
        <v>3.109</v>
      </c>
      <c r="AF248" s="82">
        <v>3</v>
      </c>
      <c r="AG248" s="82">
        <v>1</v>
      </c>
      <c r="AH248" s="82">
        <v>1</v>
      </c>
      <c r="AI248" s="82">
        <v>1.9999999999708962</v>
      </c>
      <c r="AJ248" s="166">
        <v>3.1091199999999999</v>
      </c>
      <c r="AK248" s="82" t="str">
        <v>Model Space</v>
      </c>
      <c r="AL248" s="162">
        <v>-4.25</v>
      </c>
      <c r="AM248" s="162">
        <v>-2.2943016334063637</v>
      </c>
      <c r="AN248" s="162">
        <v>-0.29705577021591817</v>
      </c>
      <c r="AO248" s="162">
        <v>-13.922859963601514</v>
      </c>
      <c r="AP248" s="162">
        <v>15.442161250713331</v>
      </c>
      <c r="AQ248" s="162">
        <v>0</v>
      </c>
      <c r="AR248" s="710" t="str">
        <v>CPS-31654-00(.020)r1.asm</v>
      </c>
      <c r="AV248" s="82" t="str">
        <v>0,204,0</v>
      </c>
      <c r="AW248" s="966">
        <v>-0.29000000000000625</v>
      </c>
      <c r="AX248" s="966">
        <v>-13.922859963601514</v>
      </c>
      <c r="AY248" s="966">
        <v>0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34"/>
      <c r="J249" s="938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60"/>
      <c r="M249" s="961"/>
      <c r="N249" s="958"/>
      <c r="O249" s="959"/>
      <c r="Q249" s="162" t="str">
        <f t="shared" si="1086"/>
        <v/>
      </c>
      <c r="R249" s="162" t="str">
        <f t="shared" si="1087"/>
        <v/>
      </c>
      <c r="S249" s="162" t="str">
        <f t="shared" si="1088"/>
        <v/>
      </c>
      <c r="T249" s="162" t="str">
        <f t="shared" si="1089"/>
        <v/>
      </c>
      <c r="U249" s="162" t="str">
        <f t="shared" si="1090"/>
        <v/>
      </c>
      <c r="V249" s="162" t="str">
        <f t="shared" si="1091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92"/>
        <v/>
      </c>
      <c r="Y249" s="162"/>
      <c r="Z249" s="931" t="str">
        <f t="shared" si="1093"/>
        <v/>
      </c>
      <c r="AA249" s="82"/>
      <c r="AB249" s="75"/>
      <c r="AC249" s="75"/>
      <c r="AD249" s="166"/>
      <c r="AE249" s="75">
        <v>3.1059999999999999</v>
      </c>
      <c r="AF249" s="82">
        <v>3</v>
      </c>
      <c r="AG249" s="82">
        <v>1</v>
      </c>
      <c r="AH249" s="82">
        <v>1</v>
      </c>
      <c r="AI249" s="82">
        <v>1.9999999999708962</v>
      </c>
      <c r="AJ249" s="166">
        <v>3.1061199999999998</v>
      </c>
      <c r="AK249" s="82" t="str">
        <v>Model Space</v>
      </c>
      <c r="AL249" s="162">
        <v>-4.25</v>
      </c>
      <c r="AM249" s="162">
        <v>-1.5322521022786939</v>
      </c>
      <c r="AN249" s="162">
        <v>-0.4504942157207234</v>
      </c>
      <c r="AO249" s="162">
        <v>-4.0655829489435709</v>
      </c>
      <c r="AP249" s="162">
        <v>15.038734403614487</v>
      </c>
      <c r="AQ249" s="162">
        <v>0</v>
      </c>
      <c r="AR249" s="710" t="str">
        <v>CPS-32425r1.par</v>
      </c>
      <c r="AV249" s="82" t="str">
        <v>0,204,0</v>
      </c>
      <c r="AW249" s="966">
        <v>15</v>
      </c>
      <c r="AX249" s="966">
        <v>-4.0655829489435709</v>
      </c>
      <c r="AY249" s="966">
        <v>0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34"/>
      <c r="J250" s="938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60"/>
      <c r="M250" s="961"/>
      <c r="N250" s="958"/>
      <c r="O250" s="959"/>
      <c r="Q250" s="162" t="str">
        <f t="shared" si="1086"/>
        <v/>
      </c>
      <c r="R250" s="162" t="str">
        <f t="shared" si="1087"/>
        <v/>
      </c>
      <c r="S250" s="162" t="str">
        <f t="shared" si="1088"/>
        <v/>
      </c>
      <c r="T250" s="162" t="str">
        <f t="shared" si="1089"/>
        <v/>
      </c>
      <c r="U250" s="162" t="str">
        <f t="shared" si="1090"/>
        <v/>
      </c>
      <c r="V250" s="162" t="str">
        <f t="shared" si="1091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92"/>
        <v/>
      </c>
      <c r="Y250" s="162"/>
      <c r="Z250" s="931" t="str">
        <f t="shared" si="1093"/>
        <v/>
      </c>
      <c r="AA250" s="82"/>
      <c r="AB250" s="75"/>
      <c r="AC250" s="75"/>
      <c r="AD250" s="166"/>
      <c r="AE250" s="75">
        <v>3.1030000000000002</v>
      </c>
      <c r="AF250" s="82">
        <v>3</v>
      </c>
      <c r="AG250" s="82">
        <v>1</v>
      </c>
      <c r="AH250" s="82">
        <v>1</v>
      </c>
      <c r="AI250" s="82">
        <v>2.000000000007276</v>
      </c>
      <c r="AJ250" s="166">
        <v>3.1031200000000001</v>
      </c>
      <c r="AK250" s="82" t="str">
        <v>Model Space</v>
      </c>
      <c r="AL250" s="162">
        <v>-4.25</v>
      </c>
      <c r="AM250" s="162">
        <v>-0.7914123876747724</v>
      </c>
      <c r="AN250" s="162">
        <v>-0.64970385808880404</v>
      </c>
      <c r="AO250" s="162">
        <v>-6.8770281676051894</v>
      </c>
      <c r="AP250" s="162">
        <v>17.126984270285</v>
      </c>
      <c r="AQ250" s="162">
        <v>0</v>
      </c>
      <c r="AR250" s="710" t="str">
        <v>CPS-31654-00(.020)r1.asm</v>
      </c>
      <c r="AV250" s="82" t="str">
        <v>0,204,0</v>
      </c>
      <c r="AW250" s="966">
        <v>15</v>
      </c>
      <c r="AX250" s="966">
        <v>-6.8770281676051894</v>
      </c>
      <c r="AY250" s="966">
        <v>0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34"/>
      <c r="J251" s="938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60"/>
      <c r="M251" s="961"/>
      <c r="N251" s="958"/>
      <c r="O251" s="959"/>
      <c r="Q251" s="162" t="str">
        <f t="shared" si="1086"/>
        <v/>
      </c>
      <c r="R251" s="162" t="str">
        <f t="shared" si="1087"/>
        <v/>
      </c>
      <c r="S251" s="162" t="str">
        <f t="shared" si="1088"/>
        <v/>
      </c>
      <c r="T251" s="162" t="str">
        <f t="shared" si="1089"/>
        <v/>
      </c>
      <c r="U251" s="162" t="str">
        <f t="shared" si="1090"/>
        <v/>
      </c>
      <c r="V251" s="162" t="str">
        <f t="shared" si="1091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92"/>
        <v/>
      </c>
      <c r="Y251" s="162"/>
      <c r="Z251" s="931" t="str">
        <f t="shared" si="1093"/>
        <v/>
      </c>
      <c r="AA251" s="82"/>
      <c r="AB251" s="75"/>
      <c r="AC251" s="75"/>
      <c r="AD251" s="166"/>
      <c r="AE251" s="75">
        <v>2.12</v>
      </c>
      <c r="AF251" s="82">
        <v>2</v>
      </c>
      <c r="AG251" s="82">
        <v>1</v>
      </c>
      <c r="AH251" s="82">
        <v>1</v>
      </c>
      <c r="AI251" s="82">
        <v>2.000000000007276</v>
      </c>
      <c r="AJ251" s="166">
        <v>2.12012</v>
      </c>
      <c r="AK251" s="82" t="str">
        <v>Model Space</v>
      </c>
      <c r="AL251" s="162">
        <v>-3.71875</v>
      </c>
      <c r="AM251" s="162">
        <v>-3.764918427380167</v>
      </c>
      <c r="AN251" s="162">
        <v>-2.3032450229091745</v>
      </c>
      <c r="AO251" s="162">
        <v>-82.88520716961051</v>
      </c>
      <c r="AP251" s="162">
        <v>29.815241834246237</v>
      </c>
      <c r="AQ251" s="162">
        <v>0</v>
      </c>
      <c r="AR251" s="710" t="str">
        <v>CPS-31650-00r1.asm</v>
      </c>
      <c r="AV251" s="82" t="str">
        <v>204,204,0</v>
      </c>
      <c r="AW251" s="966">
        <v>-90</v>
      </c>
      <c r="AX251" s="966">
        <v>-82.88520716961051</v>
      </c>
      <c r="AY251" s="966">
        <v>0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34"/>
      <c r="J252" s="938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60"/>
      <c r="M252" s="961"/>
      <c r="N252" s="958"/>
      <c r="O252" s="959"/>
      <c r="Q252" s="162" t="str">
        <f t="shared" si="1086"/>
        <v/>
      </c>
      <c r="R252" s="162" t="str">
        <f t="shared" si="1087"/>
        <v/>
      </c>
      <c r="S252" s="162" t="str">
        <f t="shared" si="1088"/>
        <v/>
      </c>
      <c r="T252" s="162" t="str">
        <f t="shared" si="1089"/>
        <v/>
      </c>
      <c r="U252" s="162" t="str">
        <f t="shared" si="1090"/>
        <v/>
      </c>
      <c r="V252" s="162" t="str">
        <f t="shared" si="1091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92"/>
        <v/>
      </c>
      <c r="Y252" s="162"/>
      <c r="Z252" s="931" t="str">
        <f t="shared" si="1093"/>
        <v/>
      </c>
      <c r="AA252" s="82"/>
      <c r="AB252" s="75"/>
      <c r="AC252" s="75"/>
      <c r="AD252" s="166"/>
      <c r="AE252" s="75">
        <v>2.117</v>
      </c>
      <c r="AF252" s="82">
        <v>2</v>
      </c>
      <c r="AG252" s="82">
        <v>1</v>
      </c>
      <c r="AH252" s="82">
        <v>1</v>
      </c>
      <c r="AI252" s="82">
        <v>1.9999999999708962</v>
      </c>
      <c r="AJ252" s="166">
        <v>2.1171199999999999</v>
      </c>
      <c r="AK252" s="82" t="str">
        <v>Model Space</v>
      </c>
      <c r="AL252" s="162">
        <v>-3.71875</v>
      </c>
      <c r="AM252" s="162">
        <v>-3.6339402588383267</v>
      </c>
      <c r="AN252" s="162">
        <v>-1.6454488315591396</v>
      </c>
      <c r="AO252" s="162">
        <v>-82.88220050080588</v>
      </c>
      <c r="AP252" s="162">
        <v>20.519458212808715</v>
      </c>
      <c r="AQ252" s="162">
        <v>0</v>
      </c>
      <c r="AR252" s="710" t="str">
        <v>CPS-31654-00(.020)r1.asm</v>
      </c>
      <c r="AV252" s="82" t="str">
        <v>204,204,0</v>
      </c>
      <c r="AW252" s="966">
        <v>-88.75</v>
      </c>
      <c r="AX252" s="966">
        <v>-82.88220050080588</v>
      </c>
      <c r="AY252" s="966">
        <v>0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34"/>
      <c r="J253" s="938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60"/>
      <c r="M253" s="961"/>
      <c r="N253" s="958"/>
      <c r="O253" s="959"/>
      <c r="Q253" s="162" t="str">
        <f t="shared" si="1086"/>
        <v/>
      </c>
      <c r="R253" s="162" t="str">
        <f t="shared" si="1087"/>
        <v/>
      </c>
      <c r="S253" s="162" t="str">
        <f t="shared" si="1088"/>
        <v/>
      </c>
      <c r="T253" s="162" t="str">
        <f t="shared" si="1089"/>
        <v/>
      </c>
      <c r="U253" s="162" t="str">
        <f t="shared" si="1090"/>
        <v/>
      </c>
      <c r="V253" s="162" t="str">
        <f t="shared" si="1091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92"/>
        <v/>
      </c>
      <c r="Y253" s="162"/>
      <c r="Z253" s="931" t="str">
        <f t="shared" si="1093"/>
        <v/>
      </c>
      <c r="AA253" s="82"/>
      <c r="AB253" s="75"/>
      <c r="AC253" s="75"/>
      <c r="AD253" s="166"/>
      <c r="AE253" s="75">
        <v>2.1139999999999999</v>
      </c>
      <c r="AF253" s="82">
        <v>2</v>
      </c>
      <c r="AG253" s="82">
        <v>1</v>
      </c>
      <c r="AH253" s="82">
        <v>1</v>
      </c>
      <c r="AI253" s="82">
        <v>1.9999999999708962</v>
      </c>
      <c r="AJ253" s="166">
        <v>2.1141199999999998</v>
      </c>
      <c r="AK253" s="82" t="str">
        <v>Model Space</v>
      </c>
      <c r="AL253" s="162">
        <v>-3.71875</v>
      </c>
      <c r="AM253" s="162">
        <v>-3.4017220332357279</v>
      </c>
      <c r="AN253" s="162">
        <v>-0.93539189084336738</v>
      </c>
      <c r="AO253" s="162">
        <v>-63.345215750387375</v>
      </c>
      <c r="AP253" s="162">
        <v>16.038781128165866</v>
      </c>
      <c r="AQ253" s="162">
        <v>0</v>
      </c>
      <c r="AR253" s="710" t="str">
        <v>CPS-31654-00(.020)r1.asm</v>
      </c>
      <c r="AV253" s="82" t="str">
        <v>204,204,0</v>
      </c>
      <c r="AW253" s="966">
        <v>-56.419999999999987</v>
      </c>
      <c r="AX253" s="966">
        <v>-63.345215750387375</v>
      </c>
      <c r="AY253" s="966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34"/>
      <c r="J254" s="938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60"/>
      <c r="M254" s="961"/>
      <c r="N254" s="958"/>
      <c r="O254" s="959"/>
      <c r="Q254" s="162" t="str">
        <f t="shared" si="1086"/>
        <v/>
      </c>
      <c r="R254" s="162" t="str">
        <f t="shared" si="1087"/>
        <v/>
      </c>
      <c r="S254" s="162" t="str">
        <f t="shared" si="1088"/>
        <v/>
      </c>
      <c r="T254" s="162" t="str">
        <f t="shared" si="1089"/>
        <v/>
      </c>
      <c r="U254" s="162" t="str">
        <f t="shared" si="1090"/>
        <v/>
      </c>
      <c r="V254" s="162" t="str">
        <f t="shared" si="109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92"/>
        <v/>
      </c>
      <c r="Y254" s="162"/>
      <c r="Z254" s="931" t="str">
        <f t="shared" si="1093"/>
        <v/>
      </c>
      <c r="AA254" s="82"/>
      <c r="AB254" s="75"/>
      <c r="AC254" s="75"/>
      <c r="AD254" s="166"/>
      <c r="AE254" s="75">
        <v>2.1110000000000002</v>
      </c>
      <c r="AF254" s="82">
        <v>2</v>
      </c>
      <c r="AG254" s="82">
        <v>1</v>
      </c>
      <c r="AH254" s="82">
        <v>1</v>
      </c>
      <c r="AI254" s="82">
        <v>2.000000000007276</v>
      </c>
      <c r="AJ254" s="166">
        <v>2.1111200000000001</v>
      </c>
      <c r="AK254" s="82" t="str">
        <v>Model Space</v>
      </c>
      <c r="AL254" s="162">
        <v>-3.71875</v>
      </c>
      <c r="AM254" s="162">
        <v>-2.8032563903699868</v>
      </c>
      <c r="AN254" s="162">
        <v>-0.44647563722413042</v>
      </c>
      <c r="AO254" s="162">
        <v>-34.205056903293304</v>
      </c>
      <c r="AP254" s="162">
        <v>15.850091478411221</v>
      </c>
      <c r="AQ254" s="162">
        <v>0</v>
      </c>
      <c r="AR254" s="710" t="str">
        <v>CPS-31654-00(.020)r1.asm</v>
      </c>
      <c r="AV254" s="82" t="str">
        <v>204,204,0</v>
      </c>
      <c r="AW254" s="966">
        <v>-22.760000000000005</v>
      </c>
      <c r="AX254" s="966">
        <v>-34.205056903293304</v>
      </c>
      <c r="AY254" s="966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34"/>
      <c r="J255" s="938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60"/>
      <c r="M255" s="961"/>
      <c r="N255" s="958"/>
      <c r="O255" s="959"/>
      <c r="Q255" s="162" t="str">
        <f t="shared" si="1086"/>
        <v/>
      </c>
      <c r="R255" s="162" t="str">
        <f t="shared" si="1087"/>
        <v/>
      </c>
      <c r="S255" s="162" t="str">
        <f t="shared" si="1088"/>
        <v/>
      </c>
      <c r="T255" s="162" t="str">
        <f t="shared" si="1089"/>
        <v/>
      </c>
      <c r="U255" s="162" t="str">
        <f t="shared" si="1090"/>
        <v/>
      </c>
      <c r="V255" s="162" t="str">
        <f t="shared" si="109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92"/>
        <v/>
      </c>
      <c r="Y255" s="162"/>
      <c r="Z255" s="931" t="str">
        <f t="shared" si="1093"/>
        <v/>
      </c>
      <c r="AA255" s="82"/>
      <c r="AB255" s="75"/>
      <c r="AC255" s="75"/>
      <c r="AD255" s="166"/>
      <c r="AE255" s="75">
        <v>2.1080000000000001</v>
      </c>
      <c r="AF255" s="82">
        <v>2</v>
      </c>
      <c r="AG255" s="82">
        <v>1</v>
      </c>
      <c r="AH255" s="82">
        <v>1</v>
      </c>
      <c r="AI255" s="82">
        <v>2.000000000007276</v>
      </c>
      <c r="AJ255" s="166">
        <v>2.10812</v>
      </c>
      <c r="AK255" s="82" t="str">
        <v>Model Space</v>
      </c>
      <c r="AL255" s="162">
        <v>-3.71875</v>
      </c>
      <c r="AM255" s="162">
        <v>-2.0355661979887705</v>
      </c>
      <c r="AN255" s="162">
        <v>-0.36484655719204062</v>
      </c>
      <c r="AO255" s="162">
        <v>-3.0670934370780145</v>
      </c>
      <c r="AP255" s="162">
        <v>15.022023941711254</v>
      </c>
      <c r="AQ255" s="162">
        <v>0</v>
      </c>
      <c r="AR255" s="710" t="str">
        <v>CPS-31654-00(.020)r1.asm</v>
      </c>
      <c r="AV255" s="82" t="str">
        <v>204,204,0</v>
      </c>
      <c r="AW255" s="966">
        <v>10.879999999999995</v>
      </c>
      <c r="AX255" s="966">
        <v>-3.0670934370780145</v>
      </c>
      <c r="AY255" s="966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34"/>
      <c r="J256" s="938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60"/>
      <c r="M256" s="961"/>
      <c r="N256" s="958"/>
      <c r="O256" s="959"/>
      <c r="Q256" s="162" t="str">
        <f t="shared" si="1086"/>
        <v/>
      </c>
      <c r="R256" s="162" t="str">
        <f t="shared" si="1087"/>
        <v/>
      </c>
      <c r="S256" s="162" t="str">
        <f t="shared" si="1088"/>
        <v/>
      </c>
      <c r="T256" s="162" t="str">
        <f t="shared" si="1089"/>
        <v/>
      </c>
      <c r="U256" s="162" t="str">
        <f t="shared" si="1090"/>
        <v/>
      </c>
      <c r="V256" s="162" t="str">
        <f t="shared" si="109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92"/>
        <v/>
      </c>
      <c r="Y256" s="162"/>
      <c r="Z256" s="931" t="str">
        <f t="shared" si="1093"/>
        <v/>
      </c>
      <c r="AA256" s="82"/>
      <c r="AB256" s="75"/>
      <c r="AC256" s="75"/>
      <c r="AD256" s="166"/>
      <c r="AE256" s="75">
        <v>1.119</v>
      </c>
      <c r="AF256" s="82">
        <v>1</v>
      </c>
      <c r="AG256" s="82">
        <v>1</v>
      </c>
      <c r="AH256" s="82">
        <v>1</v>
      </c>
      <c r="AI256" s="82">
        <v>1.9999999999890861</v>
      </c>
      <c r="AJ256" s="166">
        <v>1.1191199999999999</v>
      </c>
      <c r="AK256" s="82" t="str">
        <v>Model Space</v>
      </c>
      <c r="AL256" s="162">
        <v>-3.1875</v>
      </c>
      <c r="AM256" s="162">
        <v>-3.764862707988168</v>
      </c>
      <c r="AN256" s="162">
        <v>-2.1093114081377129</v>
      </c>
      <c r="AO256" s="162">
        <v>-82.885119576812528</v>
      </c>
      <c r="AP256" s="162">
        <v>29.814839690466783</v>
      </c>
      <c r="AQ256" s="162">
        <v>0</v>
      </c>
      <c r="AR256" s="710" t="str">
        <v>CPS-31650-00r1.asm</v>
      </c>
      <c r="AV256" s="82" t="str">
        <v>255,127,0</v>
      </c>
      <c r="AW256" s="966">
        <v>-90</v>
      </c>
      <c r="AX256" s="966">
        <v>-82.885119576812528</v>
      </c>
      <c r="AY256" s="966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34"/>
      <c r="J257" s="938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60"/>
      <c r="M257" s="961"/>
      <c r="N257" s="958"/>
      <c r="O257" s="959"/>
      <c r="Q257" s="162" t="str">
        <f t="shared" si="1086"/>
        <v/>
      </c>
      <c r="R257" s="162" t="str">
        <f t="shared" si="1087"/>
        <v/>
      </c>
      <c r="S257" s="162" t="str">
        <f t="shared" si="1088"/>
        <v/>
      </c>
      <c r="T257" s="162" t="str">
        <f t="shared" si="1089"/>
        <v/>
      </c>
      <c r="U257" s="162" t="str">
        <f t="shared" si="1090"/>
        <v/>
      </c>
      <c r="V257" s="162" t="str">
        <f t="shared" si="109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92"/>
        <v/>
      </c>
      <c r="Y257" s="162"/>
      <c r="Z257" s="931" t="str">
        <f t="shared" si="1093"/>
        <v/>
      </c>
      <c r="AA257" s="82"/>
      <c r="AB257" s="75"/>
      <c r="AC257" s="75"/>
      <c r="AD257" s="166"/>
      <c r="AE257" s="75">
        <v>1.1160000000000001</v>
      </c>
      <c r="AF257" s="82">
        <v>1</v>
      </c>
      <c r="AG257" s="82">
        <v>1</v>
      </c>
      <c r="AH257" s="82">
        <v>1</v>
      </c>
      <c r="AI257" s="82">
        <v>2.000000000007276</v>
      </c>
      <c r="AJ257" s="166">
        <v>1.11612</v>
      </c>
      <c r="AK257" s="82" t="str">
        <v>Model Space</v>
      </c>
      <c r="AL257" s="162">
        <v>-3.1875</v>
      </c>
      <c r="AM257" s="162">
        <v>-3.6040192688164141</v>
      </c>
      <c r="AN257" s="162">
        <v>-1.4494470063823874</v>
      </c>
      <c r="AO257" s="162">
        <v>-75.083224100282067</v>
      </c>
      <c r="AP257" s="162">
        <v>20.543710441538337</v>
      </c>
      <c r="AQ257" s="162">
        <v>0</v>
      </c>
      <c r="AR257" s="710" t="str">
        <v>CPS-32425r1.par</v>
      </c>
      <c r="AV257" s="82" t="str">
        <v>255,127,0</v>
      </c>
      <c r="AW257" s="966">
        <v>-78.53</v>
      </c>
      <c r="AX257" s="966">
        <v>-75.083224100282067</v>
      </c>
      <c r="AY257" s="966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34"/>
      <c r="J258" s="938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60"/>
      <c r="M258" s="961"/>
      <c r="N258" s="958"/>
      <c r="O258" s="959"/>
      <c r="Q258" s="162" t="str">
        <f t="shared" si="1086"/>
        <v/>
      </c>
      <c r="R258" s="162" t="str">
        <f t="shared" si="1087"/>
        <v/>
      </c>
      <c r="S258" s="162" t="str">
        <f t="shared" si="1088"/>
        <v/>
      </c>
      <c r="T258" s="162" t="str">
        <f t="shared" si="1089"/>
        <v/>
      </c>
      <c r="U258" s="162" t="str">
        <f t="shared" si="1090"/>
        <v/>
      </c>
      <c r="V258" s="162" t="str">
        <f t="shared" si="109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92"/>
        <v/>
      </c>
      <c r="Y258" s="162"/>
      <c r="Z258" s="931" t="str">
        <f t="shared" si="1093"/>
        <v/>
      </c>
      <c r="AA258" s="82"/>
      <c r="AB258" s="75"/>
      <c r="AC258" s="75"/>
      <c r="AD258" s="166"/>
      <c r="AE258" s="75">
        <v>1.113</v>
      </c>
      <c r="AF258" s="82">
        <v>1</v>
      </c>
      <c r="AG258" s="82">
        <v>1</v>
      </c>
      <c r="AH258" s="82">
        <v>1</v>
      </c>
      <c r="AI258" s="82">
        <v>1.9999999999890861</v>
      </c>
      <c r="AJ258" s="166">
        <v>1.1131199999999999</v>
      </c>
      <c r="AK258" s="82" t="str">
        <v>Model Space</v>
      </c>
      <c r="AL258" s="162">
        <v>-3.1875</v>
      </c>
      <c r="AM258" s="162">
        <v>-3.2370764665049228</v>
      </c>
      <c r="AN258" s="162">
        <v>-0.77822648406820361</v>
      </c>
      <c r="AO258" s="162">
        <v>-53.859060958229847</v>
      </c>
      <c r="AP258" s="162">
        <v>16.015570855073868</v>
      </c>
      <c r="AQ258" s="162">
        <v>0</v>
      </c>
      <c r="AR258" s="710" t="str">
        <v>CPS-31654-00(.020)r1.asm</v>
      </c>
      <c r="AV258" s="82" t="str">
        <v>255,127,0</v>
      </c>
      <c r="AW258" s="966">
        <v>-45.319999999999993</v>
      </c>
      <c r="AX258" s="966">
        <v>-53.859060958229847</v>
      </c>
      <c r="AY258" s="966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34"/>
      <c r="J259" s="938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60"/>
      <c r="M259" s="961"/>
      <c r="N259" s="958"/>
      <c r="O259" s="959"/>
      <c r="Q259" s="162" t="str">
        <f t="shared" si="1086"/>
        <v/>
      </c>
      <c r="R259" s="162" t="str">
        <f t="shared" si="1087"/>
        <v/>
      </c>
      <c r="S259" s="162" t="str">
        <f t="shared" si="1088"/>
        <v/>
      </c>
      <c r="T259" s="162" t="str">
        <f t="shared" si="1089"/>
        <v/>
      </c>
      <c r="U259" s="162" t="str">
        <f t="shared" si="1090"/>
        <v/>
      </c>
      <c r="V259" s="162" t="str">
        <f t="shared" si="109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92"/>
        <v/>
      </c>
      <c r="Y259" s="162"/>
      <c r="Z259" s="931" t="str">
        <f t="shared" si="1093"/>
        <v/>
      </c>
      <c r="AA259" s="82"/>
      <c r="AB259" s="75"/>
      <c r="AC259" s="75"/>
      <c r="AD259" s="166"/>
      <c r="AE259" s="75">
        <v>1.1100000000000001</v>
      </c>
      <c r="AF259" s="82">
        <v>1</v>
      </c>
      <c r="AG259" s="82">
        <v>1</v>
      </c>
      <c r="AH259" s="82">
        <v>1</v>
      </c>
      <c r="AI259" s="82">
        <v>2.000000000007276</v>
      </c>
      <c r="AJ259" s="166">
        <v>1.11012</v>
      </c>
      <c r="AK259" s="82" t="str">
        <v>Model Space</v>
      </c>
      <c r="AL259" s="162">
        <v>-3.1875</v>
      </c>
      <c r="AM259" s="162">
        <v>-2.5526383919388191</v>
      </c>
      <c r="AN259" s="162">
        <v>-0.4110601697876668</v>
      </c>
      <c r="AO259" s="162">
        <v>-24.289475319260987</v>
      </c>
      <c r="AP259" s="162">
        <v>15.677480903393381</v>
      </c>
      <c r="AQ259" s="162">
        <v>0</v>
      </c>
      <c r="AR259" s="710" t="str">
        <v>CPS-32425r1.par</v>
      </c>
      <c r="AV259" s="82" t="str">
        <v>255,127,0</v>
      </c>
      <c r="AW259" s="966">
        <v>-11.469999999999999</v>
      </c>
      <c r="AX259" s="966">
        <v>-24.289475319260987</v>
      </c>
      <c r="AY259" s="966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34"/>
      <c r="J260" s="938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60"/>
      <c r="M260" s="961"/>
      <c r="N260" s="958"/>
      <c r="O260" s="959"/>
      <c r="Q260" s="162" t="str">
        <f t="shared" ref="Q260:Q291" si="1094">IFERROR(INDEX(B$164:B$305,MATCH($Y260,$J$164:$J$305,0)),"")</f>
        <v/>
      </c>
      <c r="R260" s="162" t="str">
        <f t="shared" ref="R260:R291" si="1095">IFERROR(INDEX(C$164:C$305,MATCH($Y260,$J$164:$J$305,0)),"")</f>
        <v/>
      </c>
      <c r="S260" s="162" t="str">
        <f t="shared" ref="S260:S291" si="1096">IFERROR(INDEX(D$164:D$305,MATCH($Y260,$J$164:$J$305,0)),"")</f>
        <v/>
      </c>
      <c r="T260" s="162" t="str">
        <f t="shared" ref="T260:T291" si="1097">IFERROR(IF($N260="Y",-1*INDEX(E$164:E$305,MATCH($Y260,$J$164:$J$305,0)),INDEX(E$164:E$305,MATCH($Y260,$J$164:$J$305,0))),"")</f>
        <v/>
      </c>
      <c r="U260" s="162" t="str">
        <f t="shared" ref="U260:U291" si="1098">IFERROR(IF($N260="Y",-1*INDEX(F$164:F$305,MATCH($Y260,$J$164:$J$305,0)),INDEX(F$164:F$305,MATCH($Y260,$J$164:$J$305,0))),"")</f>
        <v/>
      </c>
      <c r="V260" s="162" t="str">
        <f t="shared" ref="V260:V291" si="1099">IFERROR(IF($N260="Y",-1*INDEX(G$164:G$305,MATCH($Y260,$J$164:$J$305,0)),INDEX(G$164:G$305,MATCH($Y260,$J$164:$J$305,0))),"")</f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ref="X260:X291" si="1100">IFERROR(INDEX(I$164:I$305,MATCH($Y260,$J$164:$J$305,0)),"")</f>
        <v/>
      </c>
      <c r="Y260" s="162"/>
      <c r="Z260" s="931" t="str">
        <f t="shared" ref="Z260:Z291" si="1101">IFERROR(INDEX(K$164:K$305,MATCH($Y260,$J$164:$J$305,0)),"")</f>
        <v/>
      </c>
      <c r="AA260" s="82"/>
      <c r="AB260" s="75"/>
      <c r="AC260" s="75"/>
      <c r="AD260" s="166"/>
      <c r="AE260" s="75">
        <v>1.107</v>
      </c>
      <c r="AF260" s="82">
        <v>1</v>
      </c>
      <c r="AG260" s="82">
        <v>1</v>
      </c>
      <c r="AH260" s="82">
        <v>1</v>
      </c>
      <c r="AI260" s="82">
        <v>1.9999999999890861</v>
      </c>
      <c r="AJ260" s="166">
        <v>1.1071199999999999</v>
      </c>
      <c r="AK260" s="82" t="str">
        <v>Model Space</v>
      </c>
      <c r="AL260" s="162">
        <v>-3.1875</v>
      </c>
      <c r="AM260" s="162">
        <v>-1.7832390866061676</v>
      </c>
      <c r="AN260" s="162">
        <v>-0.46989350413231612</v>
      </c>
      <c r="AO260" s="162">
        <v>-3.4970649129115547</v>
      </c>
      <c r="AP260" s="162">
        <v>15.028642500757424</v>
      </c>
      <c r="AQ260" s="162">
        <v>0</v>
      </c>
      <c r="AR260" s="710" t="str">
        <v>CPS-31654-00(.020)r1.asm</v>
      </c>
      <c r="AV260" s="82" t="str">
        <v>255,127,0</v>
      </c>
      <c r="AW260" s="966">
        <v>15</v>
      </c>
      <c r="AX260" s="966">
        <v>-3.4970649129115547</v>
      </c>
      <c r="AY260" s="966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34"/>
      <c r="J261" s="938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60"/>
      <c r="M261" s="961"/>
      <c r="N261" s="958"/>
      <c r="O261" s="959"/>
      <c r="Q261" s="162" t="str">
        <f t="shared" si="1094"/>
        <v/>
      </c>
      <c r="R261" s="162" t="str">
        <f t="shared" si="1095"/>
        <v/>
      </c>
      <c r="S261" s="162" t="str">
        <f t="shared" si="1096"/>
        <v/>
      </c>
      <c r="T261" s="162" t="str">
        <f t="shared" si="1097"/>
        <v/>
      </c>
      <c r="U261" s="162" t="str">
        <f t="shared" si="1098"/>
        <v/>
      </c>
      <c r="V261" s="162" t="str">
        <f t="shared" si="1099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100"/>
        <v/>
      </c>
      <c r="Y261" s="162"/>
      <c r="Z261" s="931" t="str">
        <f t="shared" si="1101"/>
        <v/>
      </c>
      <c r="AA261" s="82"/>
      <c r="AB261" s="75"/>
      <c r="AC261" s="75"/>
      <c r="AD261" s="166"/>
      <c r="AE261" s="75">
        <v>1.1040000000000001</v>
      </c>
      <c r="AF261" s="82">
        <v>1</v>
      </c>
      <c r="AG261" s="82">
        <v>1</v>
      </c>
      <c r="AH261" s="82">
        <v>1</v>
      </c>
      <c r="AI261" s="82">
        <v>2.000000000007276</v>
      </c>
      <c r="AJ261" s="166">
        <v>1.10412</v>
      </c>
      <c r="AK261" s="82" t="str">
        <v>Model Space</v>
      </c>
      <c r="AL261" s="162">
        <v>-3.1875</v>
      </c>
      <c r="AM261" s="162">
        <v>-1.0304138197831001</v>
      </c>
      <c r="AN261" s="162">
        <v>-0.67216963582193356</v>
      </c>
      <c r="AO261" s="162">
        <v>-6.0371219851934219</v>
      </c>
      <c r="AP261" s="162">
        <v>15.085636781207878</v>
      </c>
      <c r="AQ261" s="162">
        <v>0</v>
      </c>
      <c r="AR261" s="710" t="str">
        <v>1613 Ripper.par</v>
      </c>
      <c r="AV261" s="82" t="str">
        <v>255,127,0</v>
      </c>
      <c r="AW261" s="966">
        <v>15</v>
      </c>
      <c r="AX261" s="966">
        <v>-6.0371219851934219</v>
      </c>
      <c r="AY261" s="966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34"/>
      <c r="J262" s="938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60"/>
      <c r="M262" s="961"/>
      <c r="N262" s="958"/>
      <c r="O262" s="959"/>
      <c r="Q262" s="162" t="str">
        <f t="shared" si="1094"/>
        <v/>
      </c>
      <c r="R262" s="162" t="str">
        <f t="shared" si="1095"/>
        <v/>
      </c>
      <c r="S262" s="162" t="str">
        <f t="shared" si="1096"/>
        <v/>
      </c>
      <c r="T262" s="162" t="str">
        <f t="shared" si="1097"/>
        <v/>
      </c>
      <c r="U262" s="162" t="str">
        <f t="shared" si="1098"/>
        <v/>
      </c>
      <c r="V262" s="162" t="str">
        <f t="shared" si="1099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100"/>
        <v/>
      </c>
      <c r="Y262" s="162"/>
      <c r="Z262" s="931" t="str">
        <f t="shared" si="1101"/>
        <v/>
      </c>
      <c r="AA262" s="82"/>
      <c r="AB262" s="75"/>
      <c r="AC262" s="75"/>
      <c r="AD262" s="166"/>
      <c r="AE262" s="75">
        <v>1.101</v>
      </c>
      <c r="AF262" s="82">
        <v>1</v>
      </c>
      <c r="AG262" s="82">
        <v>1</v>
      </c>
      <c r="AH262" s="82">
        <v>1</v>
      </c>
      <c r="AI262" s="82">
        <v>1.9999999999890861</v>
      </c>
      <c r="AJ262" s="166">
        <v>1.1011199999999999</v>
      </c>
      <c r="AK262" s="82" t="str">
        <v>Model Space</v>
      </c>
      <c r="AL262" s="162">
        <v>-3.1875</v>
      </c>
      <c r="AM262" s="162">
        <v>-0.30161677672171988</v>
      </c>
      <c r="AN262" s="162">
        <v>-0.8206999999972715</v>
      </c>
      <c r="AO262" s="162">
        <v>-14.154969626160819</v>
      </c>
      <c r="AP262" s="162">
        <v>21.690301863747006</v>
      </c>
      <c r="AQ262" s="162">
        <v>0</v>
      </c>
      <c r="AR262" s="710" t="str">
        <v>CPS-31650-00r1.asm</v>
      </c>
      <c r="AV262" s="82" t="str">
        <v>255,127,0</v>
      </c>
      <c r="AW262" s="966">
        <v>15</v>
      </c>
      <c r="AX262" s="966">
        <v>-14.154969626160819</v>
      </c>
      <c r="AY262" s="966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34"/>
      <c r="J263" s="938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60"/>
      <c r="M263" s="961"/>
      <c r="N263" s="958"/>
      <c r="O263" s="959"/>
      <c r="Q263" s="162" t="str">
        <f t="shared" si="1094"/>
        <v/>
      </c>
      <c r="R263" s="162" t="str">
        <f t="shared" si="1095"/>
        <v/>
      </c>
      <c r="S263" s="162" t="str">
        <f t="shared" si="1096"/>
        <v/>
      </c>
      <c r="T263" s="162" t="str">
        <f t="shared" si="1097"/>
        <v/>
      </c>
      <c r="U263" s="162" t="str">
        <f t="shared" si="1098"/>
        <v/>
      </c>
      <c r="V263" s="162" t="str">
        <f t="shared" si="1099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100"/>
        <v/>
      </c>
      <c r="Y263" s="162"/>
      <c r="Z263" s="931" t="str">
        <f t="shared" si="1101"/>
        <v/>
      </c>
      <c r="AA263" s="82"/>
      <c r="AB263" s="75"/>
      <c r="AC263" s="75"/>
      <c r="AD263" s="166"/>
      <c r="AE263" s="75">
        <v>6.1180000000000003</v>
      </c>
      <c r="AF263" s="82">
        <v>6</v>
      </c>
      <c r="AG263" s="82">
        <v>1</v>
      </c>
      <c r="AH263" s="82">
        <v>2</v>
      </c>
      <c r="AI263" s="82">
        <v>1.9999999999708962</v>
      </c>
      <c r="AJ263" s="166">
        <v>6.11822</v>
      </c>
      <c r="AK263" s="82">
        <v>6.1181200000000002</v>
      </c>
      <c r="AL263" s="162">
        <v>0</v>
      </c>
      <c r="AM263" s="162">
        <v>0</v>
      </c>
      <c r="AN263" s="162">
        <v>0</v>
      </c>
      <c r="AO263" s="162">
        <v>7.1147656261783965</v>
      </c>
      <c r="AP263" s="162">
        <v>0</v>
      </c>
      <c r="AQ263" s="162">
        <v>0</v>
      </c>
      <c r="AR263" s="710" t="str">
        <v>CPS-31650-00r1.asm</v>
      </c>
      <c r="AV263" s="82" t="str">
        <v>127,0,255</v>
      </c>
      <c r="AW263" s="966">
        <v>-90</v>
      </c>
      <c r="AX263" s="966">
        <v>-82.885234373821604</v>
      </c>
      <c r="AY263" s="966">
        <v>7.1147656261783965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34"/>
      <c r="J264" s="938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60"/>
      <c r="M264" s="961"/>
      <c r="N264" s="958"/>
      <c r="O264" s="959"/>
      <c r="Q264" s="162" t="str">
        <f t="shared" si="1094"/>
        <v/>
      </c>
      <c r="R264" s="162" t="str">
        <f t="shared" si="1095"/>
        <v/>
      </c>
      <c r="S264" s="162" t="str">
        <f t="shared" si="1096"/>
        <v/>
      </c>
      <c r="T264" s="162" t="str">
        <f t="shared" si="1097"/>
        <v/>
      </c>
      <c r="U264" s="162" t="str">
        <f t="shared" si="1098"/>
        <v/>
      </c>
      <c r="V264" s="162" t="str">
        <f t="shared" si="1099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100"/>
        <v/>
      </c>
      <c r="Y264" s="162"/>
      <c r="Z264" s="931" t="str">
        <f t="shared" si="1101"/>
        <v/>
      </c>
      <c r="AA264" s="82"/>
      <c r="AB264" s="75"/>
      <c r="AC264" s="75"/>
      <c r="AD264" s="166"/>
      <c r="AE264" s="75">
        <v>6.1150000000000002</v>
      </c>
      <c r="AF264" s="82">
        <v>6</v>
      </c>
      <c r="AG264" s="82">
        <v>1</v>
      </c>
      <c r="AH264" s="82">
        <v>2</v>
      </c>
      <c r="AI264" s="82">
        <v>1.9999999999708962</v>
      </c>
      <c r="AJ264" s="166">
        <v>6.1152199999999999</v>
      </c>
      <c r="AK264" s="82">
        <v>6.1151200000000001</v>
      </c>
      <c r="AL264" s="162">
        <v>0</v>
      </c>
      <c r="AM264" s="162">
        <v>0</v>
      </c>
      <c r="AN264" s="162">
        <v>0</v>
      </c>
      <c r="AO264" s="162">
        <v>1.2085391670584897</v>
      </c>
      <c r="AP264" s="162">
        <v>0</v>
      </c>
      <c r="AQ264" s="162">
        <v>0</v>
      </c>
      <c r="AR264" s="710" t="str">
        <v>CPS-31654-00(.020)r1.asm</v>
      </c>
      <c r="AV264" s="82" t="str">
        <v>127,0,255</v>
      </c>
      <c r="AW264" s="966">
        <v>-67.47999999999999</v>
      </c>
      <c r="AX264" s="966">
        <v>-66.2714608329415</v>
      </c>
      <c r="AY264" s="966">
        <v>1.2085391670584897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34"/>
      <c r="J265" s="938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60"/>
      <c r="M265" s="961"/>
      <c r="N265" s="958"/>
      <c r="O265" s="959"/>
      <c r="Q265" s="162" t="str">
        <f t="shared" si="1094"/>
        <v/>
      </c>
      <c r="R265" s="162" t="str">
        <f t="shared" si="1095"/>
        <v/>
      </c>
      <c r="S265" s="162" t="str">
        <f t="shared" si="1096"/>
        <v/>
      </c>
      <c r="T265" s="162" t="str">
        <f t="shared" si="1097"/>
        <v/>
      </c>
      <c r="U265" s="162" t="str">
        <f t="shared" si="1098"/>
        <v/>
      </c>
      <c r="V265" s="162" t="str">
        <f t="shared" si="1099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100"/>
        <v/>
      </c>
      <c r="Y265" s="162"/>
      <c r="Z265" s="931" t="str">
        <f t="shared" si="1101"/>
        <v/>
      </c>
      <c r="AA265" s="82"/>
      <c r="AB265" s="75"/>
      <c r="AC265" s="75"/>
      <c r="AD265" s="166"/>
      <c r="AE265" s="75">
        <v>6.1120000000000001</v>
      </c>
      <c r="AF265" s="82">
        <v>6</v>
      </c>
      <c r="AG265" s="82">
        <v>1</v>
      </c>
      <c r="AH265" s="82">
        <v>2</v>
      </c>
      <c r="AI265" s="82">
        <v>1.9999999999708962</v>
      </c>
      <c r="AJ265" s="166">
        <v>6.1122199999999998</v>
      </c>
      <c r="AK265" s="82">
        <v>6.11212</v>
      </c>
      <c r="AL265" s="162">
        <v>0</v>
      </c>
      <c r="AM265" s="162">
        <v>0</v>
      </c>
      <c r="AN265" s="162">
        <v>0</v>
      </c>
      <c r="AO265" s="162">
        <v>-11.029118877652337</v>
      </c>
      <c r="AP265" s="162">
        <v>0</v>
      </c>
      <c r="AQ265" s="162">
        <v>0</v>
      </c>
      <c r="AR265" s="710" t="str">
        <v>CPS-31654-00(.020)r1.asm</v>
      </c>
      <c r="AV265" s="82" t="str">
        <v>127,0,255</v>
      </c>
      <c r="AW265" s="966">
        <v>-34.049999999999997</v>
      </c>
      <c r="AX265" s="966">
        <v>-45.079118877652334</v>
      </c>
      <c r="AY265" s="966">
        <v>-11.029118877652337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34"/>
      <c r="J266" s="938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60"/>
      <c r="M266" s="961"/>
      <c r="N266" s="958"/>
      <c r="O266" s="959"/>
      <c r="Q266" s="162" t="str">
        <f t="shared" si="1094"/>
        <v/>
      </c>
      <c r="R266" s="162" t="str">
        <f t="shared" si="1095"/>
        <v/>
      </c>
      <c r="S266" s="162" t="str">
        <f t="shared" si="1096"/>
        <v/>
      </c>
      <c r="T266" s="162" t="str">
        <f t="shared" si="1097"/>
        <v/>
      </c>
      <c r="U266" s="162" t="str">
        <f t="shared" si="1098"/>
        <v/>
      </c>
      <c r="V266" s="162" t="str">
        <f t="shared" si="1099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100"/>
        <v/>
      </c>
      <c r="Y266" s="162"/>
      <c r="Z266" s="931" t="str">
        <f t="shared" si="1101"/>
        <v/>
      </c>
      <c r="AA266" s="82"/>
      <c r="AB266" s="75"/>
      <c r="AC266" s="75"/>
      <c r="AD266" s="166"/>
      <c r="AE266" s="75">
        <v>6.109</v>
      </c>
      <c r="AF266" s="82">
        <v>6</v>
      </c>
      <c r="AG266" s="82">
        <v>1</v>
      </c>
      <c r="AH266" s="82">
        <v>2</v>
      </c>
      <c r="AI266" s="82">
        <v>1.9999999999708962</v>
      </c>
      <c r="AJ266" s="166">
        <v>6.1092199999999997</v>
      </c>
      <c r="AK266" s="82">
        <v>6.1091199999999999</v>
      </c>
      <c r="AL266" s="162">
        <v>0</v>
      </c>
      <c r="AM266" s="162">
        <v>0</v>
      </c>
      <c r="AN266" s="162">
        <v>0</v>
      </c>
      <c r="AO266" s="162">
        <v>-13.637402596117099</v>
      </c>
      <c r="AP266" s="162">
        <v>0</v>
      </c>
      <c r="AQ266" s="162">
        <v>0</v>
      </c>
      <c r="AR266" s="710" t="str">
        <v>CPS-31654-00(.020)r1.asm</v>
      </c>
      <c r="AV266" s="82" t="str">
        <v>127,0,255</v>
      </c>
      <c r="AW266" s="966">
        <v>-0.29000000000000625</v>
      </c>
      <c r="AX266" s="966">
        <v>-13.927402596117105</v>
      </c>
      <c r="AY266" s="966">
        <v>-13.637402596117099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34"/>
      <c r="J267" s="938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60"/>
      <c r="M267" s="961"/>
      <c r="N267" s="958"/>
      <c r="O267" s="959"/>
      <c r="Q267" s="162" t="str">
        <f t="shared" si="1094"/>
        <v/>
      </c>
      <c r="R267" s="162" t="str">
        <f t="shared" si="1095"/>
        <v/>
      </c>
      <c r="S267" s="162" t="str">
        <f t="shared" si="1096"/>
        <v/>
      </c>
      <c r="T267" s="162" t="str">
        <f t="shared" si="1097"/>
        <v/>
      </c>
      <c r="U267" s="162" t="str">
        <f t="shared" si="1098"/>
        <v/>
      </c>
      <c r="V267" s="162" t="str">
        <f t="shared" si="1099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100"/>
        <v/>
      </c>
      <c r="Y267" s="162"/>
      <c r="Z267" s="931" t="str">
        <f t="shared" si="1101"/>
        <v/>
      </c>
      <c r="AA267" s="82"/>
      <c r="AB267" s="75"/>
      <c r="AC267" s="75"/>
      <c r="AD267" s="166"/>
      <c r="AE267" s="75">
        <v>5.12</v>
      </c>
      <c r="AF267" s="82">
        <v>5</v>
      </c>
      <c r="AG267" s="82">
        <v>1</v>
      </c>
      <c r="AH267" s="82">
        <v>2</v>
      </c>
      <c r="AI267" s="82">
        <v>1.9999999999708962</v>
      </c>
      <c r="AJ267" s="166">
        <v>5.1202199999999998</v>
      </c>
      <c r="AK267" s="82">
        <v>5.12012</v>
      </c>
      <c r="AL267" s="162">
        <v>0</v>
      </c>
      <c r="AM267" s="162">
        <v>0</v>
      </c>
      <c r="AN267" s="162">
        <v>0</v>
      </c>
      <c r="AO267" s="162">
        <v>7.1147928303894901</v>
      </c>
      <c r="AP267" s="162">
        <v>0</v>
      </c>
      <c r="AQ267" s="162">
        <v>0</v>
      </c>
      <c r="AR267" s="710" t="str">
        <v>CPS-31650-00r1.asm</v>
      </c>
      <c r="AV267" s="82" t="str">
        <v>0,102,204</v>
      </c>
      <c r="AW267" s="966">
        <v>-90</v>
      </c>
      <c r="AX267" s="966">
        <v>-82.88520716961051</v>
      </c>
      <c r="AY267" s="966">
        <v>7.1147928303894901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34"/>
      <c r="J268" s="938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60"/>
      <c r="M268" s="961"/>
      <c r="N268" s="958"/>
      <c r="O268" s="959"/>
      <c r="Q268" s="162" t="str">
        <f t="shared" si="1094"/>
        <v/>
      </c>
      <c r="R268" s="162" t="str">
        <f t="shared" si="1095"/>
        <v/>
      </c>
      <c r="S268" s="162" t="str">
        <f t="shared" si="1096"/>
        <v/>
      </c>
      <c r="T268" s="162" t="str">
        <f t="shared" si="1097"/>
        <v/>
      </c>
      <c r="U268" s="162" t="str">
        <f t="shared" si="1098"/>
        <v/>
      </c>
      <c r="V268" s="162" t="str">
        <f t="shared" si="1099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100"/>
        <v/>
      </c>
      <c r="Y268" s="162"/>
      <c r="Z268" s="931" t="str">
        <f t="shared" si="1101"/>
        <v/>
      </c>
      <c r="AA268" s="82"/>
      <c r="AB268" s="75"/>
      <c r="AC268" s="75"/>
      <c r="AD268" s="166"/>
      <c r="AE268" s="75">
        <v>5.117</v>
      </c>
      <c r="AF268" s="82">
        <v>5</v>
      </c>
      <c r="AG268" s="82">
        <v>1</v>
      </c>
      <c r="AH268" s="82">
        <v>2</v>
      </c>
      <c r="AI268" s="82">
        <v>1.9999999999708962</v>
      </c>
      <c r="AJ268" s="166">
        <v>5.1172199999999997</v>
      </c>
      <c r="AK268" s="82">
        <v>5.1171199999999999</v>
      </c>
      <c r="AL268" s="162">
        <v>0</v>
      </c>
      <c r="AM268" s="162">
        <v>0</v>
      </c>
      <c r="AN268" s="162">
        <v>0</v>
      </c>
      <c r="AO268" s="162">
        <v>5.8677994991941347</v>
      </c>
      <c r="AP268" s="162">
        <v>0</v>
      </c>
      <c r="AQ268" s="162">
        <v>0</v>
      </c>
      <c r="AR268" s="710" t="str">
        <v>CPS-31654-00(.020)r1.asm</v>
      </c>
      <c r="AV268" s="82" t="str">
        <v>0,102,204</v>
      </c>
      <c r="AW268" s="966">
        <v>-88.75</v>
      </c>
      <c r="AX268" s="966">
        <v>-82.882200500805865</v>
      </c>
      <c r="AY268" s="966">
        <v>5.8677994991941347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34"/>
      <c r="J269" s="938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60"/>
      <c r="M269" s="961"/>
      <c r="N269" s="958"/>
      <c r="O269" s="959"/>
      <c r="Q269" s="162" t="str">
        <f t="shared" si="1094"/>
        <v/>
      </c>
      <c r="R269" s="162" t="str">
        <f t="shared" si="1095"/>
        <v/>
      </c>
      <c r="S269" s="162" t="str">
        <f t="shared" si="1096"/>
        <v/>
      </c>
      <c r="T269" s="162" t="str">
        <f t="shared" si="1097"/>
        <v/>
      </c>
      <c r="U269" s="162" t="str">
        <f t="shared" si="1098"/>
        <v/>
      </c>
      <c r="V269" s="162" t="str">
        <f t="shared" si="1099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100"/>
        <v/>
      </c>
      <c r="Y269" s="162"/>
      <c r="Z269" s="931" t="str">
        <f t="shared" si="1101"/>
        <v/>
      </c>
      <c r="AA269" s="82"/>
      <c r="AB269" s="75"/>
      <c r="AC269" s="75"/>
      <c r="AD269" s="166"/>
      <c r="AE269" s="75">
        <v>5.1139999999999999</v>
      </c>
      <c r="AF269" s="82">
        <v>5</v>
      </c>
      <c r="AG269" s="82">
        <v>1</v>
      </c>
      <c r="AH269" s="82">
        <v>2</v>
      </c>
      <c r="AI269" s="82">
        <v>1.9999999999708962</v>
      </c>
      <c r="AJ269" s="166">
        <v>5.1142199999999995</v>
      </c>
      <c r="AK269" s="82">
        <v>5.1141199999999998</v>
      </c>
      <c r="AL269" s="162">
        <v>0</v>
      </c>
      <c r="AM269" s="162">
        <v>0</v>
      </c>
      <c r="AN269" s="162">
        <v>0</v>
      </c>
      <c r="AO269" s="162">
        <v>-6.9252157503874301</v>
      </c>
      <c r="AP269" s="162">
        <v>0</v>
      </c>
      <c r="AQ269" s="162">
        <v>0</v>
      </c>
      <c r="AR269" s="710" t="str">
        <v>CPS-32425r1.par</v>
      </c>
      <c r="AV269" s="82" t="str">
        <v>0,102,204</v>
      </c>
      <c r="AW269" s="966">
        <v>-56.419999999999987</v>
      </c>
      <c r="AX269" s="966">
        <v>-63.345215750387418</v>
      </c>
      <c r="AY269" s="966">
        <v>-6.9252157503874301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34"/>
      <c r="J270" s="938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60"/>
      <c r="M270" s="961"/>
      <c r="N270" s="958"/>
      <c r="O270" s="959"/>
      <c r="Q270" s="162" t="str">
        <f t="shared" si="1094"/>
        <v/>
      </c>
      <c r="R270" s="162" t="str">
        <f t="shared" si="1095"/>
        <v/>
      </c>
      <c r="S270" s="162" t="str">
        <f t="shared" si="1096"/>
        <v/>
      </c>
      <c r="T270" s="162" t="str">
        <f t="shared" si="1097"/>
        <v/>
      </c>
      <c r="U270" s="162" t="str">
        <f t="shared" si="1098"/>
        <v/>
      </c>
      <c r="V270" s="162" t="str">
        <f t="shared" si="1099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100"/>
        <v/>
      </c>
      <c r="Y270" s="162"/>
      <c r="Z270" s="931" t="str">
        <f t="shared" si="1101"/>
        <v/>
      </c>
      <c r="AA270" s="82"/>
      <c r="AB270" s="75"/>
      <c r="AC270" s="75"/>
      <c r="AD270" s="166"/>
      <c r="AE270" s="75">
        <v>5.1109999999999998</v>
      </c>
      <c r="AF270" s="82">
        <v>5</v>
      </c>
      <c r="AG270" s="82">
        <v>1</v>
      </c>
      <c r="AH270" s="82">
        <v>2</v>
      </c>
      <c r="AI270" s="82">
        <v>1.9999999999708962</v>
      </c>
      <c r="AJ270" s="166">
        <v>5.1112199999999994</v>
      </c>
      <c r="AK270" s="82">
        <v>5.1111199999999997</v>
      </c>
      <c r="AL270" s="162">
        <v>0</v>
      </c>
      <c r="AM270" s="162">
        <v>0</v>
      </c>
      <c r="AN270" s="162">
        <v>0</v>
      </c>
      <c r="AO270" s="162">
        <v>-11.445056903293384</v>
      </c>
      <c r="AP270" s="162">
        <v>0</v>
      </c>
      <c r="AQ270" s="162">
        <v>0</v>
      </c>
      <c r="AR270" s="710" t="str">
        <v>CPS-31654-00(.020)r1.asm</v>
      </c>
      <c r="AV270" s="82" t="str">
        <v>0,102,204</v>
      </c>
      <c r="AW270" s="966">
        <v>-22.760000000000005</v>
      </c>
      <c r="AX270" s="966">
        <v>-34.205056903293389</v>
      </c>
      <c r="AY270" s="966">
        <v>-11.445056903293384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34"/>
      <c r="J271" s="938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60"/>
      <c r="M271" s="961"/>
      <c r="N271" s="958"/>
      <c r="O271" s="959"/>
      <c r="Q271" s="162" t="str">
        <f t="shared" si="1094"/>
        <v/>
      </c>
      <c r="R271" s="162" t="str">
        <f t="shared" si="1095"/>
        <v/>
      </c>
      <c r="S271" s="162" t="str">
        <f t="shared" si="1096"/>
        <v/>
      </c>
      <c r="T271" s="162" t="str">
        <f t="shared" si="1097"/>
        <v/>
      </c>
      <c r="U271" s="162" t="str">
        <f t="shared" si="1098"/>
        <v/>
      </c>
      <c r="V271" s="162" t="str">
        <f t="shared" si="1099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100"/>
        <v/>
      </c>
      <c r="Y271" s="162"/>
      <c r="Z271" s="931" t="str">
        <f t="shared" si="1101"/>
        <v/>
      </c>
      <c r="AA271" s="82"/>
      <c r="AB271" s="75"/>
      <c r="AC271" s="75"/>
      <c r="AD271" s="166"/>
      <c r="AE271" s="75">
        <v>5.1079999999999997</v>
      </c>
      <c r="AF271" s="82">
        <v>5</v>
      </c>
      <c r="AG271" s="82">
        <v>1</v>
      </c>
      <c r="AH271" s="82">
        <v>2</v>
      </c>
      <c r="AI271" s="82">
        <v>1.9999999998981366</v>
      </c>
      <c r="AJ271" s="166">
        <v>5.1082199999999993</v>
      </c>
      <c r="AK271" s="82">
        <v>5.1081199999999995</v>
      </c>
      <c r="AL271" s="162">
        <v>0</v>
      </c>
      <c r="AM271" s="162">
        <v>0</v>
      </c>
      <c r="AN271" s="162">
        <v>0</v>
      </c>
      <c r="AO271" s="162">
        <v>-13.947093437078305</v>
      </c>
      <c r="AP271" s="162">
        <v>0</v>
      </c>
      <c r="AQ271" s="162">
        <v>0</v>
      </c>
      <c r="AR271" s="710" t="str">
        <v>CPS-32425r1.par</v>
      </c>
      <c r="AV271" s="82" t="str">
        <v>0,102,204</v>
      </c>
      <c r="AW271" s="966">
        <v>10.879999999999995</v>
      </c>
      <c r="AX271" s="966">
        <v>-3.0670934370783089</v>
      </c>
      <c r="AY271" s="966">
        <v>-13.947093437078305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34"/>
      <c r="J272" s="938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60"/>
      <c r="M272" s="961"/>
      <c r="N272" s="958"/>
      <c r="O272" s="959"/>
      <c r="Q272" s="162" t="str">
        <f t="shared" si="1094"/>
        <v/>
      </c>
      <c r="R272" s="162" t="str">
        <f t="shared" si="1095"/>
        <v/>
      </c>
      <c r="S272" s="162" t="str">
        <f t="shared" si="1096"/>
        <v/>
      </c>
      <c r="T272" s="162" t="str">
        <f t="shared" si="1097"/>
        <v/>
      </c>
      <c r="U272" s="162" t="str">
        <f t="shared" si="1098"/>
        <v/>
      </c>
      <c r="V272" s="162" t="str">
        <f t="shared" si="1099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0"/>
        <v/>
      </c>
      <c r="Y272" s="162"/>
      <c r="Z272" s="931" t="str">
        <f t="shared" si="1101"/>
        <v/>
      </c>
      <c r="AA272" s="82"/>
      <c r="AB272" s="75"/>
      <c r="AC272" s="75"/>
      <c r="AD272" s="166"/>
      <c r="AE272" s="75">
        <v>5.1050000000000004</v>
      </c>
      <c r="AF272" s="82">
        <v>5</v>
      </c>
      <c r="AG272" s="82">
        <v>1</v>
      </c>
      <c r="AH272" s="82">
        <v>2</v>
      </c>
      <c r="AI272" s="82">
        <v>2.0000000000436557</v>
      </c>
      <c r="AJ272" s="166">
        <v>5.1052200000000001</v>
      </c>
      <c r="AK272" s="82">
        <v>5.1051200000000003</v>
      </c>
      <c r="AL272" s="162">
        <v>0</v>
      </c>
      <c r="AM272" s="162">
        <v>0</v>
      </c>
      <c r="AN272" s="162">
        <v>0</v>
      </c>
      <c r="AO272" s="162">
        <v>-19.865198353214346</v>
      </c>
      <c r="AP272" s="162">
        <v>0</v>
      </c>
      <c r="AQ272" s="162">
        <v>0</v>
      </c>
      <c r="AR272" s="710" t="str">
        <v>CPS-31654-00(.020)r1.asm</v>
      </c>
      <c r="AV272" s="82" t="str">
        <v>0,102,204</v>
      </c>
      <c r="AW272" s="966">
        <v>15</v>
      </c>
      <c r="AX272" s="966">
        <v>-4.8651983532143479</v>
      </c>
      <c r="AY272" s="966">
        <v>-19.865198353214346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34"/>
      <c r="J273" s="938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60"/>
      <c r="M273" s="961"/>
      <c r="N273" s="958"/>
      <c r="O273" s="959"/>
      <c r="Q273" s="162" t="str">
        <f t="shared" si="1094"/>
        <v/>
      </c>
      <c r="R273" s="162" t="str">
        <f t="shared" si="1095"/>
        <v/>
      </c>
      <c r="S273" s="162" t="str">
        <f t="shared" si="1096"/>
        <v/>
      </c>
      <c r="T273" s="162" t="str">
        <f t="shared" si="1097"/>
        <v/>
      </c>
      <c r="U273" s="162" t="str">
        <f t="shared" si="1098"/>
        <v/>
      </c>
      <c r="V273" s="162" t="str">
        <f t="shared" si="1099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0"/>
        <v/>
      </c>
      <c r="Y273" s="162"/>
      <c r="Z273" s="931" t="str">
        <f t="shared" si="1101"/>
        <v/>
      </c>
      <c r="AA273" s="82"/>
      <c r="AB273" s="75"/>
      <c r="AC273" s="75"/>
      <c r="AD273" s="166"/>
      <c r="AE273" s="75">
        <v>5.1020000000000003</v>
      </c>
      <c r="AF273" s="82">
        <v>5</v>
      </c>
      <c r="AG273" s="82">
        <v>1</v>
      </c>
      <c r="AH273" s="82">
        <v>2</v>
      </c>
      <c r="AI273" s="82">
        <v>1.9999999999708962</v>
      </c>
      <c r="AJ273" s="166">
        <v>5.10222</v>
      </c>
      <c r="AK273" s="82">
        <v>5.1021200000000002</v>
      </c>
      <c r="AL273" s="162">
        <v>0</v>
      </c>
      <c r="AM273" s="162">
        <v>0</v>
      </c>
      <c r="AN273" s="162">
        <v>0</v>
      </c>
      <c r="AO273" s="162">
        <v>-23.73158996773903</v>
      </c>
      <c r="AP273" s="162">
        <v>0</v>
      </c>
      <c r="AQ273" s="162">
        <v>0</v>
      </c>
      <c r="AR273" s="710" t="str">
        <v>CPS-31654-00(.020)r1.asm</v>
      </c>
      <c r="AV273" s="82" t="str">
        <v>0,102,204</v>
      </c>
      <c r="AW273" s="966">
        <v>15</v>
      </c>
      <c r="AX273" s="966">
        <v>-8.7315899677390298</v>
      </c>
      <c r="AY273" s="966">
        <v>-23.73158996773903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34"/>
      <c r="J274" s="938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60"/>
      <c r="M274" s="961"/>
      <c r="N274" s="958"/>
      <c r="O274" s="959"/>
      <c r="Q274" s="162" t="str">
        <f t="shared" si="1094"/>
        <v/>
      </c>
      <c r="R274" s="162" t="str">
        <f t="shared" si="1095"/>
        <v/>
      </c>
      <c r="S274" s="162" t="str">
        <f t="shared" si="1096"/>
        <v/>
      </c>
      <c r="T274" s="162" t="str">
        <f t="shared" si="1097"/>
        <v/>
      </c>
      <c r="U274" s="162" t="str">
        <f t="shared" si="1098"/>
        <v/>
      </c>
      <c r="V274" s="162" t="str">
        <f t="shared" si="1099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0"/>
        <v/>
      </c>
      <c r="Y274" s="162"/>
      <c r="Z274" s="931" t="str">
        <f t="shared" si="1101"/>
        <v/>
      </c>
      <c r="AA274" s="82"/>
      <c r="AB274" s="75"/>
      <c r="AC274" s="75"/>
      <c r="AD274" s="166"/>
      <c r="AE274" s="75">
        <v>4.1189999999999998</v>
      </c>
      <c r="AF274" s="82">
        <v>4</v>
      </c>
      <c r="AG274" s="82">
        <v>1</v>
      </c>
      <c r="AH274" s="82">
        <v>2</v>
      </c>
      <c r="AI274" s="82">
        <v>1.9999999999708962</v>
      </c>
      <c r="AJ274" s="166">
        <v>4.1192199999999994</v>
      </c>
      <c r="AK274" s="82">
        <v>4.1191199999999997</v>
      </c>
      <c r="AL274" s="162">
        <v>0</v>
      </c>
      <c r="AM274" s="162">
        <v>0</v>
      </c>
      <c r="AN274" s="162">
        <v>0</v>
      </c>
      <c r="AO274" s="162">
        <v>7.1148804231874578</v>
      </c>
      <c r="AP274" s="162">
        <v>0</v>
      </c>
      <c r="AQ274" s="162">
        <v>0</v>
      </c>
      <c r="AR274" s="710" t="str">
        <v>CPS-31650-00r1.asm</v>
      </c>
      <c r="AV274" s="82" t="str">
        <v>0,204,204</v>
      </c>
      <c r="AW274" s="966">
        <v>-90</v>
      </c>
      <c r="AX274" s="966">
        <v>-82.885119576812542</v>
      </c>
      <c r="AY274" s="966">
        <v>7.1148804231874578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34"/>
      <c r="J275" s="938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60"/>
      <c r="M275" s="961"/>
      <c r="N275" s="958"/>
      <c r="O275" s="959"/>
      <c r="Q275" s="162" t="str">
        <f t="shared" si="1094"/>
        <v/>
      </c>
      <c r="R275" s="162" t="str">
        <f t="shared" si="1095"/>
        <v/>
      </c>
      <c r="S275" s="162" t="str">
        <f t="shared" si="1096"/>
        <v/>
      </c>
      <c r="T275" s="162" t="str">
        <f t="shared" si="1097"/>
        <v/>
      </c>
      <c r="U275" s="162" t="str">
        <f t="shared" si="1098"/>
        <v/>
      </c>
      <c r="V275" s="162" t="str">
        <f t="shared" si="1099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0"/>
        <v/>
      </c>
      <c r="Y275" s="162"/>
      <c r="Z275" s="931" t="str">
        <f t="shared" si="1101"/>
        <v/>
      </c>
      <c r="AA275" s="82"/>
      <c r="AB275" s="75"/>
      <c r="AC275" s="75"/>
      <c r="AD275" s="166"/>
      <c r="AE275" s="75">
        <v>4.1159999999999997</v>
      </c>
      <c r="AF275" s="82">
        <v>4</v>
      </c>
      <c r="AG275" s="82">
        <v>1</v>
      </c>
      <c r="AH275" s="82">
        <v>2</v>
      </c>
      <c r="AI275" s="82">
        <v>1.9999999998981366</v>
      </c>
      <c r="AJ275" s="166">
        <v>4.1162199999999993</v>
      </c>
      <c r="AK275" s="82">
        <v>4.1161199999999996</v>
      </c>
      <c r="AL275" s="162">
        <v>0</v>
      </c>
      <c r="AM275" s="162">
        <v>0</v>
      </c>
      <c r="AN275" s="162">
        <v>0</v>
      </c>
      <c r="AO275" s="162">
        <v>3.4467758997179203</v>
      </c>
      <c r="AP275" s="162">
        <v>0</v>
      </c>
      <c r="AQ275" s="162">
        <v>0</v>
      </c>
      <c r="AR275" s="710" t="str">
        <v>CPS-31654-00(.020)r1.asm</v>
      </c>
      <c r="AV275" s="82" t="str">
        <v>0,204,204</v>
      </c>
      <c r="AW275" s="966">
        <v>-78.53</v>
      </c>
      <c r="AX275" s="966">
        <v>-75.083224100282081</v>
      </c>
      <c r="AY275" s="966">
        <v>3.4467758997179203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34"/>
      <c r="J276" s="938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60"/>
      <c r="M276" s="961"/>
      <c r="N276" s="958"/>
      <c r="O276" s="959"/>
      <c r="Q276" s="162" t="str">
        <f t="shared" si="1094"/>
        <v/>
      </c>
      <c r="R276" s="162" t="str">
        <f t="shared" si="1095"/>
        <v/>
      </c>
      <c r="S276" s="162" t="str">
        <f t="shared" si="1096"/>
        <v/>
      </c>
      <c r="T276" s="162" t="str">
        <f t="shared" si="1097"/>
        <v/>
      </c>
      <c r="U276" s="162" t="str">
        <f t="shared" si="1098"/>
        <v/>
      </c>
      <c r="V276" s="162" t="str">
        <f t="shared" si="1099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0"/>
        <v/>
      </c>
      <c r="Y276" s="162"/>
      <c r="Z276" s="931" t="str">
        <f t="shared" si="1101"/>
        <v/>
      </c>
      <c r="AA276" s="82"/>
      <c r="AB276" s="75"/>
      <c r="AC276" s="75"/>
      <c r="AD276" s="166"/>
      <c r="AE276" s="75">
        <v>4.1130000000000004</v>
      </c>
      <c r="AF276" s="82">
        <v>4</v>
      </c>
      <c r="AG276" s="82">
        <v>1</v>
      </c>
      <c r="AH276" s="82">
        <v>2</v>
      </c>
      <c r="AI276" s="82">
        <v>2.0000000000436557</v>
      </c>
      <c r="AJ276" s="166">
        <v>4.1132200000000001</v>
      </c>
      <c r="AK276" s="82">
        <v>4.1131200000000003</v>
      </c>
      <c r="AL276" s="162">
        <v>0</v>
      </c>
      <c r="AM276" s="162">
        <v>0</v>
      </c>
      <c r="AN276" s="162">
        <v>0</v>
      </c>
      <c r="AO276" s="162">
        <v>-8.5390609582298325</v>
      </c>
      <c r="AP276" s="162">
        <v>0</v>
      </c>
      <c r="AQ276" s="162">
        <v>0</v>
      </c>
      <c r="AR276" s="710" t="str">
        <v>CPS-31654-00(.020)r1.asm</v>
      </c>
      <c r="AV276" s="82" t="str">
        <v>0,204,204</v>
      </c>
      <c r="AW276" s="966">
        <v>-45.319999999999993</v>
      </c>
      <c r="AX276" s="966">
        <v>-53.859060958229826</v>
      </c>
      <c r="AY276" s="966">
        <v>-8.5390609582298325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34"/>
      <c r="J277" s="938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60"/>
      <c r="M277" s="961"/>
      <c r="N277" s="958"/>
      <c r="O277" s="959"/>
      <c r="Q277" s="162" t="str">
        <f t="shared" si="1094"/>
        <v/>
      </c>
      <c r="R277" s="162" t="str">
        <f t="shared" si="1095"/>
        <v/>
      </c>
      <c r="S277" s="162" t="str">
        <f t="shared" si="1096"/>
        <v/>
      </c>
      <c r="T277" s="162" t="str">
        <f t="shared" si="1097"/>
        <v/>
      </c>
      <c r="U277" s="162" t="str">
        <f t="shared" si="1098"/>
        <v/>
      </c>
      <c r="V277" s="162" t="str">
        <f t="shared" si="1099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0"/>
        <v/>
      </c>
      <c r="Y277" s="162"/>
      <c r="Z277" s="931" t="str">
        <f t="shared" si="1101"/>
        <v/>
      </c>
      <c r="AA277" s="82"/>
      <c r="AB277" s="75"/>
      <c r="AC277" s="75"/>
      <c r="AD277" s="166"/>
      <c r="AE277" s="75">
        <v>4.1100000000000003</v>
      </c>
      <c r="AF277" s="82">
        <v>4</v>
      </c>
      <c r="AG277" s="82">
        <v>1</v>
      </c>
      <c r="AH277" s="82">
        <v>2</v>
      </c>
      <c r="AI277" s="82">
        <v>1.9999999999708962</v>
      </c>
      <c r="AJ277" s="166">
        <v>4.11022</v>
      </c>
      <c r="AK277" s="82">
        <v>4.1101200000000002</v>
      </c>
      <c r="AL277" s="162">
        <v>0</v>
      </c>
      <c r="AM277" s="162">
        <v>0</v>
      </c>
      <c r="AN277" s="162">
        <v>0</v>
      </c>
      <c r="AO277" s="162">
        <v>-12.819475319261034</v>
      </c>
      <c r="AP277" s="162">
        <v>0</v>
      </c>
      <c r="AQ277" s="162">
        <v>0</v>
      </c>
      <c r="AR277" s="710" t="str">
        <v>CPS-31654-00(.020)r1.asm</v>
      </c>
      <c r="AV277" s="82" t="str">
        <v>0,204,204</v>
      </c>
      <c r="AW277" s="966">
        <v>-11.469999999999999</v>
      </c>
      <c r="AX277" s="966">
        <v>-24.289475319261033</v>
      </c>
      <c r="AY277" s="966">
        <v>-12.819475319261034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34"/>
      <c r="J278" s="938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60"/>
      <c r="M278" s="961"/>
      <c r="N278" s="958"/>
      <c r="O278" s="959"/>
      <c r="Q278" s="162" t="str">
        <f t="shared" si="1094"/>
        <v/>
      </c>
      <c r="R278" s="162" t="str">
        <f t="shared" si="1095"/>
        <v/>
      </c>
      <c r="S278" s="162" t="str">
        <f t="shared" si="1096"/>
        <v/>
      </c>
      <c r="T278" s="162" t="str">
        <f t="shared" si="1097"/>
        <v/>
      </c>
      <c r="U278" s="162" t="str">
        <f t="shared" si="1098"/>
        <v/>
      </c>
      <c r="V278" s="162" t="str">
        <f t="shared" si="1099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0"/>
        <v/>
      </c>
      <c r="Y278" s="162"/>
      <c r="Z278" s="931" t="str">
        <f t="shared" si="1101"/>
        <v/>
      </c>
      <c r="AA278" s="82"/>
      <c r="AB278" s="75"/>
      <c r="AC278" s="75"/>
      <c r="AD278" s="166"/>
      <c r="AE278" s="75">
        <v>3.1179999999999999</v>
      </c>
      <c r="AF278" s="82">
        <v>3</v>
      </c>
      <c r="AG278" s="82">
        <v>1</v>
      </c>
      <c r="AH278" s="82">
        <v>2</v>
      </c>
      <c r="AI278" s="82">
        <v>2.000000000007276</v>
      </c>
      <c r="AJ278" s="166">
        <v>3.11822</v>
      </c>
      <c r="AK278" s="82">
        <v>3.1181199999999998</v>
      </c>
      <c r="AL278" s="162">
        <v>0</v>
      </c>
      <c r="AM278" s="162">
        <v>0</v>
      </c>
      <c r="AN278" s="162">
        <v>0</v>
      </c>
      <c r="AO278" s="162">
        <v>7.1149423481789569</v>
      </c>
      <c r="AP278" s="162">
        <v>0</v>
      </c>
      <c r="AQ278" s="162">
        <v>0</v>
      </c>
      <c r="AR278" s="710" t="str">
        <v>CPS-31650-00r1.asm</v>
      </c>
      <c r="AV278" s="82" t="str">
        <v>0,204,0</v>
      </c>
      <c r="AW278" s="966">
        <v>-90</v>
      </c>
      <c r="AX278" s="966">
        <v>-82.885057651821043</v>
      </c>
      <c r="AY278" s="966">
        <v>7.1149423481789569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34"/>
      <c r="J279" s="938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60"/>
      <c r="M279" s="961"/>
      <c r="N279" s="958"/>
      <c r="O279" s="959"/>
      <c r="Q279" s="162" t="str">
        <f t="shared" si="1094"/>
        <v/>
      </c>
      <c r="R279" s="162" t="str">
        <f t="shared" si="1095"/>
        <v/>
      </c>
      <c r="S279" s="162" t="str">
        <f t="shared" si="1096"/>
        <v/>
      </c>
      <c r="T279" s="162" t="str">
        <f t="shared" si="1097"/>
        <v/>
      </c>
      <c r="U279" s="162" t="str">
        <f t="shared" si="1098"/>
        <v/>
      </c>
      <c r="V279" s="162" t="str">
        <f t="shared" si="1099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0"/>
        <v/>
      </c>
      <c r="Y279" s="162"/>
      <c r="Z279" s="931" t="str">
        <f t="shared" si="1101"/>
        <v/>
      </c>
      <c r="AA279" s="82"/>
      <c r="AB279" s="75"/>
      <c r="AC279" s="75"/>
      <c r="AD279" s="166"/>
      <c r="AE279" s="75">
        <v>3.1150000000000002</v>
      </c>
      <c r="AF279" s="82">
        <v>3</v>
      </c>
      <c r="AG279" s="82">
        <v>1</v>
      </c>
      <c r="AH279" s="82">
        <v>2</v>
      </c>
      <c r="AI279" s="82">
        <v>2.0000000000436557</v>
      </c>
      <c r="AJ279" s="166">
        <v>3.1152200000000003</v>
      </c>
      <c r="AK279" s="82">
        <v>3.1151200000000001</v>
      </c>
      <c r="AL279" s="162">
        <v>0</v>
      </c>
      <c r="AM279" s="162">
        <v>0</v>
      </c>
      <c r="AN279" s="162">
        <v>0</v>
      </c>
      <c r="AO279" s="162">
        <v>1.2094670350781911</v>
      </c>
      <c r="AP279" s="162">
        <v>0</v>
      </c>
      <c r="AQ279" s="162">
        <v>0</v>
      </c>
      <c r="AR279" s="710" t="str">
        <v>CPS-31654-00(.020)r1.asm</v>
      </c>
      <c r="AV279" s="82" t="str">
        <v>0,204,0</v>
      </c>
      <c r="AW279" s="966">
        <v>-67.47999999999999</v>
      </c>
      <c r="AX279" s="966">
        <v>-66.270532964921799</v>
      </c>
      <c r="AY279" s="966">
        <v>1.2094670350781911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34"/>
      <c r="J280" s="938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60"/>
      <c r="M280" s="961"/>
      <c r="N280" s="958"/>
      <c r="O280" s="959"/>
      <c r="Q280" s="162" t="str">
        <f t="shared" si="1094"/>
        <v/>
      </c>
      <c r="R280" s="162" t="str">
        <f t="shared" si="1095"/>
        <v/>
      </c>
      <c r="S280" s="162" t="str">
        <f t="shared" si="1096"/>
        <v/>
      </c>
      <c r="T280" s="162" t="str">
        <f t="shared" si="1097"/>
        <v/>
      </c>
      <c r="U280" s="162" t="str">
        <f t="shared" si="1098"/>
        <v/>
      </c>
      <c r="V280" s="162" t="str">
        <f t="shared" si="1099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0"/>
        <v/>
      </c>
      <c r="Y280" s="162"/>
      <c r="Z280" s="931" t="str">
        <f t="shared" si="1101"/>
        <v/>
      </c>
      <c r="AA280" s="82"/>
      <c r="AB280" s="75"/>
      <c r="AC280" s="75"/>
      <c r="AD280" s="166"/>
      <c r="AE280" s="75">
        <v>3.1120000000000001</v>
      </c>
      <c r="AF280" s="82">
        <v>3</v>
      </c>
      <c r="AG280" s="82">
        <v>1</v>
      </c>
      <c r="AH280" s="82">
        <v>2</v>
      </c>
      <c r="AI280" s="82">
        <v>2.000000000007276</v>
      </c>
      <c r="AJ280" s="166">
        <v>3.1122200000000002</v>
      </c>
      <c r="AK280" s="82">
        <v>3.11212</v>
      </c>
      <c r="AL280" s="162">
        <v>0</v>
      </c>
      <c r="AM280" s="162">
        <v>0</v>
      </c>
      <c r="AN280" s="162">
        <v>0</v>
      </c>
      <c r="AO280" s="162">
        <v>-11.026664077700261</v>
      </c>
      <c r="AP280" s="162">
        <v>0</v>
      </c>
      <c r="AQ280" s="162">
        <v>0</v>
      </c>
      <c r="AR280" s="710" t="str">
        <v>CPS-32425r1.par</v>
      </c>
      <c r="AV280" s="82" t="str">
        <v>0,204,0</v>
      </c>
      <c r="AW280" s="966">
        <v>-34.049999999999997</v>
      </c>
      <c r="AX280" s="966">
        <v>-45.076664077700258</v>
      </c>
      <c r="AY280" s="966">
        <v>-11.026664077700261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34"/>
      <c r="J281" s="938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60"/>
      <c r="M281" s="961"/>
      <c r="N281" s="958"/>
      <c r="O281" s="959"/>
      <c r="Q281" s="162" t="str">
        <f t="shared" si="1094"/>
        <v/>
      </c>
      <c r="R281" s="162" t="str">
        <f t="shared" si="1095"/>
        <v/>
      </c>
      <c r="S281" s="162" t="str">
        <f t="shared" si="1096"/>
        <v/>
      </c>
      <c r="T281" s="162" t="str">
        <f t="shared" si="1097"/>
        <v/>
      </c>
      <c r="U281" s="162" t="str">
        <f t="shared" si="1098"/>
        <v/>
      </c>
      <c r="V281" s="162" t="str">
        <f t="shared" si="1099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0"/>
        <v/>
      </c>
      <c r="Y281" s="162"/>
      <c r="Z281" s="931" t="str">
        <f t="shared" si="1101"/>
        <v/>
      </c>
      <c r="AA281" s="82"/>
      <c r="AB281" s="75"/>
      <c r="AC281" s="75"/>
      <c r="AD281" s="166"/>
      <c r="AE281" s="75">
        <v>3.109</v>
      </c>
      <c r="AF281" s="82">
        <v>3</v>
      </c>
      <c r="AG281" s="82">
        <v>1</v>
      </c>
      <c r="AH281" s="82">
        <v>2</v>
      </c>
      <c r="AI281" s="82">
        <v>2.000000000007276</v>
      </c>
      <c r="AJ281" s="166">
        <v>3.1092200000000001</v>
      </c>
      <c r="AK281" s="82">
        <v>3.1091199999999999</v>
      </c>
      <c r="AL281" s="162">
        <v>0</v>
      </c>
      <c r="AM281" s="162">
        <v>0</v>
      </c>
      <c r="AN281" s="162">
        <v>0</v>
      </c>
      <c r="AO281" s="162">
        <v>-13.632859963601508</v>
      </c>
      <c r="AP281" s="162">
        <v>0</v>
      </c>
      <c r="AQ281" s="162">
        <v>0</v>
      </c>
      <c r="AR281" s="710" t="str">
        <v>CPS-31654-00(.020)r1.asm</v>
      </c>
      <c r="AV281" s="82" t="str">
        <v>0,204,0</v>
      </c>
      <c r="AW281" s="966">
        <v>-0.29000000000000625</v>
      </c>
      <c r="AX281" s="966">
        <v>-13.922859963601514</v>
      </c>
      <c r="AY281" s="966">
        <v>-13.632859963601508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34"/>
      <c r="J282" s="938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60"/>
      <c r="M282" s="961"/>
      <c r="N282" s="958"/>
      <c r="O282" s="959"/>
      <c r="Q282" s="162" t="str">
        <f t="shared" si="1094"/>
        <v/>
      </c>
      <c r="R282" s="162" t="str">
        <f t="shared" si="1095"/>
        <v/>
      </c>
      <c r="S282" s="162" t="str">
        <f t="shared" si="1096"/>
        <v/>
      </c>
      <c r="T282" s="162" t="str">
        <f t="shared" si="1097"/>
        <v/>
      </c>
      <c r="U282" s="162" t="str">
        <f t="shared" si="1098"/>
        <v/>
      </c>
      <c r="V282" s="162" t="str">
        <f t="shared" si="1099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0"/>
        <v/>
      </c>
      <c r="Y282" s="162"/>
      <c r="Z282" s="931" t="str">
        <f t="shared" si="1101"/>
        <v/>
      </c>
      <c r="AA282" s="82"/>
      <c r="AB282" s="75"/>
      <c r="AC282" s="75"/>
      <c r="AD282" s="166"/>
      <c r="AE282" s="75">
        <v>3.1059999999999999</v>
      </c>
      <c r="AF282" s="82">
        <v>3</v>
      </c>
      <c r="AG282" s="82">
        <v>1</v>
      </c>
      <c r="AH282" s="82">
        <v>2</v>
      </c>
      <c r="AI282" s="82">
        <v>2.000000000007276</v>
      </c>
      <c r="AJ282" s="166">
        <v>3.10622</v>
      </c>
      <c r="AK282" s="82">
        <v>3.1061199999999998</v>
      </c>
      <c r="AL282" s="162">
        <v>0</v>
      </c>
      <c r="AM282" s="162">
        <v>0</v>
      </c>
      <c r="AN282" s="162">
        <v>0</v>
      </c>
      <c r="AO282" s="162">
        <v>-19.065582948943572</v>
      </c>
      <c r="AP282" s="162">
        <v>0</v>
      </c>
      <c r="AQ282" s="162">
        <v>0</v>
      </c>
      <c r="AR282" s="710" t="str">
        <v>CPS-32425r1.par</v>
      </c>
      <c r="AV282" s="82" t="str">
        <v>0,204,0</v>
      </c>
      <c r="AW282" s="966">
        <v>15</v>
      </c>
      <c r="AX282" s="966">
        <v>-4.0655829489435709</v>
      </c>
      <c r="AY282" s="966">
        <v>-19.065582948943572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34"/>
      <c r="J283" s="938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60"/>
      <c r="M283" s="961"/>
      <c r="N283" s="958"/>
      <c r="O283" s="959"/>
      <c r="Q283" s="162" t="str">
        <f t="shared" si="1094"/>
        <v/>
      </c>
      <c r="R283" s="162" t="str">
        <f t="shared" si="1095"/>
        <v/>
      </c>
      <c r="S283" s="162" t="str">
        <f t="shared" si="1096"/>
        <v/>
      </c>
      <c r="T283" s="162" t="str">
        <f t="shared" si="1097"/>
        <v/>
      </c>
      <c r="U283" s="162" t="str">
        <f t="shared" si="1098"/>
        <v/>
      </c>
      <c r="V283" s="162" t="str">
        <f t="shared" si="1099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0"/>
        <v/>
      </c>
      <c r="Y283" s="162"/>
      <c r="Z283" s="931" t="str">
        <f t="shared" si="1101"/>
        <v/>
      </c>
      <c r="AA283" s="82"/>
      <c r="AB283" s="75"/>
      <c r="AC283" s="75"/>
      <c r="AD283" s="166"/>
      <c r="AE283" s="75">
        <v>3.1030000000000002</v>
      </c>
      <c r="AF283" s="82">
        <v>3</v>
      </c>
      <c r="AG283" s="82">
        <v>1</v>
      </c>
      <c r="AH283" s="82">
        <v>2</v>
      </c>
      <c r="AI283" s="82">
        <v>2.0000000000436557</v>
      </c>
      <c r="AJ283" s="166">
        <v>3.1032200000000003</v>
      </c>
      <c r="AK283" s="82">
        <v>3.1031200000000001</v>
      </c>
      <c r="AL283" s="162">
        <v>0</v>
      </c>
      <c r="AM283" s="162">
        <v>0</v>
      </c>
      <c r="AN283" s="162">
        <v>0</v>
      </c>
      <c r="AO283" s="162">
        <v>-21.877028167605189</v>
      </c>
      <c r="AP283" s="162">
        <v>0</v>
      </c>
      <c r="AQ283" s="162">
        <v>0</v>
      </c>
      <c r="AR283" s="710" t="str">
        <v>CPS-31654-00(.020)r1.asm</v>
      </c>
      <c r="AV283" s="82" t="str">
        <v>0,204,0</v>
      </c>
      <c r="AW283" s="966">
        <v>15</v>
      </c>
      <c r="AX283" s="966">
        <v>-6.8770281676051894</v>
      </c>
      <c r="AY283" s="966">
        <v>-21.877028167605189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34"/>
      <c r="J284" s="938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60"/>
      <c r="M284" s="961"/>
      <c r="N284" s="958"/>
      <c r="O284" s="959"/>
      <c r="Q284" s="162" t="str">
        <f t="shared" si="1094"/>
        <v/>
      </c>
      <c r="R284" s="162" t="str">
        <f t="shared" si="1095"/>
        <v/>
      </c>
      <c r="S284" s="162" t="str">
        <f t="shared" si="1096"/>
        <v/>
      </c>
      <c r="T284" s="162" t="str">
        <f t="shared" si="1097"/>
        <v/>
      </c>
      <c r="U284" s="162" t="str">
        <f t="shared" si="1098"/>
        <v/>
      </c>
      <c r="V284" s="162" t="str">
        <f t="shared" si="1099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0"/>
        <v/>
      </c>
      <c r="Y284" s="162"/>
      <c r="Z284" s="931" t="str">
        <f t="shared" si="1101"/>
        <v/>
      </c>
      <c r="AA284" s="82"/>
      <c r="AB284" s="75"/>
      <c r="AC284" s="75"/>
      <c r="AD284" s="166"/>
      <c r="AE284" s="75">
        <v>2.12</v>
      </c>
      <c r="AF284" s="82">
        <v>2</v>
      </c>
      <c r="AG284" s="82">
        <v>1</v>
      </c>
      <c r="AH284" s="82">
        <v>2</v>
      </c>
      <c r="AI284" s="82">
        <v>2.000000000007276</v>
      </c>
      <c r="AJ284" s="166">
        <v>2.1202200000000002</v>
      </c>
      <c r="AK284" s="82">
        <v>2.12012</v>
      </c>
      <c r="AL284" s="162">
        <v>0</v>
      </c>
      <c r="AM284" s="162">
        <v>0</v>
      </c>
      <c r="AN284" s="162">
        <v>0</v>
      </c>
      <c r="AO284" s="162">
        <v>7.1147928303894901</v>
      </c>
      <c r="AP284" s="162">
        <v>0</v>
      </c>
      <c r="AQ284" s="162">
        <v>0</v>
      </c>
      <c r="AR284" s="710" t="str">
        <v>CPS-31650-00r1.asm</v>
      </c>
      <c r="AV284" s="82" t="str">
        <v>204,204,0</v>
      </c>
      <c r="AW284" s="966">
        <v>-90</v>
      </c>
      <c r="AX284" s="966">
        <v>-82.88520716961051</v>
      </c>
      <c r="AY284" s="966">
        <v>7.1147928303894901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35"/>
      <c r="J285" s="939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60"/>
      <c r="M285" s="961"/>
      <c r="N285" s="958"/>
      <c r="O285" s="959"/>
      <c r="Q285" s="162" t="str">
        <f t="shared" si="1094"/>
        <v/>
      </c>
      <c r="R285" s="162" t="str">
        <f t="shared" si="1095"/>
        <v/>
      </c>
      <c r="S285" s="162" t="str">
        <f t="shared" si="1096"/>
        <v/>
      </c>
      <c r="T285" s="162" t="str">
        <f t="shared" si="1097"/>
        <v/>
      </c>
      <c r="U285" s="162" t="str">
        <f t="shared" si="1098"/>
        <v/>
      </c>
      <c r="V285" s="162" t="str">
        <f t="shared" si="1099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0"/>
        <v/>
      </c>
      <c r="Y285" s="162"/>
      <c r="Z285" s="931" t="str">
        <f t="shared" si="1101"/>
        <v/>
      </c>
      <c r="AA285" s="82"/>
      <c r="AB285" s="75"/>
      <c r="AC285" s="75"/>
      <c r="AD285" s="166"/>
      <c r="AE285" s="75">
        <v>2.117</v>
      </c>
      <c r="AF285" s="82">
        <v>2</v>
      </c>
      <c r="AG285" s="82">
        <v>1</v>
      </c>
      <c r="AH285" s="82">
        <v>2</v>
      </c>
      <c r="AI285" s="82">
        <v>2.000000000007276</v>
      </c>
      <c r="AJ285" s="166">
        <v>2.1172200000000001</v>
      </c>
      <c r="AK285" s="82">
        <v>2.1171199999999999</v>
      </c>
      <c r="AL285" s="162">
        <v>0</v>
      </c>
      <c r="AM285" s="162">
        <v>0</v>
      </c>
      <c r="AN285" s="162">
        <v>0</v>
      </c>
      <c r="AO285" s="162">
        <v>5.8677994991941205</v>
      </c>
      <c r="AP285" s="162">
        <v>0</v>
      </c>
      <c r="AQ285" s="162">
        <v>0</v>
      </c>
      <c r="AR285" s="710" t="str">
        <v>CPS-31654-00(.020)r1.asm</v>
      </c>
      <c r="AV285" s="82" t="str">
        <v>204,204,0</v>
      </c>
      <c r="AW285" s="966">
        <v>-88.75</v>
      </c>
      <c r="AX285" s="966">
        <v>-82.88220050080588</v>
      </c>
      <c r="AY285" s="966">
        <v>5.8677994991941205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35"/>
      <c r="J286" s="939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60"/>
      <c r="M286" s="961"/>
      <c r="N286" s="958"/>
      <c r="O286" s="959"/>
      <c r="Q286" s="162" t="str">
        <f t="shared" si="1094"/>
        <v/>
      </c>
      <c r="R286" s="162" t="str">
        <f t="shared" si="1095"/>
        <v/>
      </c>
      <c r="S286" s="162" t="str">
        <f t="shared" si="1096"/>
        <v/>
      </c>
      <c r="T286" s="162" t="str">
        <f t="shared" si="1097"/>
        <v/>
      </c>
      <c r="U286" s="162" t="str">
        <f t="shared" si="1098"/>
        <v/>
      </c>
      <c r="V286" s="162" t="str">
        <f t="shared" si="1099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0"/>
        <v/>
      </c>
      <c r="Y286" s="162"/>
      <c r="Z286" s="931" t="str">
        <f t="shared" si="1101"/>
        <v/>
      </c>
      <c r="AA286" s="82"/>
      <c r="AB286" s="75"/>
      <c r="AC286" s="75"/>
      <c r="AD286" s="166"/>
      <c r="AE286" s="75">
        <v>2.1139999999999999</v>
      </c>
      <c r="AF286" s="82">
        <v>2</v>
      </c>
      <c r="AG286" s="82">
        <v>1</v>
      </c>
      <c r="AH286" s="82">
        <v>2</v>
      </c>
      <c r="AI286" s="82">
        <v>2.000000000007276</v>
      </c>
      <c r="AJ286" s="166">
        <v>2.11422</v>
      </c>
      <c r="AK286" s="82">
        <v>2.1141199999999998</v>
      </c>
      <c r="AL286" s="162">
        <v>0</v>
      </c>
      <c r="AM286" s="162">
        <v>0</v>
      </c>
      <c r="AN286" s="162">
        <v>0</v>
      </c>
      <c r="AO286" s="162">
        <v>-6.9252157503873875</v>
      </c>
      <c r="AP286" s="162">
        <v>0</v>
      </c>
      <c r="AQ286" s="162">
        <v>0</v>
      </c>
      <c r="AR286" s="710" t="str">
        <v>CPS-31654-00(.020)r1.asm</v>
      </c>
      <c r="AV286" s="82" t="str">
        <v>204,204,0</v>
      </c>
      <c r="AW286" s="966">
        <v>-56.419999999999987</v>
      </c>
      <c r="AX286" s="966">
        <v>-63.345215750387375</v>
      </c>
      <c r="AY286" s="966">
        <v>-6.9252157503873875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35"/>
      <c r="J287" s="939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60"/>
      <c r="M287" s="961"/>
      <c r="N287" s="958"/>
      <c r="O287" s="959"/>
      <c r="Q287" s="162" t="str">
        <f t="shared" si="1094"/>
        <v/>
      </c>
      <c r="R287" s="162" t="str">
        <f t="shared" si="1095"/>
        <v/>
      </c>
      <c r="S287" s="162" t="str">
        <f t="shared" si="1096"/>
        <v/>
      </c>
      <c r="T287" s="162" t="str">
        <f t="shared" si="1097"/>
        <v/>
      </c>
      <c r="U287" s="162" t="str">
        <f t="shared" si="1098"/>
        <v/>
      </c>
      <c r="V287" s="162" t="str">
        <f t="shared" si="1099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0"/>
        <v/>
      </c>
      <c r="Y287" s="162"/>
      <c r="Z287" s="931" t="str">
        <f t="shared" si="1101"/>
        <v/>
      </c>
      <c r="AA287" s="82"/>
      <c r="AB287" s="75"/>
      <c r="AC287" s="75"/>
      <c r="AD287" s="166"/>
      <c r="AE287" s="75">
        <v>2.1110000000000002</v>
      </c>
      <c r="AF287" s="82">
        <v>2</v>
      </c>
      <c r="AG287" s="82">
        <v>1</v>
      </c>
      <c r="AH287" s="82">
        <v>2</v>
      </c>
      <c r="AI287" s="82">
        <v>2.0000000000436557</v>
      </c>
      <c r="AJ287" s="166">
        <v>2.1112200000000003</v>
      </c>
      <c r="AK287" s="82">
        <v>2.1111200000000001</v>
      </c>
      <c r="AL287" s="162">
        <v>0</v>
      </c>
      <c r="AM287" s="162">
        <v>0</v>
      </c>
      <c r="AN287" s="162">
        <v>0</v>
      </c>
      <c r="AO287" s="162">
        <v>-11.445056903293299</v>
      </c>
      <c r="AP287" s="162">
        <v>0</v>
      </c>
      <c r="AQ287" s="162">
        <v>0</v>
      </c>
      <c r="AR287" s="710" t="str">
        <v>CPS-31654-00(.020)r1.asm</v>
      </c>
      <c r="AV287" s="82" t="str">
        <v>204,204,0</v>
      </c>
      <c r="AW287" s="966">
        <v>-22.760000000000005</v>
      </c>
      <c r="AX287" s="966">
        <v>-34.205056903293304</v>
      </c>
      <c r="AY287" s="966">
        <v>-11.445056903293299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35"/>
      <c r="J288" s="939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60"/>
      <c r="M288" s="961"/>
      <c r="N288" s="958"/>
      <c r="O288" s="959"/>
      <c r="Q288" s="162" t="str">
        <f t="shared" si="1094"/>
        <v/>
      </c>
      <c r="R288" s="162" t="str">
        <f t="shared" si="1095"/>
        <v/>
      </c>
      <c r="S288" s="162" t="str">
        <f t="shared" si="1096"/>
        <v/>
      </c>
      <c r="T288" s="162" t="str">
        <f t="shared" si="1097"/>
        <v/>
      </c>
      <c r="U288" s="162" t="str">
        <f t="shared" si="1098"/>
        <v/>
      </c>
      <c r="V288" s="162" t="str">
        <f t="shared" si="1099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0"/>
        <v/>
      </c>
      <c r="Y288" s="162"/>
      <c r="Z288" s="931" t="str">
        <f t="shared" si="1101"/>
        <v/>
      </c>
      <c r="AA288" s="82"/>
      <c r="AB288" s="75"/>
      <c r="AC288" s="75"/>
      <c r="AD288" s="166"/>
      <c r="AE288" s="75">
        <v>2.1080000000000001</v>
      </c>
      <c r="AF288" s="82">
        <v>2</v>
      </c>
      <c r="AG288" s="82">
        <v>1</v>
      </c>
      <c r="AH288" s="82">
        <v>2</v>
      </c>
      <c r="AI288" s="82">
        <v>2.000000000007276</v>
      </c>
      <c r="AJ288" s="166">
        <v>2.1082200000000002</v>
      </c>
      <c r="AK288" s="82">
        <v>2.10812</v>
      </c>
      <c r="AL288" s="162">
        <v>0</v>
      </c>
      <c r="AM288" s="162">
        <v>0</v>
      </c>
      <c r="AN288" s="162">
        <v>0</v>
      </c>
      <c r="AO288" s="162">
        <v>-13.94709343707801</v>
      </c>
      <c r="AP288" s="162">
        <v>0</v>
      </c>
      <c r="AQ288" s="162">
        <v>0</v>
      </c>
      <c r="AR288" s="710" t="str">
        <v>CPS-31654-00(.020)r1.asm</v>
      </c>
      <c r="AV288" s="82" t="str">
        <v>204,204,0</v>
      </c>
      <c r="AW288" s="966">
        <v>10.879999999999995</v>
      </c>
      <c r="AX288" s="966">
        <v>-3.0670934370780145</v>
      </c>
      <c r="AY288" s="966">
        <v>-13.94709343707801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35"/>
      <c r="J289" s="939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60"/>
      <c r="M289" s="961"/>
      <c r="N289" s="958"/>
      <c r="O289" s="959"/>
      <c r="Q289" s="162" t="str">
        <f t="shared" si="1094"/>
        <v/>
      </c>
      <c r="R289" s="162" t="str">
        <f t="shared" si="1095"/>
        <v/>
      </c>
      <c r="S289" s="162" t="str">
        <f t="shared" si="1096"/>
        <v/>
      </c>
      <c r="T289" s="162" t="str">
        <f t="shared" si="1097"/>
        <v/>
      </c>
      <c r="U289" s="162" t="str">
        <f t="shared" si="1098"/>
        <v/>
      </c>
      <c r="V289" s="162" t="str">
        <f t="shared" si="1099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0"/>
        <v/>
      </c>
      <c r="Y289" s="162"/>
      <c r="Z289" s="931" t="str">
        <f t="shared" si="1101"/>
        <v/>
      </c>
      <c r="AA289" s="82"/>
      <c r="AB289" s="75"/>
      <c r="AC289" s="75"/>
      <c r="AD289" s="166"/>
      <c r="AE289" s="75">
        <v>1.119</v>
      </c>
      <c r="AF289" s="82">
        <v>1</v>
      </c>
      <c r="AG289" s="82">
        <v>1</v>
      </c>
      <c r="AH289" s="82">
        <v>2</v>
      </c>
      <c r="AI289" s="82">
        <v>2.000000000007276</v>
      </c>
      <c r="AJ289" s="166">
        <v>1.1192200000000001</v>
      </c>
      <c r="AK289" s="82">
        <v>1.1191200000000001</v>
      </c>
      <c r="AL289" s="162">
        <v>0</v>
      </c>
      <c r="AM289" s="162">
        <v>0</v>
      </c>
      <c r="AN289" s="162">
        <v>0</v>
      </c>
      <c r="AO289" s="162">
        <v>7.114880423187472</v>
      </c>
      <c r="AP289" s="162">
        <v>0</v>
      </c>
      <c r="AQ289" s="162">
        <v>0</v>
      </c>
      <c r="AR289" s="710" t="str">
        <v>CPS-31650-00r1.asm</v>
      </c>
      <c r="AV289" s="82" t="str">
        <v>255,127,0</v>
      </c>
      <c r="AW289" s="966">
        <v>-90</v>
      </c>
      <c r="AX289" s="966">
        <v>-82.885119576812528</v>
      </c>
      <c r="AY289" s="966">
        <v>7.114880423187472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35"/>
      <c r="J290" s="939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60"/>
      <c r="M290" s="961"/>
      <c r="N290" s="958"/>
      <c r="O290" s="959"/>
      <c r="Q290" s="162" t="str">
        <f t="shared" si="1094"/>
        <v/>
      </c>
      <c r="R290" s="162" t="str">
        <f t="shared" si="1095"/>
        <v/>
      </c>
      <c r="S290" s="162" t="str">
        <f t="shared" si="1096"/>
        <v/>
      </c>
      <c r="T290" s="162" t="str">
        <f t="shared" si="1097"/>
        <v/>
      </c>
      <c r="U290" s="162" t="str">
        <f t="shared" si="1098"/>
        <v/>
      </c>
      <c r="V290" s="162" t="str">
        <f t="shared" si="1099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0"/>
        <v/>
      </c>
      <c r="Y290" s="162"/>
      <c r="Z290" s="931" t="str">
        <f t="shared" si="1101"/>
        <v/>
      </c>
      <c r="AA290" s="82"/>
      <c r="AB290" s="75"/>
      <c r="AC290" s="75"/>
      <c r="AD290" s="166"/>
      <c r="AE290" s="75">
        <v>1.1160000000000001</v>
      </c>
      <c r="AF290" s="82">
        <v>1</v>
      </c>
      <c r="AG290" s="82">
        <v>1</v>
      </c>
      <c r="AH290" s="82">
        <v>2</v>
      </c>
      <c r="AI290" s="82">
        <v>2.0000000000254659</v>
      </c>
      <c r="AJ290" s="166">
        <v>1.1162200000000002</v>
      </c>
      <c r="AK290" s="82">
        <v>1.1161200000000002</v>
      </c>
      <c r="AL290" s="162">
        <v>0</v>
      </c>
      <c r="AM290" s="162">
        <v>0</v>
      </c>
      <c r="AN290" s="162">
        <v>0</v>
      </c>
      <c r="AO290" s="162">
        <v>3.4467758997179345</v>
      </c>
      <c r="AP290" s="162">
        <v>0</v>
      </c>
      <c r="AQ290" s="162">
        <v>0</v>
      </c>
      <c r="AR290" s="710" t="str">
        <v>CPS-32425r1.par</v>
      </c>
      <c r="AV290" s="82" t="str">
        <v>255,127,0</v>
      </c>
      <c r="AW290" s="966">
        <v>-78.53</v>
      </c>
      <c r="AX290" s="966">
        <v>-75.083224100282067</v>
      </c>
      <c r="AY290" s="966">
        <v>3.4467758997179345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35"/>
      <c r="J291" s="939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60"/>
      <c r="M291" s="961"/>
      <c r="N291" s="958"/>
      <c r="O291" s="959"/>
      <c r="Q291" s="162" t="str">
        <f t="shared" si="1094"/>
        <v/>
      </c>
      <c r="R291" s="162" t="str">
        <f t="shared" si="1095"/>
        <v/>
      </c>
      <c r="S291" s="162" t="str">
        <f t="shared" si="1096"/>
        <v/>
      </c>
      <c r="T291" s="162" t="str">
        <f t="shared" si="1097"/>
        <v/>
      </c>
      <c r="U291" s="162" t="str">
        <f t="shared" si="1098"/>
        <v/>
      </c>
      <c r="V291" s="162" t="str">
        <f t="shared" si="1099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0"/>
        <v/>
      </c>
      <c r="Y291" s="162"/>
      <c r="Z291" s="931" t="str">
        <f t="shared" si="1101"/>
        <v/>
      </c>
      <c r="AA291" s="82"/>
      <c r="AB291" s="75"/>
      <c r="AC291" s="75"/>
      <c r="AD291" s="166"/>
      <c r="AE291" s="75">
        <v>1.113</v>
      </c>
      <c r="AF291" s="82">
        <v>1</v>
      </c>
      <c r="AG291" s="82">
        <v>1</v>
      </c>
      <c r="AH291" s="82">
        <v>2</v>
      </c>
      <c r="AI291" s="82">
        <v>2.000000000007276</v>
      </c>
      <c r="AJ291" s="166">
        <v>1.1132200000000001</v>
      </c>
      <c r="AK291" s="82">
        <v>1.1131200000000001</v>
      </c>
      <c r="AL291" s="162">
        <v>0</v>
      </c>
      <c r="AM291" s="162">
        <v>0</v>
      </c>
      <c r="AN291" s="162">
        <v>0</v>
      </c>
      <c r="AO291" s="162">
        <v>-8.5390609582298538</v>
      </c>
      <c r="AP291" s="162">
        <v>0</v>
      </c>
      <c r="AQ291" s="162">
        <v>0</v>
      </c>
      <c r="AR291" s="710" t="str">
        <v>CPS-31654-00(.020)r1.asm</v>
      </c>
      <c r="AV291" s="82" t="str">
        <v>255,127,0</v>
      </c>
      <c r="AW291" s="966">
        <v>-45.319999999999993</v>
      </c>
      <c r="AX291" s="966">
        <v>-53.859060958229847</v>
      </c>
      <c r="AY291" s="966">
        <v>-8.5390609582298538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35"/>
      <c r="J292" s="939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60"/>
      <c r="M292" s="961"/>
      <c r="N292" s="958"/>
      <c r="O292" s="959"/>
      <c r="Q292" s="162" t="str">
        <f t="shared" ref="Q292:Q305" si="1102">IFERROR(INDEX(B$164:B$305,MATCH($Y292,$J$164:$J$305,0)),"")</f>
        <v/>
      </c>
      <c r="R292" s="162" t="str">
        <f t="shared" ref="R292:R305" si="1103">IFERROR(INDEX(C$164:C$305,MATCH($Y292,$J$164:$J$305,0)),"")</f>
        <v/>
      </c>
      <c r="S292" s="162" t="str">
        <f t="shared" ref="S292:S305" si="1104">IFERROR(INDEX(D$164:D$305,MATCH($Y292,$J$164:$J$305,0)),"")</f>
        <v/>
      </c>
      <c r="T292" s="162" t="str">
        <f t="shared" ref="T292:T305" si="1105">IFERROR(IF($N292="Y",-1*INDEX(E$164:E$305,MATCH($Y292,$J$164:$J$305,0)),INDEX(E$164:E$305,MATCH($Y292,$J$164:$J$305,0))),"")</f>
        <v/>
      </c>
      <c r="U292" s="162" t="str">
        <f t="shared" ref="U292:U305" si="1106">IFERROR(IF($N292="Y",-1*INDEX(F$164:F$305,MATCH($Y292,$J$164:$J$305,0)),INDEX(F$164:F$305,MATCH($Y292,$J$164:$J$305,0))),"")</f>
        <v/>
      </c>
      <c r="V292" s="162" t="str">
        <f t="shared" ref="V292:V305" si="1107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8">IFERROR(INDEX(I$164:I$305,MATCH($Y292,$J$164:$J$305,0)),"")</f>
        <v/>
      </c>
      <c r="Y292" s="162"/>
      <c r="Z292" s="931" t="str">
        <f t="shared" ref="Z292:Z305" si="1109">IFERROR(INDEX(K$164:K$305,MATCH($Y292,$J$164:$J$305,0)),"")</f>
        <v/>
      </c>
      <c r="AA292" s="82"/>
      <c r="AB292" s="75"/>
      <c r="AC292" s="75"/>
      <c r="AD292" s="166"/>
      <c r="AE292" s="75">
        <v>1.1100000000000001</v>
      </c>
      <c r="AF292" s="82">
        <v>1</v>
      </c>
      <c r="AG292" s="82">
        <v>1</v>
      </c>
      <c r="AH292" s="82">
        <v>2</v>
      </c>
      <c r="AI292" s="82">
        <v>2.0000000000254659</v>
      </c>
      <c r="AJ292" s="166">
        <v>1.1102200000000002</v>
      </c>
      <c r="AK292" s="82">
        <v>1.1101200000000002</v>
      </c>
      <c r="AL292" s="162">
        <v>0</v>
      </c>
      <c r="AM292" s="162">
        <v>0</v>
      </c>
      <c r="AN292" s="162">
        <v>0</v>
      </c>
      <c r="AO292" s="162">
        <v>-12.819475319260988</v>
      </c>
      <c r="AP292" s="162">
        <v>0</v>
      </c>
      <c r="AQ292" s="162">
        <v>0</v>
      </c>
      <c r="AR292" s="710" t="str">
        <v>CPS-32425r1.par</v>
      </c>
      <c r="AV292" s="82" t="str">
        <v>255,127,0</v>
      </c>
      <c r="AW292" s="966">
        <v>-11.469999999999999</v>
      </c>
      <c r="AX292" s="966">
        <v>-24.289475319260987</v>
      </c>
      <c r="AY292" s="966">
        <v>-12.819475319260988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35"/>
      <c r="J293" s="939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60"/>
      <c r="M293" s="961"/>
      <c r="N293" s="958"/>
      <c r="O293" s="959"/>
      <c r="Q293" s="162" t="str">
        <f t="shared" si="1102"/>
        <v/>
      </c>
      <c r="R293" s="162" t="str">
        <f t="shared" si="1103"/>
        <v/>
      </c>
      <c r="S293" s="162" t="str">
        <f t="shared" si="1104"/>
        <v/>
      </c>
      <c r="T293" s="162" t="str">
        <f t="shared" si="1105"/>
        <v/>
      </c>
      <c r="U293" s="162" t="str">
        <f t="shared" si="1106"/>
        <v/>
      </c>
      <c r="V293" s="162" t="str">
        <f t="shared" si="1107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8"/>
        <v/>
      </c>
      <c r="Y293" s="162"/>
      <c r="Z293" s="931" t="str">
        <f t="shared" si="1109"/>
        <v/>
      </c>
      <c r="AA293" s="82"/>
      <c r="AB293" s="75"/>
      <c r="AC293" s="75"/>
      <c r="AD293" s="166"/>
      <c r="AE293" s="75">
        <v>1.107</v>
      </c>
      <c r="AF293" s="82">
        <v>1</v>
      </c>
      <c r="AG293" s="82">
        <v>1</v>
      </c>
      <c r="AH293" s="82">
        <v>2</v>
      </c>
      <c r="AI293" s="82">
        <v>2.000000000007276</v>
      </c>
      <c r="AJ293" s="166">
        <v>1.1072200000000001</v>
      </c>
      <c r="AK293" s="82">
        <v>1.1071200000000001</v>
      </c>
      <c r="AL293" s="162">
        <v>0</v>
      </c>
      <c r="AM293" s="162">
        <v>0</v>
      </c>
      <c r="AN293" s="162">
        <v>0</v>
      </c>
      <c r="AO293" s="162">
        <v>-18.497064912911554</v>
      </c>
      <c r="AP293" s="162">
        <v>0</v>
      </c>
      <c r="AQ293" s="162">
        <v>0</v>
      </c>
      <c r="AR293" s="710" t="str">
        <v>CPS-31654-00(.020)r1.asm</v>
      </c>
      <c r="AV293" s="82" t="str">
        <v>255,127,0</v>
      </c>
      <c r="AW293" s="966">
        <v>15</v>
      </c>
      <c r="AX293" s="966">
        <v>-3.4970649129115547</v>
      </c>
      <c r="AY293" s="966">
        <v>-18.497064912911554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35"/>
      <c r="J294" s="939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60"/>
      <c r="M294" s="961"/>
      <c r="N294" s="958"/>
      <c r="O294" s="959"/>
      <c r="Q294" s="162" t="str">
        <f t="shared" si="1102"/>
        <v/>
      </c>
      <c r="R294" s="162" t="str">
        <f t="shared" si="1103"/>
        <v/>
      </c>
      <c r="S294" s="162" t="str">
        <f t="shared" si="1104"/>
        <v/>
      </c>
      <c r="T294" s="162" t="str">
        <f t="shared" si="1105"/>
        <v/>
      </c>
      <c r="U294" s="162" t="str">
        <f t="shared" si="1106"/>
        <v/>
      </c>
      <c r="V294" s="162" t="str">
        <f t="shared" si="1107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8"/>
        <v/>
      </c>
      <c r="Y294" s="162"/>
      <c r="Z294" s="931" t="str">
        <f t="shared" si="1109"/>
        <v/>
      </c>
      <c r="AA294" s="82"/>
      <c r="AB294" s="75"/>
      <c r="AC294" s="75"/>
      <c r="AD294" s="166"/>
      <c r="AE294" s="75">
        <v>1.1040000000000001</v>
      </c>
      <c r="AF294" s="82">
        <v>1</v>
      </c>
      <c r="AG294" s="82">
        <v>1</v>
      </c>
      <c r="AH294" s="82">
        <v>2</v>
      </c>
      <c r="AI294" s="82">
        <v>2.0000000000254659</v>
      </c>
      <c r="AJ294" s="166">
        <v>1.1042200000000002</v>
      </c>
      <c r="AK294" s="82">
        <v>1.1041200000000002</v>
      </c>
      <c r="AL294" s="162">
        <v>0</v>
      </c>
      <c r="AM294" s="162">
        <v>0</v>
      </c>
      <c r="AN294" s="162">
        <v>0</v>
      </c>
      <c r="AO294" s="162">
        <v>-21.037121985193423</v>
      </c>
      <c r="AP294" s="162">
        <v>0</v>
      </c>
      <c r="AQ294" s="162">
        <v>0</v>
      </c>
      <c r="AR294" s="710" t="str">
        <v>1613 Ripper.par</v>
      </c>
      <c r="AV294" s="82" t="str">
        <v>255,127,0</v>
      </c>
      <c r="AW294" s="966">
        <v>15</v>
      </c>
      <c r="AX294" s="966">
        <v>-6.0371219851934219</v>
      </c>
      <c r="AY294" s="966">
        <v>-21.037121985193423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35"/>
      <c r="J295" s="939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60"/>
      <c r="M295" s="961"/>
      <c r="N295" s="958"/>
      <c r="O295" s="959"/>
      <c r="Q295" s="162" t="str">
        <f t="shared" si="1102"/>
        <v/>
      </c>
      <c r="R295" s="162" t="str">
        <f t="shared" si="1103"/>
        <v/>
      </c>
      <c r="S295" s="162" t="str">
        <f t="shared" si="1104"/>
        <v/>
      </c>
      <c r="T295" s="162" t="str">
        <f t="shared" si="1105"/>
        <v/>
      </c>
      <c r="U295" s="162" t="str">
        <f t="shared" si="1106"/>
        <v/>
      </c>
      <c r="V295" s="162" t="str">
        <f t="shared" si="1107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8"/>
        <v/>
      </c>
      <c r="Y295" s="162"/>
      <c r="Z295" s="931" t="str">
        <f t="shared" si="1109"/>
        <v/>
      </c>
      <c r="AA295" s="82"/>
      <c r="AB295" s="75"/>
      <c r="AC295" s="75"/>
      <c r="AD295" s="166"/>
      <c r="AE295" s="75">
        <v>1.101</v>
      </c>
      <c r="AF295" s="82">
        <v>1</v>
      </c>
      <c r="AG295" s="82">
        <v>1</v>
      </c>
      <c r="AH295" s="82">
        <v>2</v>
      </c>
      <c r="AI295" s="82">
        <v>2.000000000007276</v>
      </c>
      <c r="AJ295" s="166">
        <v>1.1012200000000001</v>
      </c>
      <c r="AK295" s="82">
        <v>1.1011200000000001</v>
      </c>
      <c r="AL295" s="162">
        <v>0</v>
      </c>
      <c r="AM295" s="162">
        <v>0</v>
      </c>
      <c r="AN295" s="162">
        <v>0</v>
      </c>
      <c r="AO295" s="162">
        <v>-29.15496962616082</v>
      </c>
      <c r="AP295" s="162">
        <v>0</v>
      </c>
      <c r="AQ295" s="162">
        <v>0</v>
      </c>
      <c r="AR295" s="710" t="str">
        <v>CPS-31650-00r1.asm</v>
      </c>
      <c r="AV295" s="82" t="str">
        <v>255,127,0</v>
      </c>
      <c r="AW295" s="966">
        <v>15</v>
      </c>
      <c r="AX295" s="966">
        <v>-14.154969626160819</v>
      </c>
      <c r="AY295" s="966">
        <v>-29.15496962616082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35"/>
      <c r="J296" s="939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60"/>
      <c r="M296" s="961"/>
      <c r="N296" s="958"/>
      <c r="O296" s="959"/>
      <c r="Q296" s="162" t="str">
        <f t="shared" si="1102"/>
        <v/>
      </c>
      <c r="R296" s="162" t="str">
        <f t="shared" si="1103"/>
        <v/>
      </c>
      <c r="S296" s="162" t="str">
        <f t="shared" si="1104"/>
        <v/>
      </c>
      <c r="T296" s="162" t="str">
        <f t="shared" si="1105"/>
        <v/>
      </c>
      <c r="U296" s="162" t="str">
        <f t="shared" si="1106"/>
        <v/>
      </c>
      <c r="V296" s="162" t="str">
        <f t="shared" si="1107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8"/>
        <v/>
      </c>
      <c r="Y296" s="162"/>
      <c r="Z296" s="931" t="str">
        <f t="shared" si="1109"/>
        <v/>
      </c>
      <c r="AA296" s="82"/>
      <c r="AB296" s="75"/>
      <c r="AC296" s="75"/>
      <c r="AD296" s="166"/>
      <c r="AE296" s="75">
        <v>6.1180000000000003</v>
      </c>
      <c r="AF296" s="82">
        <v>6</v>
      </c>
      <c r="AG296" s="82">
        <v>1</v>
      </c>
      <c r="AH296" s="82">
        <v>1</v>
      </c>
      <c r="AI296" s="82">
        <v>3.0000000001018634</v>
      </c>
      <c r="AJ296" s="166">
        <v>6.1181300000000007</v>
      </c>
      <c r="AK296" s="82" t="str">
        <v>Model Space</v>
      </c>
      <c r="AL296" s="162">
        <v>-2.65625</v>
      </c>
      <c r="AM296" s="162">
        <v>-3.764890060112914</v>
      </c>
      <c r="AN296" s="162">
        <v>-1.9199506658964949</v>
      </c>
      <c r="AO296" s="162">
        <v>-82.885234373821604</v>
      </c>
      <c r="AP296" s="162">
        <v>29.815366732757649</v>
      </c>
      <c r="AQ296" s="162">
        <v>0</v>
      </c>
      <c r="AR296" s="710" t="str">
        <v>CPS-31650-00r1.asm</v>
      </c>
      <c r="AV296" s="82" t="str">
        <v>127,0,255</v>
      </c>
      <c r="AW296" s="966">
        <v>-90</v>
      </c>
      <c r="AX296" s="966">
        <v>-82.885234373821604</v>
      </c>
      <c r="AY296" s="966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35"/>
      <c r="J297" s="939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60"/>
      <c r="M297" s="961"/>
      <c r="N297" s="958"/>
      <c r="O297" s="959"/>
      <c r="Q297" s="162" t="str">
        <f t="shared" si="1102"/>
        <v/>
      </c>
      <c r="R297" s="162" t="str">
        <f t="shared" si="1103"/>
        <v/>
      </c>
      <c r="S297" s="162" t="str">
        <f t="shared" si="1104"/>
        <v/>
      </c>
      <c r="T297" s="162" t="str">
        <f t="shared" si="1105"/>
        <v/>
      </c>
      <c r="U297" s="162" t="str">
        <f t="shared" si="1106"/>
        <v/>
      </c>
      <c r="V297" s="162" t="str">
        <f t="shared" si="1107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8"/>
        <v/>
      </c>
      <c r="Y297" s="162"/>
      <c r="Z297" s="931" t="str">
        <f t="shared" si="1109"/>
        <v/>
      </c>
      <c r="AA297" s="82"/>
      <c r="AB297" s="75"/>
      <c r="AC297" s="75"/>
      <c r="AD297" s="166"/>
      <c r="AE297" s="75">
        <v>6.1150000000000002</v>
      </c>
      <c r="AF297" s="82">
        <v>6</v>
      </c>
      <c r="AG297" s="82">
        <v>1</v>
      </c>
      <c r="AH297" s="82">
        <v>1</v>
      </c>
      <c r="AI297" s="82">
        <v>3.0000000000291038</v>
      </c>
      <c r="AJ297" s="166">
        <v>6.1151300000000006</v>
      </c>
      <c r="AK297" s="82" t="str">
        <v>Model Space</v>
      </c>
      <c r="AL297" s="162">
        <v>-2.65625</v>
      </c>
      <c r="AM297" s="162">
        <v>-3.5254923686512205</v>
      </c>
      <c r="AN297" s="162">
        <v>-1.2486690360915049</v>
      </c>
      <c r="AO297" s="162">
        <v>-66.2714608329415</v>
      </c>
      <c r="AP297" s="162">
        <v>20.591551472358034</v>
      </c>
      <c r="AQ297" s="162">
        <v>0</v>
      </c>
      <c r="AR297" s="710" t="str">
        <v>CPS-31654-00(.020)r1.asm</v>
      </c>
      <c r="AV297" s="82" t="str">
        <v>127,0,255</v>
      </c>
      <c r="AW297" s="966">
        <v>-67.47999999999999</v>
      </c>
      <c r="AX297" s="966">
        <v>-66.2714608329415</v>
      </c>
      <c r="AY297" s="966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35"/>
      <c r="J298" s="939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60"/>
      <c r="M298" s="961"/>
      <c r="N298" s="958"/>
      <c r="O298" s="959"/>
      <c r="Q298" s="162" t="str">
        <f t="shared" si="1102"/>
        <v/>
      </c>
      <c r="R298" s="162" t="str">
        <f t="shared" si="1103"/>
        <v/>
      </c>
      <c r="S298" s="162" t="str">
        <f t="shared" si="1104"/>
        <v/>
      </c>
      <c r="T298" s="162" t="str">
        <f t="shared" si="1105"/>
        <v/>
      </c>
      <c r="U298" s="162" t="str">
        <f t="shared" si="1106"/>
        <v/>
      </c>
      <c r="V298" s="162" t="str">
        <f t="shared" si="1107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8"/>
        <v/>
      </c>
      <c r="Y298" s="162"/>
      <c r="Z298" s="931" t="str">
        <f t="shared" si="1109"/>
        <v/>
      </c>
      <c r="AA298" s="82"/>
      <c r="AB298" s="75"/>
      <c r="AC298" s="75"/>
      <c r="AD298" s="166"/>
      <c r="AE298" s="75">
        <v>6.1120000000000001</v>
      </c>
      <c r="AF298" s="82">
        <v>6</v>
      </c>
      <c r="AG298" s="82">
        <v>1</v>
      </c>
      <c r="AH298" s="82">
        <v>1</v>
      </c>
      <c r="AI298" s="82">
        <v>3.0000000000291038</v>
      </c>
      <c r="AJ298" s="166">
        <v>6.1121300000000005</v>
      </c>
      <c r="AK298" s="82" t="str">
        <v>Model Space</v>
      </c>
      <c r="AL298" s="162">
        <v>-2.65625</v>
      </c>
      <c r="AM298" s="162">
        <v>-3.034372922278215</v>
      </c>
      <c r="AN298" s="162">
        <v>-0.65716492346922162</v>
      </c>
      <c r="AO298" s="162">
        <v>-45.079118877652334</v>
      </c>
      <c r="AP298" s="162">
        <v>15.955967967082886</v>
      </c>
      <c r="AQ298" s="162">
        <v>0</v>
      </c>
      <c r="AR298" s="710" t="str">
        <v>CPS-31654-00(.020)r1.asm</v>
      </c>
      <c r="AV298" s="82" t="str">
        <v>127,0,255</v>
      </c>
      <c r="AW298" s="966">
        <v>-34.049999999999997</v>
      </c>
      <c r="AX298" s="966">
        <v>-45.079118877652334</v>
      </c>
      <c r="AY298" s="966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35"/>
      <c r="J299" s="939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60"/>
      <c r="M299" s="961"/>
      <c r="N299" s="958"/>
      <c r="O299" s="959"/>
      <c r="Q299" s="162" t="str">
        <f t="shared" si="1102"/>
        <v/>
      </c>
      <c r="R299" s="162" t="str">
        <f t="shared" si="1103"/>
        <v/>
      </c>
      <c r="S299" s="162" t="str">
        <f t="shared" si="1104"/>
        <v/>
      </c>
      <c r="T299" s="162" t="str">
        <f t="shared" si="1105"/>
        <v/>
      </c>
      <c r="U299" s="162" t="str">
        <f t="shared" si="1106"/>
        <v/>
      </c>
      <c r="V299" s="162" t="str">
        <f t="shared" si="1107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8"/>
        <v/>
      </c>
      <c r="Y299" s="162"/>
      <c r="Z299" s="931" t="str">
        <f t="shared" si="1109"/>
        <v/>
      </c>
      <c r="AA299" s="82"/>
      <c r="AB299" s="75"/>
      <c r="AC299" s="75"/>
      <c r="AD299" s="166"/>
      <c r="AE299" s="75">
        <v>6.109</v>
      </c>
      <c r="AF299" s="82">
        <v>6</v>
      </c>
      <c r="AG299" s="82">
        <v>1</v>
      </c>
      <c r="AH299" s="82">
        <v>1</v>
      </c>
      <c r="AI299" s="82">
        <v>3.0000000000291038</v>
      </c>
      <c r="AJ299" s="166">
        <v>6.1091300000000004</v>
      </c>
      <c r="AK299" s="82" t="str">
        <v>Model Space</v>
      </c>
      <c r="AL299" s="162">
        <v>-2.65625</v>
      </c>
      <c r="AM299" s="162">
        <v>-2.2943562371825985</v>
      </c>
      <c r="AN299" s="162">
        <v>-0.42900111249122796</v>
      </c>
      <c r="AO299" s="162">
        <v>-13.927402596117105</v>
      </c>
      <c r="AP299" s="162">
        <v>15.442472381298492</v>
      </c>
      <c r="AQ299" s="162">
        <v>0</v>
      </c>
      <c r="AR299" s="710" t="str">
        <v>CPS-31654-00(.020)r1.asm</v>
      </c>
      <c r="AV299" s="82" t="str">
        <v>127,0,255</v>
      </c>
      <c r="AW299" s="966">
        <v>-0.29000000000000625</v>
      </c>
      <c r="AX299" s="966">
        <v>-13.927402596117105</v>
      </c>
      <c r="AY299" s="966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35"/>
      <c r="J300" s="939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60"/>
      <c r="M300" s="961"/>
      <c r="N300" s="958"/>
      <c r="O300" s="959"/>
      <c r="Q300" s="162" t="str">
        <f t="shared" si="1102"/>
        <v/>
      </c>
      <c r="R300" s="162" t="str">
        <f t="shared" si="1103"/>
        <v/>
      </c>
      <c r="S300" s="162" t="str">
        <f t="shared" si="1104"/>
        <v/>
      </c>
      <c r="T300" s="162" t="str">
        <f t="shared" si="1105"/>
        <v/>
      </c>
      <c r="U300" s="162" t="str">
        <f t="shared" si="1106"/>
        <v/>
      </c>
      <c r="V300" s="162" t="str">
        <f t="shared" si="1107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8"/>
        <v/>
      </c>
      <c r="Y300" s="162"/>
      <c r="Z300" s="931" t="str">
        <f t="shared" si="1109"/>
        <v/>
      </c>
      <c r="AA300" s="82"/>
      <c r="AB300" s="75"/>
      <c r="AC300" s="75"/>
      <c r="AD300" s="166"/>
      <c r="AE300" s="75">
        <v>5.12</v>
      </c>
      <c r="AF300" s="82">
        <v>5</v>
      </c>
      <c r="AG300" s="82">
        <v>1</v>
      </c>
      <c r="AH300" s="82">
        <v>1</v>
      </c>
      <c r="AI300" s="82">
        <v>3.0000000000291038</v>
      </c>
      <c r="AJ300" s="166">
        <v>5.1201300000000005</v>
      </c>
      <c r="AK300" s="82" t="str">
        <v>Model Space</v>
      </c>
      <c r="AL300" s="162">
        <v>-2.125</v>
      </c>
      <c r="AM300" s="162">
        <v>-3.7649184273801675</v>
      </c>
      <c r="AN300" s="162">
        <v>-2.4282450229146315</v>
      </c>
      <c r="AO300" s="162">
        <v>-82.88520716961051</v>
      </c>
      <c r="AP300" s="162">
        <v>29.815241834246212</v>
      </c>
      <c r="AQ300" s="162">
        <v>0</v>
      </c>
      <c r="AR300" s="710" t="str">
        <v>CPS-31650-00r1.asm</v>
      </c>
      <c r="AV300" s="82" t="str">
        <v>0,102,204</v>
      </c>
      <c r="AW300" s="966">
        <v>-90</v>
      </c>
      <c r="AX300" s="966">
        <v>-82.88520716961051</v>
      </c>
      <c r="AY300" s="966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35"/>
      <c r="J301" s="939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60"/>
      <c r="M301" s="961"/>
      <c r="N301" s="958"/>
      <c r="O301" s="959"/>
      <c r="Q301" s="162" t="str">
        <f t="shared" si="1102"/>
        <v/>
      </c>
      <c r="R301" s="162" t="str">
        <f t="shared" si="1103"/>
        <v/>
      </c>
      <c r="S301" s="162" t="str">
        <f t="shared" si="1104"/>
        <v/>
      </c>
      <c r="T301" s="162" t="str">
        <f t="shared" si="1105"/>
        <v/>
      </c>
      <c r="U301" s="162" t="str">
        <f t="shared" si="1106"/>
        <v/>
      </c>
      <c r="V301" s="162" t="str">
        <f t="shared" si="1107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8"/>
        <v/>
      </c>
      <c r="Y301" s="162"/>
      <c r="Z301" s="931" t="str">
        <f t="shared" si="1109"/>
        <v/>
      </c>
      <c r="AA301" s="82"/>
      <c r="AB301" s="75"/>
      <c r="AC301" s="75"/>
      <c r="AD301" s="166"/>
      <c r="AE301" s="75">
        <v>5.117</v>
      </c>
      <c r="AF301" s="82">
        <v>5</v>
      </c>
      <c r="AG301" s="82">
        <v>1</v>
      </c>
      <c r="AH301" s="82">
        <v>1</v>
      </c>
      <c r="AI301" s="82">
        <v>3.0000000000291038</v>
      </c>
      <c r="AJ301" s="166">
        <v>5.1171300000000004</v>
      </c>
      <c r="AK301" s="82" t="str">
        <v>Model Space</v>
      </c>
      <c r="AL301" s="162">
        <v>-2.125</v>
      </c>
      <c r="AM301" s="162">
        <v>-3.6339402588383254</v>
      </c>
      <c r="AN301" s="162">
        <v>-1.770448831573691</v>
      </c>
      <c r="AO301" s="162">
        <v>-82.882200500805865</v>
      </c>
      <c r="AP301" s="162">
        <v>20.519458212808804</v>
      </c>
      <c r="AQ301" s="162">
        <v>0</v>
      </c>
      <c r="AR301" s="710" t="str">
        <v>CPS-31654-00(.020)r1.asm</v>
      </c>
      <c r="AV301" s="82" t="str">
        <v>0,102,204</v>
      </c>
      <c r="AW301" s="966">
        <v>-88.75</v>
      </c>
      <c r="AX301" s="966">
        <v>-82.882200500805865</v>
      </c>
      <c r="AY301" s="966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35"/>
      <c r="J302" s="939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60"/>
      <c r="M302" s="961"/>
      <c r="N302" s="958"/>
      <c r="O302" s="959"/>
      <c r="Q302" s="162" t="str">
        <f t="shared" si="1102"/>
        <v/>
      </c>
      <c r="R302" s="162" t="str">
        <f t="shared" si="1103"/>
        <v/>
      </c>
      <c r="S302" s="162" t="str">
        <f t="shared" si="1104"/>
        <v/>
      </c>
      <c r="T302" s="162" t="str">
        <f t="shared" si="1105"/>
        <v/>
      </c>
      <c r="U302" s="162" t="str">
        <f t="shared" si="1106"/>
        <v/>
      </c>
      <c r="V302" s="162" t="str">
        <f t="shared" si="1107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8"/>
        <v/>
      </c>
      <c r="Y302" s="162"/>
      <c r="Z302" s="931" t="str">
        <f t="shared" si="1109"/>
        <v/>
      </c>
      <c r="AA302" s="82"/>
      <c r="AB302" s="75"/>
      <c r="AC302" s="75"/>
      <c r="AD302" s="166"/>
      <c r="AE302" s="75">
        <v>5.1139999999999999</v>
      </c>
      <c r="AF302" s="82">
        <v>5</v>
      </c>
      <c r="AG302" s="82">
        <v>1</v>
      </c>
      <c r="AH302" s="82">
        <v>1</v>
      </c>
      <c r="AI302" s="82">
        <v>3.0000000000291038</v>
      </c>
      <c r="AJ302" s="166">
        <v>5.1141300000000003</v>
      </c>
      <c r="AK302" s="82" t="str">
        <v>Model Space</v>
      </c>
      <c r="AL302" s="162">
        <v>-2.125</v>
      </c>
      <c r="AM302" s="162">
        <v>-3.4017220332357283</v>
      </c>
      <c r="AN302" s="162">
        <v>-1.0603918908579191</v>
      </c>
      <c r="AO302" s="162">
        <v>-63.345215750387418</v>
      </c>
      <c r="AP302" s="162">
        <v>16.038781128165919</v>
      </c>
      <c r="AQ302" s="162">
        <v>0</v>
      </c>
      <c r="AR302" s="710" t="str">
        <v>CPS-32425r1.par</v>
      </c>
      <c r="AV302" s="82" t="str">
        <v>0,102,204</v>
      </c>
      <c r="AW302" s="966">
        <v>-56.419999999999987</v>
      </c>
      <c r="AX302" s="966">
        <v>-63.345215750387418</v>
      </c>
      <c r="AY302" s="966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35"/>
      <c r="J303" s="939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60"/>
      <c r="M303" s="961"/>
      <c r="N303" s="958"/>
      <c r="O303" s="959"/>
      <c r="Q303" s="162" t="str">
        <f t="shared" si="1102"/>
        <v/>
      </c>
      <c r="R303" s="162" t="str">
        <f t="shared" si="1103"/>
        <v/>
      </c>
      <c r="S303" s="162" t="str">
        <f t="shared" si="1104"/>
        <v/>
      </c>
      <c r="T303" s="162" t="str">
        <f t="shared" si="1105"/>
        <v/>
      </c>
      <c r="U303" s="162" t="str">
        <f t="shared" si="1106"/>
        <v/>
      </c>
      <c r="V303" s="162" t="str">
        <f t="shared" si="1107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8"/>
        <v/>
      </c>
      <c r="Y303" s="162"/>
      <c r="Z303" s="931" t="str">
        <f t="shared" si="1109"/>
        <v/>
      </c>
      <c r="AA303" s="82"/>
      <c r="AB303" s="75"/>
      <c r="AC303" s="75"/>
      <c r="AD303" s="166"/>
      <c r="AE303" s="75">
        <v>5.1109999999999998</v>
      </c>
      <c r="AF303" s="82">
        <v>5</v>
      </c>
      <c r="AG303" s="82">
        <v>1</v>
      </c>
      <c r="AH303" s="82">
        <v>1</v>
      </c>
      <c r="AI303" s="82">
        <v>3.0000000000291038</v>
      </c>
      <c r="AJ303" s="166">
        <v>5.1111300000000002</v>
      </c>
      <c r="AK303" s="82" t="str">
        <v>Model Space</v>
      </c>
      <c r="AL303" s="162">
        <v>-2.125</v>
      </c>
      <c r="AM303" s="162">
        <v>-2.8032563903699872</v>
      </c>
      <c r="AN303" s="162">
        <v>-0.57147563722958739</v>
      </c>
      <c r="AO303" s="162">
        <v>-34.205056903293389</v>
      </c>
      <c r="AP303" s="162">
        <v>15.850091478411285</v>
      </c>
      <c r="AQ303" s="162">
        <v>0</v>
      </c>
      <c r="AR303" s="710" t="str">
        <v>CPS-31654-00(.020)r1.asm</v>
      </c>
      <c r="AV303" s="82" t="str">
        <v>0,102,204</v>
      </c>
      <c r="AW303" s="966">
        <v>-22.760000000000005</v>
      </c>
      <c r="AX303" s="966">
        <v>-34.205056903293389</v>
      </c>
      <c r="AY303" s="966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35"/>
      <c r="J304" s="939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60"/>
      <c r="M304" s="961"/>
      <c r="N304" s="958"/>
      <c r="O304" s="959"/>
      <c r="Q304" s="162" t="str">
        <f t="shared" si="1102"/>
        <v/>
      </c>
      <c r="R304" s="162" t="str">
        <f t="shared" si="1103"/>
        <v/>
      </c>
      <c r="S304" s="162" t="str">
        <f t="shared" si="1104"/>
        <v/>
      </c>
      <c r="T304" s="162" t="str">
        <f t="shared" si="1105"/>
        <v/>
      </c>
      <c r="U304" s="162" t="str">
        <f t="shared" si="1106"/>
        <v/>
      </c>
      <c r="V304" s="162" t="str">
        <f t="shared" si="1107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8"/>
        <v/>
      </c>
      <c r="Y304" s="162"/>
      <c r="Z304" s="931" t="str">
        <f t="shared" si="1109"/>
        <v/>
      </c>
      <c r="AA304" s="82"/>
      <c r="AB304" s="75"/>
      <c r="AC304" s="75"/>
      <c r="AD304" s="166"/>
      <c r="AE304" s="75">
        <v>5.1079999999999997</v>
      </c>
      <c r="AF304" s="82">
        <v>5</v>
      </c>
      <c r="AG304" s="82">
        <v>1</v>
      </c>
      <c r="AH304" s="82">
        <v>1</v>
      </c>
      <c r="AI304" s="82">
        <v>3.0000000000291038</v>
      </c>
      <c r="AJ304" s="166">
        <v>5.1081300000000001</v>
      </c>
      <c r="AK304" s="82" t="str">
        <v>Model Space</v>
      </c>
      <c r="AL304" s="162">
        <v>-2.125</v>
      </c>
      <c r="AM304" s="162">
        <v>-2.0355661979887705</v>
      </c>
      <c r="AN304" s="162">
        <v>-0.48984655719749759</v>
      </c>
      <c r="AO304" s="162">
        <v>-3.0670934370783089</v>
      </c>
      <c r="AP304" s="162">
        <v>15.022023941711254</v>
      </c>
      <c r="AQ304" s="162">
        <v>0</v>
      </c>
      <c r="AR304" s="710" t="str">
        <v>CPS-32425r1.par</v>
      </c>
      <c r="AV304" s="82" t="str">
        <v>0,102,204</v>
      </c>
      <c r="AW304" s="966">
        <v>10.879999999999995</v>
      </c>
      <c r="AX304" s="966">
        <v>-3.0670934370783089</v>
      </c>
      <c r="AY304" s="966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36"/>
      <c r="J305" s="940"/>
      <c r="K305" s="95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62"/>
      <c r="M305" s="963"/>
      <c r="N305" s="964"/>
      <c r="O305" s="965"/>
      <c r="Q305" s="162" t="str">
        <f t="shared" si="1102"/>
        <v/>
      </c>
      <c r="R305" s="162" t="str">
        <f t="shared" si="1103"/>
        <v/>
      </c>
      <c r="S305" s="162" t="str">
        <f t="shared" si="1104"/>
        <v/>
      </c>
      <c r="T305" s="162" t="str">
        <f t="shared" si="1105"/>
        <v/>
      </c>
      <c r="U305" s="162" t="str">
        <f t="shared" si="1106"/>
        <v/>
      </c>
      <c r="V305" s="162" t="str">
        <f t="shared" si="1107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8"/>
        <v/>
      </c>
      <c r="Y305" s="162"/>
      <c r="Z305" s="931" t="str">
        <f t="shared" si="1109"/>
        <v/>
      </c>
      <c r="AA305" s="82"/>
      <c r="AB305" s="75"/>
      <c r="AC305" s="75"/>
      <c r="AD305" s="166"/>
      <c r="AE305" s="75">
        <v>5.1050000000000004</v>
      </c>
      <c r="AF305" s="82">
        <v>5</v>
      </c>
      <c r="AG305" s="82">
        <v>1</v>
      </c>
      <c r="AH305" s="82">
        <v>1</v>
      </c>
      <c r="AI305" s="82">
        <v>3.0000000001018634</v>
      </c>
      <c r="AJ305" s="166">
        <v>5.1051300000000008</v>
      </c>
      <c r="AK305" s="82" t="str">
        <v>Model Space</v>
      </c>
      <c r="AL305" s="162">
        <v>-2.125</v>
      </c>
      <c r="AM305" s="162">
        <v>-1.2813897088914343</v>
      </c>
      <c r="AN305" s="162">
        <v>-0.68798283650620218</v>
      </c>
      <c r="AO305" s="162">
        <v>-4.8651983532143479</v>
      </c>
      <c r="AP305" s="162">
        <v>15.055521859842429</v>
      </c>
      <c r="AQ305" s="162">
        <v>0</v>
      </c>
      <c r="AR305" s="710" t="str">
        <v>CPS-31654-00(.020)r1.asm</v>
      </c>
      <c r="AV305" s="82" t="str">
        <v>0,102,204</v>
      </c>
      <c r="AW305" s="966">
        <v>15</v>
      </c>
      <c r="AX305" s="966">
        <v>-4.8651983532143479</v>
      </c>
      <c r="AY305" s="966">
        <v>0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5.1020000000000003</v>
      </c>
      <c r="AF306" s="82">
        <v>5</v>
      </c>
      <c r="AG306" s="82">
        <v>1</v>
      </c>
      <c r="AH306" s="82">
        <v>1</v>
      </c>
      <c r="AI306" s="82">
        <v>3.0000000001018634</v>
      </c>
      <c r="AJ306" s="166">
        <v>5.1021300000000007</v>
      </c>
      <c r="AK306" s="82" t="str">
        <v>Model Space</v>
      </c>
      <c r="AL306" s="162">
        <v>-2.125</v>
      </c>
      <c r="AM306" s="162">
        <v>-0.55262970106771236</v>
      </c>
      <c r="AN306" s="162">
        <v>-0.8845804428559354</v>
      </c>
      <c r="AO306" s="162">
        <v>-8.7315899677390298</v>
      </c>
      <c r="AP306" s="162">
        <v>19.231489507648522</v>
      </c>
      <c r="AQ306" s="162">
        <v>0</v>
      </c>
      <c r="AR306" s="710" t="str">
        <v>CPS-31654-00(.020)r1.asm</v>
      </c>
      <c r="AV306" s="82" t="str">
        <v>0,102,204</v>
      </c>
      <c r="AW306" s="966">
        <v>15</v>
      </c>
      <c r="AX306" s="966">
        <v>-8.7315899677390298</v>
      </c>
      <c r="AY306" s="966">
        <v>0</v>
      </c>
    </row>
    <row r="307" spans="2:51" x14ac:dyDescent="0.25">
      <c r="AA307" s="82"/>
      <c r="AB307" s="75"/>
      <c r="AC307" s="75"/>
      <c r="AD307" s="166"/>
      <c r="AE307" s="75">
        <v>4.1189999999999998</v>
      </c>
      <c r="AF307" s="82">
        <v>4</v>
      </c>
      <c r="AG307" s="82">
        <v>1</v>
      </c>
      <c r="AH307" s="82">
        <v>1</v>
      </c>
      <c r="AI307" s="82">
        <v>3.0000000000291038</v>
      </c>
      <c r="AJ307" s="166">
        <v>4.1191300000000002</v>
      </c>
      <c r="AK307" s="82" t="str">
        <v>Model Space</v>
      </c>
      <c r="AL307" s="162">
        <v>-1.59375</v>
      </c>
      <c r="AM307" s="162">
        <v>-3.764862707988168</v>
      </c>
      <c r="AN307" s="162">
        <v>-2.2343114081477173</v>
      </c>
      <c r="AO307" s="162">
        <v>-82.885119576812542</v>
      </c>
      <c r="AP307" s="162">
        <v>29.814839690466808</v>
      </c>
      <c r="AQ307" s="162">
        <v>0</v>
      </c>
      <c r="AR307" s="710" t="str">
        <v>CPS-31650-00r1.asm</v>
      </c>
      <c r="AV307" s="82" t="str">
        <v>0,204,204</v>
      </c>
      <c r="AW307" s="966">
        <v>-90</v>
      </c>
      <c r="AX307" s="966">
        <v>-82.885119576812542</v>
      </c>
      <c r="AY307" s="966">
        <v>0</v>
      </c>
    </row>
    <row r="308" spans="2:51" x14ac:dyDescent="0.25">
      <c r="AA308" s="82"/>
      <c r="AB308" s="75"/>
      <c r="AC308" s="75"/>
      <c r="AD308" s="166"/>
      <c r="AE308" s="75">
        <v>4.1159999999999997</v>
      </c>
      <c r="AF308" s="82">
        <v>4</v>
      </c>
      <c r="AG308" s="82">
        <v>1</v>
      </c>
      <c r="AH308" s="82">
        <v>1</v>
      </c>
      <c r="AI308" s="82">
        <v>3.0000000000291038</v>
      </c>
      <c r="AJ308" s="166">
        <v>4.1161300000000001</v>
      </c>
      <c r="AK308" s="82" t="str">
        <v>Model Space</v>
      </c>
      <c r="AL308" s="162">
        <v>-1.59375</v>
      </c>
      <c r="AM308" s="162">
        <v>-3.6040192688164141</v>
      </c>
      <c r="AN308" s="162">
        <v>-1.5744470063878444</v>
      </c>
      <c r="AO308" s="162">
        <v>-75.083224100282081</v>
      </c>
      <c r="AP308" s="162">
        <v>20.543710441538337</v>
      </c>
      <c r="AQ308" s="162">
        <v>0</v>
      </c>
      <c r="AR308" s="710" t="str">
        <v>CPS-31654-00(.020)r1.asm</v>
      </c>
      <c r="AV308" s="82" t="str">
        <v>0,204,204</v>
      </c>
      <c r="AW308" s="966">
        <v>-78.53</v>
      </c>
      <c r="AX308" s="966">
        <v>-75.083224100282081</v>
      </c>
      <c r="AY308" s="966">
        <v>0</v>
      </c>
    </row>
    <row r="309" spans="2:51" x14ac:dyDescent="0.25">
      <c r="AA309" s="82"/>
      <c r="AB309" s="75"/>
      <c r="AC309" s="75"/>
      <c r="AD309" s="166"/>
      <c r="AE309" s="75">
        <v>4.1130000000000004</v>
      </c>
      <c r="AF309" s="82">
        <v>4</v>
      </c>
      <c r="AG309" s="82">
        <v>1</v>
      </c>
      <c r="AH309" s="82">
        <v>1</v>
      </c>
      <c r="AI309" s="82">
        <v>3.0000000001018634</v>
      </c>
      <c r="AJ309" s="166">
        <v>4.1131300000000008</v>
      </c>
      <c r="AK309" s="82" t="str">
        <v>Model Space</v>
      </c>
      <c r="AL309" s="162">
        <v>-1.59375</v>
      </c>
      <c r="AM309" s="162">
        <v>-3.2370764665049228</v>
      </c>
      <c r="AN309" s="162">
        <v>-0.90322648409639805</v>
      </c>
      <c r="AO309" s="162">
        <v>-53.859060958229826</v>
      </c>
      <c r="AP309" s="162">
        <v>16.015570855073868</v>
      </c>
      <c r="AQ309" s="162">
        <v>0</v>
      </c>
      <c r="AR309" s="710" t="str">
        <v>CPS-31654-00(.020)r1.asm</v>
      </c>
      <c r="AV309" s="82" t="str">
        <v>0,204,204</v>
      </c>
      <c r="AW309" s="966">
        <v>-45.319999999999993</v>
      </c>
      <c r="AX309" s="966">
        <v>-53.859060958229826</v>
      </c>
      <c r="AY309" s="966">
        <v>0</v>
      </c>
    </row>
    <row r="310" spans="2:51" x14ac:dyDescent="0.25">
      <c r="AA310" s="82"/>
      <c r="AB310" s="75"/>
      <c r="AC310" s="75"/>
      <c r="AD310" s="166"/>
      <c r="AE310" s="75">
        <v>4.1100000000000003</v>
      </c>
      <c r="AF310" s="82">
        <v>4</v>
      </c>
      <c r="AG310" s="82">
        <v>1</v>
      </c>
      <c r="AH310" s="82">
        <v>1</v>
      </c>
      <c r="AI310" s="82">
        <v>3.0000000001018634</v>
      </c>
      <c r="AJ310" s="166">
        <v>4.1101300000000007</v>
      </c>
      <c r="AK310" s="82" t="str">
        <v>Model Space</v>
      </c>
      <c r="AL310" s="162">
        <v>-1.59375</v>
      </c>
      <c r="AM310" s="162">
        <v>-2.5526383919388191</v>
      </c>
      <c r="AN310" s="162">
        <v>-0.53606016981131366</v>
      </c>
      <c r="AO310" s="162">
        <v>-24.289475319261033</v>
      </c>
      <c r="AP310" s="162">
        <v>15.677480903393381</v>
      </c>
      <c r="AQ310" s="162">
        <v>0</v>
      </c>
      <c r="AR310" s="710" t="str">
        <v>CPS-31654-00(.020)r1.asm</v>
      </c>
      <c r="AV310" s="82" t="str">
        <v>0,204,204</v>
      </c>
      <c r="AW310" s="966">
        <v>-11.469999999999999</v>
      </c>
      <c r="AX310" s="966">
        <v>-24.289475319261033</v>
      </c>
      <c r="AY310" s="966">
        <v>0</v>
      </c>
    </row>
    <row r="311" spans="2:51" x14ac:dyDescent="0.25">
      <c r="AA311" s="82"/>
      <c r="AB311" s="75"/>
      <c r="AC311" s="75"/>
      <c r="AD311" s="166"/>
      <c r="AE311" s="75">
        <v>3.1179999999999999</v>
      </c>
      <c r="AF311" s="82">
        <v>3</v>
      </c>
      <c r="AG311" s="82">
        <v>1</v>
      </c>
      <c r="AH311" s="82">
        <v>1</v>
      </c>
      <c r="AI311" s="82">
        <v>2.999999999992724</v>
      </c>
      <c r="AJ311" s="166">
        <v>3.1181299999999998</v>
      </c>
      <c r="AK311" s="82" t="str">
        <v>Model Space</v>
      </c>
      <c r="AL311" s="162">
        <v>-1.0625</v>
      </c>
      <c r="AM311" s="162">
        <v>-3.7648373792018002</v>
      </c>
      <c r="AN311" s="162">
        <v>-2.0380056536243814</v>
      </c>
      <c r="AO311" s="162">
        <v>-82.885057651821043</v>
      </c>
      <c r="AP311" s="162">
        <v>29.814555396089474</v>
      </c>
      <c r="AQ311" s="162">
        <v>0</v>
      </c>
      <c r="AR311" s="710" t="str">
        <v>CPS-31650-00r1.asm</v>
      </c>
      <c r="AV311" s="82" t="str">
        <v>0,204,0</v>
      </c>
      <c r="AW311" s="966">
        <v>-90</v>
      </c>
      <c r="AX311" s="966">
        <v>-82.885057651821043</v>
      </c>
      <c r="AY311" s="966">
        <v>0</v>
      </c>
    </row>
    <row r="312" spans="2:51" x14ac:dyDescent="0.25">
      <c r="AA312" s="82"/>
      <c r="AB312" s="75"/>
      <c r="AC312" s="75"/>
      <c r="AD312" s="166"/>
      <c r="AE312" s="75">
        <v>3.1150000000000002</v>
      </c>
      <c r="AF312" s="82">
        <v>3</v>
      </c>
      <c r="AG312" s="82">
        <v>1</v>
      </c>
      <c r="AH312" s="82">
        <v>1</v>
      </c>
      <c r="AI312" s="82">
        <v>3.0000000000291038</v>
      </c>
      <c r="AJ312" s="166">
        <v>3.1151300000000002</v>
      </c>
      <c r="AK312" s="82" t="str">
        <v>Model Space</v>
      </c>
      <c r="AL312" s="162">
        <v>-1.0625</v>
      </c>
      <c r="AM312" s="162">
        <v>-3.5254392595639894</v>
      </c>
      <c r="AN312" s="162">
        <v>-1.3667239900665069</v>
      </c>
      <c r="AO312" s="162">
        <v>-66.270532964921799</v>
      </c>
      <c r="AP312" s="162">
        <v>20.590758432190892</v>
      </c>
      <c r="AQ312" s="162">
        <v>0</v>
      </c>
      <c r="AR312" s="710" t="str">
        <v>CPS-31654-00(.020)r1.asm</v>
      </c>
      <c r="AV312" s="82" t="str">
        <v>0,204,0</v>
      </c>
      <c r="AW312" s="966">
        <v>-67.47999999999999</v>
      </c>
      <c r="AX312" s="966">
        <v>-66.270532964921799</v>
      </c>
      <c r="AY312" s="966">
        <v>0</v>
      </c>
    </row>
    <row r="313" spans="2:51" x14ac:dyDescent="0.25">
      <c r="AA313" s="82"/>
      <c r="AB313" s="75"/>
      <c r="AC313" s="75"/>
      <c r="AD313" s="166"/>
      <c r="AE313" s="75">
        <v>3.1120000000000001</v>
      </c>
      <c r="AF313" s="82">
        <v>3</v>
      </c>
      <c r="AG313" s="82">
        <v>1</v>
      </c>
      <c r="AH313" s="82">
        <v>1</v>
      </c>
      <c r="AI313" s="82">
        <v>2.999999999992724</v>
      </c>
      <c r="AJ313" s="166">
        <v>3.1121300000000001</v>
      </c>
      <c r="AK313" s="82" t="str">
        <v>Model Space</v>
      </c>
      <c r="AL313" s="162">
        <v>-1.0625</v>
      </c>
      <c r="AM313" s="162">
        <v>-3.0343191530778957</v>
      </c>
      <c r="AN313" s="162">
        <v>-0.77521978879977427</v>
      </c>
      <c r="AO313" s="162">
        <v>-45.076664077700258</v>
      </c>
      <c r="AP313" s="162">
        <v>15.955264211158095</v>
      </c>
      <c r="AQ313" s="162">
        <v>0</v>
      </c>
      <c r="AR313" s="710" t="str">
        <v>CPS-32425r1.par</v>
      </c>
      <c r="AV313" s="82" t="str">
        <v>0,204,0</v>
      </c>
      <c r="AW313" s="966">
        <v>-34.049999999999997</v>
      </c>
      <c r="AX313" s="966">
        <v>-45.076664077700258</v>
      </c>
      <c r="AY313" s="966">
        <v>0</v>
      </c>
    </row>
    <row r="314" spans="2:51" x14ac:dyDescent="0.25">
      <c r="AA314" s="82"/>
      <c r="AB314" s="75"/>
      <c r="AC314" s="75"/>
      <c r="AD314" s="166"/>
      <c r="AE314" s="75">
        <v>3.109</v>
      </c>
      <c r="AF314" s="82">
        <v>3</v>
      </c>
      <c r="AG314" s="82">
        <v>1</v>
      </c>
      <c r="AH314" s="82">
        <v>1</v>
      </c>
      <c r="AI314" s="82">
        <v>2.999999999992724</v>
      </c>
      <c r="AJ314" s="166">
        <v>3.1091299999999999</v>
      </c>
      <c r="AK314" s="82" t="str">
        <v>Model Space</v>
      </c>
      <c r="AL314" s="162">
        <v>-1.0625</v>
      </c>
      <c r="AM314" s="162">
        <v>-2.2943016334063637</v>
      </c>
      <c r="AN314" s="162">
        <v>-0.54705577022137508</v>
      </c>
      <c r="AO314" s="162">
        <v>-13.922859963601514</v>
      </c>
      <c r="AP314" s="162">
        <v>15.442161250713331</v>
      </c>
      <c r="AQ314" s="162">
        <v>0</v>
      </c>
      <c r="AR314" s="710" t="str">
        <v>CPS-31654-00(.020)r1.asm</v>
      </c>
      <c r="AV314" s="82" t="str">
        <v>0,204,0</v>
      </c>
      <c r="AW314" s="966">
        <v>-0.29000000000000625</v>
      </c>
      <c r="AX314" s="966">
        <v>-13.922859963601514</v>
      </c>
      <c r="AY314" s="966">
        <v>0</v>
      </c>
    </row>
    <row r="315" spans="2:51" x14ac:dyDescent="0.25">
      <c r="AA315" s="82"/>
      <c r="AB315" s="75"/>
      <c r="AC315" s="75"/>
      <c r="AD315" s="166"/>
      <c r="AE315" s="75">
        <v>3.1059999999999999</v>
      </c>
      <c r="AF315" s="82">
        <v>3</v>
      </c>
      <c r="AG315" s="82">
        <v>1</v>
      </c>
      <c r="AH315" s="82">
        <v>1</v>
      </c>
      <c r="AI315" s="82">
        <v>2.999999999992724</v>
      </c>
      <c r="AJ315" s="166">
        <v>3.1061299999999998</v>
      </c>
      <c r="AK315" s="82" t="str">
        <v>Model Space</v>
      </c>
      <c r="AL315" s="162">
        <v>-1.0625</v>
      </c>
      <c r="AM315" s="162">
        <v>-1.5322521022786939</v>
      </c>
      <c r="AN315" s="162">
        <v>-0.70049421572618042</v>
      </c>
      <c r="AO315" s="162">
        <v>-4.0655829489435709</v>
      </c>
      <c r="AP315" s="162">
        <v>15.038734403614487</v>
      </c>
      <c r="AQ315" s="162">
        <v>0</v>
      </c>
      <c r="AR315" s="710" t="str">
        <v>CPS-32425r1.par</v>
      </c>
      <c r="AV315" s="82" t="str">
        <v>0,204,0</v>
      </c>
      <c r="AW315" s="966">
        <v>15</v>
      </c>
      <c r="AX315" s="966">
        <v>-4.0655829489435709</v>
      </c>
      <c r="AY315" s="966">
        <v>0</v>
      </c>
    </row>
    <row r="316" spans="2:51" x14ac:dyDescent="0.25">
      <c r="AA316" s="82"/>
      <c r="AB316" s="75"/>
      <c r="AC316" s="75"/>
      <c r="AD316" s="166"/>
      <c r="AE316" s="75">
        <v>3.1030000000000002</v>
      </c>
      <c r="AF316" s="82">
        <v>3</v>
      </c>
      <c r="AG316" s="82">
        <v>1</v>
      </c>
      <c r="AH316" s="82">
        <v>1</v>
      </c>
      <c r="AI316" s="82">
        <v>3.0000000000291038</v>
      </c>
      <c r="AJ316" s="166">
        <v>3.1031300000000002</v>
      </c>
      <c r="AK316" s="82" t="str">
        <v>Model Space</v>
      </c>
      <c r="AL316" s="162">
        <v>-1.0625</v>
      </c>
      <c r="AM316" s="162">
        <v>-0.7914123876747724</v>
      </c>
      <c r="AN316" s="162">
        <v>-0.89970385809426101</v>
      </c>
      <c r="AO316" s="162">
        <v>-6.8770281676051894</v>
      </c>
      <c r="AP316" s="162">
        <v>17.126984270285</v>
      </c>
      <c r="AQ316" s="162">
        <v>0</v>
      </c>
      <c r="AR316" s="710" t="str">
        <v>CPS-31654-00(.020)r1.asm</v>
      </c>
      <c r="AV316" s="82" t="str">
        <v>0,204,0</v>
      </c>
      <c r="AW316" s="966">
        <v>15</v>
      </c>
      <c r="AX316" s="966">
        <v>-6.8770281676051894</v>
      </c>
      <c r="AY316" s="966">
        <v>0</v>
      </c>
    </row>
    <row r="317" spans="2:51" x14ac:dyDescent="0.25">
      <c r="AA317" s="82"/>
      <c r="AB317" s="75"/>
      <c r="AC317" s="75"/>
      <c r="AD317" s="166"/>
      <c r="AE317" s="75">
        <v>2.12</v>
      </c>
      <c r="AF317" s="82">
        <v>2</v>
      </c>
      <c r="AG317" s="82">
        <v>1</v>
      </c>
      <c r="AH317" s="82">
        <v>1</v>
      </c>
      <c r="AI317" s="82">
        <v>2.999999999992724</v>
      </c>
      <c r="AJ317" s="166">
        <v>2.1201300000000001</v>
      </c>
      <c r="AK317" s="82" t="str">
        <v>Model Space</v>
      </c>
      <c r="AL317" s="162">
        <v>-0.53125</v>
      </c>
      <c r="AM317" s="162">
        <v>-3.764918427380167</v>
      </c>
      <c r="AN317" s="162">
        <v>-2.5532450229055366</v>
      </c>
      <c r="AO317" s="162">
        <v>-82.88520716961051</v>
      </c>
      <c r="AP317" s="162">
        <v>29.815241834246237</v>
      </c>
      <c r="AQ317" s="162">
        <v>0</v>
      </c>
      <c r="AR317" s="710" t="str">
        <v>CPS-31650-00r1.asm</v>
      </c>
      <c r="AV317" s="82" t="str">
        <v>204,204,0</v>
      </c>
      <c r="AW317" s="966">
        <v>-90</v>
      </c>
      <c r="AX317" s="966">
        <v>-82.88520716961051</v>
      </c>
      <c r="AY317" s="966">
        <v>0</v>
      </c>
    </row>
    <row r="318" spans="2:51" x14ac:dyDescent="0.25">
      <c r="AA318" s="82"/>
      <c r="AB318" s="75"/>
      <c r="AC318" s="75"/>
      <c r="AD318" s="166"/>
      <c r="AE318" s="75">
        <v>2.117</v>
      </c>
      <c r="AF318" s="82">
        <v>2</v>
      </c>
      <c r="AG318" s="82">
        <v>1</v>
      </c>
      <c r="AH318" s="82">
        <v>1</v>
      </c>
      <c r="AI318" s="82">
        <v>2.999999999992724</v>
      </c>
      <c r="AJ318" s="166">
        <v>2.11713</v>
      </c>
      <c r="AK318" s="82" t="str">
        <v>Model Space</v>
      </c>
      <c r="AL318" s="162">
        <v>-0.53125</v>
      </c>
      <c r="AM318" s="162">
        <v>-3.6339402588383267</v>
      </c>
      <c r="AN318" s="162">
        <v>-1.8954488315645965</v>
      </c>
      <c r="AO318" s="162">
        <v>-82.88220050080588</v>
      </c>
      <c r="AP318" s="162">
        <v>20.519458212808715</v>
      </c>
      <c r="AQ318" s="162">
        <v>0</v>
      </c>
      <c r="AR318" s="710" t="str">
        <v>CPS-31654-00(.020)r1.asm</v>
      </c>
      <c r="AV318" s="82" t="str">
        <v>204,204,0</v>
      </c>
      <c r="AW318" s="966">
        <v>-88.75</v>
      </c>
      <c r="AX318" s="966">
        <v>-82.88220050080588</v>
      </c>
      <c r="AY318" s="966">
        <v>0</v>
      </c>
    </row>
    <row r="319" spans="2:51" x14ac:dyDescent="0.25">
      <c r="AA319" s="82"/>
      <c r="AB319" s="75"/>
      <c r="AC319" s="75"/>
      <c r="AD319" s="166"/>
      <c r="AE319" s="75">
        <v>2.1139999999999999</v>
      </c>
      <c r="AF319" s="82">
        <v>2</v>
      </c>
      <c r="AG319" s="82">
        <v>1</v>
      </c>
      <c r="AH319" s="82">
        <v>1</v>
      </c>
      <c r="AI319" s="82">
        <v>2.999999999992724</v>
      </c>
      <c r="AJ319" s="166">
        <v>2.1141299999999998</v>
      </c>
      <c r="AK319" s="82" t="str">
        <v>Model Space</v>
      </c>
      <c r="AL319" s="162">
        <v>-0.53125</v>
      </c>
      <c r="AM319" s="162">
        <v>-3.4017220332357279</v>
      </c>
      <c r="AN319" s="162">
        <v>-1.1853918908488243</v>
      </c>
      <c r="AO319" s="162">
        <v>-63.345215750387375</v>
      </c>
      <c r="AP319" s="162">
        <v>16.038781128165866</v>
      </c>
      <c r="AQ319" s="162">
        <v>0</v>
      </c>
      <c r="AR319" s="710" t="str">
        <v>CPS-31654-00(.020)r1.asm</v>
      </c>
      <c r="AV319" s="82" t="str">
        <v>204,204,0</v>
      </c>
      <c r="AW319" s="966">
        <v>-56.419999999999987</v>
      </c>
      <c r="AX319" s="966">
        <v>-63.345215750387375</v>
      </c>
      <c r="AY319" s="966">
        <v>0</v>
      </c>
    </row>
    <row r="320" spans="2:51" x14ac:dyDescent="0.25">
      <c r="AA320" s="82"/>
      <c r="AB320" s="75"/>
      <c r="AC320" s="75"/>
      <c r="AD320" s="166"/>
      <c r="AE320" s="75">
        <v>2.1110000000000002</v>
      </c>
      <c r="AF320" s="82">
        <v>2</v>
      </c>
      <c r="AG320" s="82">
        <v>1</v>
      </c>
      <c r="AH320" s="82">
        <v>1</v>
      </c>
      <c r="AI320" s="82">
        <v>3.0000000000291038</v>
      </c>
      <c r="AJ320" s="166">
        <v>2.1111300000000002</v>
      </c>
      <c r="AK320" s="82" t="str">
        <v>Model Space</v>
      </c>
      <c r="AL320" s="162">
        <v>-0.53125</v>
      </c>
      <c r="AM320" s="162">
        <v>-2.8032563903699868</v>
      </c>
      <c r="AN320" s="162">
        <v>-0.69647563722958739</v>
      </c>
      <c r="AO320" s="162">
        <v>-34.205056903293304</v>
      </c>
      <c r="AP320" s="162">
        <v>15.850091478411221</v>
      </c>
      <c r="AQ320" s="162">
        <v>0</v>
      </c>
      <c r="AR320" s="710" t="str">
        <v>CPS-31654-00(.020)r1.asm</v>
      </c>
      <c r="AV320" s="82" t="str">
        <v>204,204,0</v>
      </c>
      <c r="AW320" s="966">
        <v>-22.760000000000005</v>
      </c>
      <c r="AX320" s="966">
        <v>-34.205056903293304</v>
      </c>
      <c r="AY320" s="966">
        <v>0</v>
      </c>
    </row>
    <row r="321" spans="27:51" x14ac:dyDescent="0.25">
      <c r="AA321" s="82"/>
      <c r="AB321" s="75"/>
      <c r="AC321" s="75"/>
      <c r="AD321" s="166"/>
      <c r="AE321" s="75">
        <v>2.1080000000000001</v>
      </c>
      <c r="AF321" s="82">
        <v>2</v>
      </c>
      <c r="AG321" s="82">
        <v>1</v>
      </c>
      <c r="AH321" s="82">
        <v>1</v>
      </c>
      <c r="AI321" s="82">
        <v>2.999999999992724</v>
      </c>
      <c r="AJ321" s="166">
        <v>2.1081300000000001</v>
      </c>
      <c r="AK321" s="82" t="str">
        <v>Model Space</v>
      </c>
      <c r="AL321" s="162">
        <v>-0.53125</v>
      </c>
      <c r="AM321" s="162">
        <v>-2.0355661979887705</v>
      </c>
      <c r="AN321" s="162">
        <v>-0.61484655718840264</v>
      </c>
      <c r="AO321" s="162">
        <v>-3.0670934370780145</v>
      </c>
      <c r="AP321" s="162">
        <v>15.022023941711254</v>
      </c>
      <c r="AQ321" s="162">
        <v>0</v>
      </c>
      <c r="AR321" s="710" t="str">
        <v>CPS-31654-00(.020)r1.asm</v>
      </c>
      <c r="AV321" s="82" t="str">
        <v>204,204,0</v>
      </c>
      <c r="AW321" s="966">
        <v>10.879999999999995</v>
      </c>
      <c r="AX321" s="966">
        <v>-3.0670934370780145</v>
      </c>
      <c r="AY321" s="966">
        <v>0</v>
      </c>
    </row>
    <row r="322" spans="27:51" x14ac:dyDescent="0.25">
      <c r="AA322" s="82"/>
      <c r="AB322" s="75"/>
      <c r="AC322" s="75"/>
      <c r="AD322" s="166"/>
      <c r="AE322" s="75">
        <v>1.119</v>
      </c>
      <c r="AF322" s="82">
        <v>1</v>
      </c>
      <c r="AG322" s="82">
        <v>1</v>
      </c>
      <c r="AH322" s="82">
        <v>1</v>
      </c>
      <c r="AI322" s="82">
        <v>2.999999999992724</v>
      </c>
      <c r="AJ322" s="166">
        <v>1.11913</v>
      </c>
      <c r="AK322" s="82" t="str">
        <v>Model Space</v>
      </c>
      <c r="AL322" s="162">
        <v>0</v>
      </c>
      <c r="AM322" s="162">
        <v>-3.764862707988168</v>
      </c>
      <c r="AN322" s="162">
        <v>-2.3593114081386224</v>
      </c>
      <c r="AO322" s="162">
        <v>-82.885119576812528</v>
      </c>
      <c r="AP322" s="162">
        <v>29.814839690466783</v>
      </c>
      <c r="AQ322" s="162">
        <v>0</v>
      </c>
      <c r="AR322" s="710" t="str">
        <v>CPS-31650-00r1.asm</v>
      </c>
      <c r="AV322" s="82" t="str">
        <v>255,127,0</v>
      </c>
      <c r="AW322" s="966">
        <v>-90</v>
      </c>
      <c r="AX322" s="966">
        <v>-82.885119576812528</v>
      </c>
      <c r="AY322" s="966">
        <v>0</v>
      </c>
    </row>
    <row r="323" spans="27:51" x14ac:dyDescent="0.25">
      <c r="AA323" s="82"/>
      <c r="AB323" s="75"/>
      <c r="AC323" s="75"/>
      <c r="AD323" s="166"/>
      <c r="AE323" s="75">
        <v>1.1160000000000001</v>
      </c>
      <c r="AF323" s="82">
        <v>1</v>
      </c>
      <c r="AG323" s="82">
        <v>1</v>
      </c>
      <c r="AH323" s="82">
        <v>1</v>
      </c>
      <c r="AI323" s="82">
        <v>3.0000000000109139</v>
      </c>
      <c r="AJ323" s="166">
        <v>1.1161300000000001</v>
      </c>
      <c r="AK323" s="82" t="str">
        <v>Model Space</v>
      </c>
      <c r="AL323" s="162">
        <v>0</v>
      </c>
      <c r="AM323" s="162">
        <v>-3.6040192688164141</v>
      </c>
      <c r="AN323" s="162">
        <v>-1.6994470063832969</v>
      </c>
      <c r="AO323" s="162">
        <v>-75.083224100282067</v>
      </c>
      <c r="AP323" s="162">
        <v>20.543710441538337</v>
      </c>
      <c r="AQ323" s="162">
        <v>0</v>
      </c>
      <c r="AR323" s="710" t="str">
        <v>CPS-32425r1.par</v>
      </c>
      <c r="AV323" s="82" t="str">
        <v>255,127,0</v>
      </c>
      <c r="AW323" s="966">
        <v>-78.53</v>
      </c>
      <c r="AX323" s="966">
        <v>-75.083224100282067</v>
      </c>
      <c r="AY323" s="966">
        <v>0</v>
      </c>
    </row>
    <row r="324" spans="27:51" x14ac:dyDescent="0.25">
      <c r="AA324" s="82"/>
      <c r="AB324" s="75"/>
      <c r="AC324" s="75"/>
      <c r="AD324" s="166"/>
      <c r="AE324" s="75">
        <v>1.113</v>
      </c>
      <c r="AF324" s="82">
        <v>1</v>
      </c>
      <c r="AG324" s="82">
        <v>1</v>
      </c>
      <c r="AH324" s="82">
        <v>1</v>
      </c>
      <c r="AI324" s="82">
        <v>2.999999999992724</v>
      </c>
      <c r="AJ324" s="166">
        <v>1.11313</v>
      </c>
      <c r="AK324" s="82" t="str">
        <v>Model Space</v>
      </c>
      <c r="AL324" s="162">
        <v>0</v>
      </c>
      <c r="AM324" s="162">
        <v>-3.2370764665049228</v>
      </c>
      <c r="AN324" s="162">
        <v>-1.0282264840691131</v>
      </c>
      <c r="AO324" s="162">
        <v>-53.859060958229847</v>
      </c>
      <c r="AP324" s="162">
        <v>16.015570855073868</v>
      </c>
      <c r="AQ324" s="162">
        <v>0</v>
      </c>
      <c r="AR324" s="710" t="str">
        <v>CPS-31654-00(.020)r1.asm</v>
      </c>
      <c r="AV324" s="82" t="str">
        <v>255,127,0</v>
      </c>
      <c r="AW324" s="966">
        <v>-45.319999999999993</v>
      </c>
      <c r="AX324" s="966">
        <v>-53.859060958229847</v>
      </c>
      <c r="AY324" s="966">
        <v>0</v>
      </c>
    </row>
    <row r="325" spans="27:51" x14ac:dyDescent="0.25">
      <c r="AA325" s="82"/>
      <c r="AB325" s="75"/>
      <c r="AC325" s="75"/>
      <c r="AD325" s="166"/>
      <c r="AE325" s="75">
        <v>1.1100000000000001</v>
      </c>
      <c r="AF325" s="82">
        <v>1</v>
      </c>
      <c r="AG325" s="82">
        <v>1</v>
      </c>
      <c r="AH325" s="82">
        <v>1</v>
      </c>
      <c r="AI325" s="82">
        <v>3.0000000000109139</v>
      </c>
      <c r="AJ325" s="166">
        <v>1.1101300000000001</v>
      </c>
      <c r="AK325" s="82" t="str">
        <v>Model Space</v>
      </c>
      <c r="AL325" s="162">
        <v>0</v>
      </c>
      <c r="AM325" s="162">
        <v>-2.5526383919388191</v>
      </c>
      <c r="AN325" s="162">
        <v>-0.66106016978857629</v>
      </c>
      <c r="AO325" s="162">
        <v>-24.289475319260987</v>
      </c>
      <c r="AP325" s="162">
        <v>15.677480903393381</v>
      </c>
      <c r="AQ325" s="162">
        <v>0</v>
      </c>
      <c r="AR325" s="710" t="str">
        <v>CPS-32425r1.par</v>
      </c>
      <c r="AV325" s="82" t="str">
        <v>255,127,0</v>
      </c>
      <c r="AW325" s="966">
        <v>-11.469999999999999</v>
      </c>
      <c r="AX325" s="966">
        <v>-24.289475319260987</v>
      </c>
      <c r="AY325" s="966">
        <v>0</v>
      </c>
    </row>
    <row r="326" spans="27:51" x14ac:dyDescent="0.25">
      <c r="AA326" s="82"/>
      <c r="AB326" s="75"/>
      <c r="AC326" s="75"/>
      <c r="AD326" s="166"/>
      <c r="AE326" s="75">
        <v>1.107</v>
      </c>
      <c r="AF326" s="82">
        <v>1</v>
      </c>
      <c r="AG326" s="82">
        <v>1</v>
      </c>
      <c r="AH326" s="82">
        <v>1</v>
      </c>
      <c r="AI326" s="82">
        <v>2.999999999992724</v>
      </c>
      <c r="AJ326" s="166">
        <v>1.1071299999999999</v>
      </c>
      <c r="AK326" s="82" t="str">
        <v>Model Space</v>
      </c>
      <c r="AL326" s="162">
        <v>0</v>
      </c>
      <c r="AM326" s="162">
        <v>-1.7832390866061676</v>
      </c>
      <c r="AN326" s="162">
        <v>-0.71989350413322561</v>
      </c>
      <c r="AO326" s="162">
        <v>-3.4970649129115547</v>
      </c>
      <c r="AP326" s="162">
        <v>15.028642500757424</v>
      </c>
      <c r="AQ326" s="162">
        <v>0</v>
      </c>
      <c r="AR326" s="710" t="str">
        <v>CPS-31654-00(.020)r1.asm</v>
      </c>
      <c r="AV326" s="82" t="str">
        <v>255,127,0</v>
      </c>
      <c r="AW326" s="966">
        <v>15</v>
      </c>
      <c r="AX326" s="966">
        <v>-3.4970649129115547</v>
      </c>
      <c r="AY326" s="966">
        <v>0</v>
      </c>
    </row>
    <row r="327" spans="27:51" x14ac:dyDescent="0.25">
      <c r="AA327" s="82"/>
      <c r="AB327" s="75"/>
      <c r="AC327" s="75"/>
      <c r="AD327" s="166"/>
      <c r="AE327" s="75">
        <v>1.1040000000000001</v>
      </c>
      <c r="AF327" s="82">
        <v>1</v>
      </c>
      <c r="AG327" s="82">
        <v>1</v>
      </c>
      <c r="AH327" s="82">
        <v>1</v>
      </c>
      <c r="AI327" s="82">
        <v>3.0000000000109139</v>
      </c>
      <c r="AJ327" s="166">
        <v>1.1041300000000001</v>
      </c>
      <c r="AK327" s="82" t="str">
        <v>Model Space</v>
      </c>
      <c r="AL327" s="162">
        <v>0</v>
      </c>
      <c r="AM327" s="162">
        <v>-1.0304138197831001</v>
      </c>
      <c r="AN327" s="162">
        <v>-0.92216963582284306</v>
      </c>
      <c r="AO327" s="162">
        <v>-6.0371219851934219</v>
      </c>
      <c r="AP327" s="162">
        <v>15.085636781207878</v>
      </c>
      <c r="AQ327" s="162">
        <v>0</v>
      </c>
      <c r="AR327" s="710" t="str">
        <v>1613 Ripper.par</v>
      </c>
      <c r="AV327" s="82" t="str">
        <v>255,127,0</v>
      </c>
      <c r="AW327" s="966">
        <v>15</v>
      </c>
      <c r="AX327" s="966">
        <v>-6.0371219851934219</v>
      </c>
      <c r="AY327" s="966">
        <v>0</v>
      </c>
    </row>
    <row r="328" spans="27:51" x14ac:dyDescent="0.25">
      <c r="AA328" s="82"/>
      <c r="AB328" s="75"/>
      <c r="AC328" s="75"/>
      <c r="AD328" s="166"/>
      <c r="AE328" s="75">
        <v>1.101</v>
      </c>
      <c r="AF328" s="82">
        <v>1</v>
      </c>
      <c r="AG328" s="82">
        <v>1</v>
      </c>
      <c r="AH328" s="82">
        <v>1</v>
      </c>
      <c r="AI328" s="82">
        <v>2.999999999992724</v>
      </c>
      <c r="AJ328" s="166">
        <v>1.1011299999999999</v>
      </c>
      <c r="AK328" s="82" t="str">
        <v>Model Space</v>
      </c>
      <c r="AL328" s="162">
        <v>0</v>
      </c>
      <c r="AM328" s="162">
        <v>-0.30161677672171988</v>
      </c>
      <c r="AN328" s="162">
        <v>-1.070699999998181</v>
      </c>
      <c r="AO328" s="162">
        <v>-14.154969626160819</v>
      </c>
      <c r="AP328" s="162">
        <v>21.690301863747006</v>
      </c>
      <c r="AQ328" s="162">
        <v>0</v>
      </c>
      <c r="AR328" s="710" t="str">
        <v>CPS-31650-00r1.asm</v>
      </c>
      <c r="AV328" s="82" t="str">
        <v>255,127,0</v>
      </c>
      <c r="AW328" s="966">
        <v>15</v>
      </c>
      <c r="AX328" s="966">
        <v>-14.154969626160819</v>
      </c>
      <c r="AY328" s="966">
        <v>0</v>
      </c>
    </row>
    <row r="329" spans="27:51" x14ac:dyDescent="0.25">
      <c r="AA329" s="82"/>
      <c r="AB329" s="75"/>
      <c r="AC329" s="75"/>
      <c r="AD329" s="166"/>
      <c r="AE329" s="75">
        <v>6.1180000000000003</v>
      </c>
      <c r="AF329" s="82">
        <v>6</v>
      </c>
      <c r="AG329" s="82">
        <v>1</v>
      </c>
      <c r="AH329" s="82">
        <v>2</v>
      </c>
      <c r="AI329" s="82">
        <v>3.0000000000291038</v>
      </c>
      <c r="AJ329" s="166">
        <v>6.1182300000000005</v>
      </c>
      <c r="AK329" s="82">
        <v>6.1181300000000007</v>
      </c>
      <c r="AL329" s="162">
        <v>0</v>
      </c>
      <c r="AM329" s="162">
        <v>0</v>
      </c>
      <c r="AN329" s="162">
        <v>0</v>
      </c>
      <c r="AO329" s="162">
        <v>7.1147656261783965</v>
      </c>
      <c r="AP329" s="162">
        <v>0</v>
      </c>
      <c r="AQ329" s="162">
        <v>0</v>
      </c>
      <c r="AR329" s="710" t="str">
        <v>CPS-31650-00r1.asm</v>
      </c>
      <c r="AV329" s="82" t="str">
        <v>127,0,255</v>
      </c>
      <c r="AW329" s="966">
        <v>-90</v>
      </c>
      <c r="AX329" s="966">
        <v>-82.885234373821604</v>
      </c>
      <c r="AY329" s="966">
        <v>7.1147656261783965</v>
      </c>
    </row>
    <row r="330" spans="27:51" x14ac:dyDescent="0.25">
      <c r="AA330" s="82"/>
      <c r="AB330" s="75"/>
      <c r="AC330" s="75"/>
      <c r="AD330" s="166"/>
      <c r="AE330" s="75">
        <v>6.1150000000000002</v>
      </c>
      <c r="AF330" s="82">
        <v>6</v>
      </c>
      <c r="AG330" s="82">
        <v>1</v>
      </c>
      <c r="AH330" s="82">
        <v>2</v>
      </c>
      <c r="AI330" s="82">
        <v>3.0000000000291038</v>
      </c>
      <c r="AJ330" s="166">
        <v>6.1152300000000004</v>
      </c>
      <c r="AK330" s="82">
        <v>6.1151300000000006</v>
      </c>
      <c r="AL330" s="162">
        <v>0</v>
      </c>
      <c r="AM330" s="162">
        <v>0</v>
      </c>
      <c r="AN330" s="162">
        <v>0</v>
      </c>
      <c r="AO330" s="162">
        <v>1.2085391670584897</v>
      </c>
      <c r="AP330" s="162">
        <v>0</v>
      </c>
      <c r="AQ330" s="162">
        <v>0</v>
      </c>
      <c r="AR330" s="710" t="str">
        <v>CPS-31654-00(.020)r1.asm</v>
      </c>
      <c r="AV330" s="82" t="str">
        <v>127,0,255</v>
      </c>
      <c r="AW330" s="966">
        <v>-67.47999999999999</v>
      </c>
      <c r="AX330" s="966">
        <v>-66.2714608329415</v>
      </c>
      <c r="AY330" s="966">
        <v>1.2085391670584897</v>
      </c>
    </row>
    <row r="331" spans="27:51" x14ac:dyDescent="0.25">
      <c r="AA331" s="82"/>
      <c r="AB331" s="75"/>
      <c r="AC331" s="75"/>
      <c r="AD331" s="166"/>
      <c r="AE331" s="75">
        <v>6.1120000000000001</v>
      </c>
      <c r="AF331" s="82">
        <v>6</v>
      </c>
      <c r="AG331" s="82">
        <v>1</v>
      </c>
      <c r="AH331" s="82">
        <v>2</v>
      </c>
      <c r="AI331" s="82">
        <v>3.0000000000291038</v>
      </c>
      <c r="AJ331" s="166">
        <v>6.1122300000000003</v>
      </c>
      <c r="AK331" s="82">
        <v>6.1121300000000005</v>
      </c>
      <c r="AL331" s="162">
        <v>0</v>
      </c>
      <c r="AM331" s="162">
        <v>0</v>
      </c>
      <c r="AN331" s="162">
        <v>0</v>
      </c>
      <c r="AO331" s="162">
        <v>-11.029118877652337</v>
      </c>
      <c r="AP331" s="162">
        <v>0</v>
      </c>
      <c r="AQ331" s="162">
        <v>0</v>
      </c>
      <c r="AR331" s="710" t="str">
        <v>CPS-31654-00(.020)r1.asm</v>
      </c>
      <c r="AV331" s="82" t="str">
        <v>127,0,255</v>
      </c>
      <c r="AW331" s="966">
        <v>-34.049999999999997</v>
      </c>
      <c r="AX331" s="966">
        <v>-45.079118877652334</v>
      </c>
      <c r="AY331" s="966">
        <v>-11.029118877652337</v>
      </c>
    </row>
    <row r="332" spans="27:51" x14ac:dyDescent="0.25">
      <c r="AA332" s="82"/>
      <c r="AB332" s="75"/>
      <c r="AC332" s="75"/>
      <c r="AD332" s="166"/>
      <c r="AE332" s="75">
        <v>6.109</v>
      </c>
      <c r="AF332" s="82">
        <v>6</v>
      </c>
      <c r="AG332" s="82">
        <v>1</v>
      </c>
      <c r="AH332" s="82">
        <v>2</v>
      </c>
      <c r="AI332" s="82">
        <v>3.0000000000291038</v>
      </c>
      <c r="AJ332" s="166">
        <v>6.1092300000000002</v>
      </c>
      <c r="AK332" s="82">
        <v>6.1091300000000004</v>
      </c>
      <c r="AL332" s="162">
        <v>0</v>
      </c>
      <c r="AM332" s="162">
        <v>0</v>
      </c>
      <c r="AN332" s="162">
        <v>0</v>
      </c>
      <c r="AO332" s="162">
        <v>-13.637402596117099</v>
      </c>
      <c r="AP332" s="162">
        <v>0</v>
      </c>
      <c r="AQ332" s="162">
        <v>0</v>
      </c>
      <c r="AR332" s="710" t="str">
        <v>CPS-31654-00(.020)r1.asm</v>
      </c>
      <c r="AV332" s="82" t="str">
        <v>127,0,255</v>
      </c>
      <c r="AW332" s="966">
        <v>-0.29000000000000625</v>
      </c>
      <c r="AX332" s="966">
        <v>-13.927402596117105</v>
      </c>
      <c r="AY332" s="966">
        <v>-13.637402596117099</v>
      </c>
    </row>
    <row r="333" spans="27:51" x14ac:dyDescent="0.25">
      <c r="AA333" s="82"/>
      <c r="AB333" s="75"/>
      <c r="AC333" s="75"/>
      <c r="AD333" s="166"/>
      <c r="AE333" s="75">
        <v>5.12</v>
      </c>
      <c r="AF333" s="82">
        <v>5</v>
      </c>
      <c r="AG333" s="82">
        <v>1</v>
      </c>
      <c r="AH333" s="82">
        <v>2</v>
      </c>
      <c r="AI333" s="82">
        <v>3.0000000000291038</v>
      </c>
      <c r="AJ333" s="166">
        <v>5.1202300000000003</v>
      </c>
      <c r="AK333" s="82">
        <v>5.1201300000000005</v>
      </c>
      <c r="AL333" s="162">
        <v>0</v>
      </c>
      <c r="AM333" s="162">
        <v>0</v>
      </c>
      <c r="AN333" s="162">
        <v>0</v>
      </c>
      <c r="AO333" s="162">
        <v>7.1147928303894901</v>
      </c>
      <c r="AP333" s="162">
        <v>0</v>
      </c>
      <c r="AQ333" s="162">
        <v>0</v>
      </c>
      <c r="AR333" s="710" t="str">
        <v>CPS-31650-00r1.asm</v>
      </c>
      <c r="AV333" s="82" t="str">
        <v>0,102,204</v>
      </c>
      <c r="AW333" s="966">
        <v>-90</v>
      </c>
      <c r="AX333" s="966">
        <v>-82.88520716961051</v>
      </c>
      <c r="AY333" s="966">
        <v>7.1147928303894901</v>
      </c>
    </row>
    <row r="334" spans="27:51" x14ac:dyDescent="0.25">
      <c r="AA334" s="82"/>
      <c r="AB334" s="75"/>
      <c r="AC334" s="75"/>
      <c r="AD334" s="166"/>
      <c r="AE334" s="75">
        <v>5.117</v>
      </c>
      <c r="AF334" s="82">
        <v>5</v>
      </c>
      <c r="AG334" s="82">
        <v>1</v>
      </c>
      <c r="AH334" s="82">
        <v>2</v>
      </c>
      <c r="AI334" s="82">
        <v>3.0000000000291038</v>
      </c>
      <c r="AJ334" s="166">
        <v>5.1172300000000002</v>
      </c>
      <c r="AK334" s="82">
        <v>5.1171300000000004</v>
      </c>
      <c r="AL334" s="162">
        <v>0</v>
      </c>
      <c r="AM334" s="162">
        <v>0</v>
      </c>
      <c r="AN334" s="162">
        <v>0</v>
      </c>
      <c r="AO334" s="162">
        <v>5.8677994991941347</v>
      </c>
      <c r="AP334" s="162">
        <v>0</v>
      </c>
      <c r="AQ334" s="162">
        <v>0</v>
      </c>
      <c r="AR334" s="710" t="str">
        <v>CPS-31654-00(.020)r1.asm</v>
      </c>
      <c r="AV334" s="82" t="str">
        <v>0,102,204</v>
      </c>
      <c r="AW334" s="966">
        <v>-88.75</v>
      </c>
      <c r="AX334" s="966">
        <v>-82.882200500805865</v>
      </c>
      <c r="AY334" s="966">
        <v>5.8677994991941347</v>
      </c>
    </row>
    <row r="335" spans="27:51" x14ac:dyDescent="0.25">
      <c r="AA335" s="82"/>
      <c r="AB335" s="75"/>
      <c r="AC335" s="75"/>
      <c r="AD335" s="166"/>
      <c r="AE335" s="75">
        <v>5.1139999999999999</v>
      </c>
      <c r="AF335" s="82">
        <v>5</v>
      </c>
      <c r="AG335" s="82">
        <v>1</v>
      </c>
      <c r="AH335" s="82">
        <v>2</v>
      </c>
      <c r="AI335" s="82">
        <v>3.0000000000291038</v>
      </c>
      <c r="AJ335" s="166">
        <v>5.1142300000000001</v>
      </c>
      <c r="AK335" s="82">
        <v>5.1141300000000003</v>
      </c>
      <c r="AL335" s="162">
        <v>0</v>
      </c>
      <c r="AM335" s="162">
        <v>0</v>
      </c>
      <c r="AN335" s="162">
        <v>0</v>
      </c>
      <c r="AO335" s="162">
        <v>-6.9252157503874301</v>
      </c>
      <c r="AP335" s="162">
        <v>0</v>
      </c>
      <c r="AQ335" s="162">
        <v>0</v>
      </c>
      <c r="AR335" s="710" t="str">
        <v>CPS-32425r1.par</v>
      </c>
      <c r="AV335" s="82" t="str">
        <v>0,102,204</v>
      </c>
      <c r="AW335" s="966">
        <v>-56.419999999999987</v>
      </c>
      <c r="AX335" s="966">
        <v>-63.345215750387418</v>
      </c>
      <c r="AY335" s="966">
        <v>-6.9252157503874301</v>
      </c>
    </row>
    <row r="336" spans="27:51" x14ac:dyDescent="0.25">
      <c r="AA336" s="82"/>
      <c r="AB336" s="75"/>
      <c r="AC336" s="75"/>
      <c r="AD336" s="166"/>
      <c r="AE336" s="75">
        <v>5.1109999999999998</v>
      </c>
      <c r="AF336" s="82">
        <v>5</v>
      </c>
      <c r="AG336" s="82">
        <v>1</v>
      </c>
      <c r="AH336" s="82">
        <v>2</v>
      </c>
      <c r="AI336" s="82">
        <v>3.0000000000291038</v>
      </c>
      <c r="AJ336" s="166">
        <v>5.1112299999999999</v>
      </c>
      <c r="AK336" s="82">
        <v>5.1111300000000002</v>
      </c>
      <c r="AL336" s="162">
        <v>0</v>
      </c>
      <c r="AM336" s="162">
        <v>0</v>
      </c>
      <c r="AN336" s="162">
        <v>0</v>
      </c>
      <c r="AO336" s="162">
        <v>-11.445056903293384</v>
      </c>
      <c r="AP336" s="162">
        <v>0</v>
      </c>
      <c r="AQ336" s="162">
        <v>0</v>
      </c>
      <c r="AR336" s="710" t="str">
        <v>CPS-31654-00(.020)r1.asm</v>
      </c>
      <c r="AV336" s="82" t="str">
        <v>0,102,204</v>
      </c>
      <c r="AW336" s="966">
        <v>-22.760000000000005</v>
      </c>
      <c r="AX336" s="966">
        <v>-34.205056903293389</v>
      </c>
      <c r="AY336" s="966">
        <v>-11.445056903293384</v>
      </c>
    </row>
    <row r="337" spans="27:51" x14ac:dyDescent="0.25">
      <c r="AA337" s="82"/>
      <c r="AB337" s="75"/>
      <c r="AC337" s="75"/>
      <c r="AD337" s="166"/>
      <c r="AE337" s="75">
        <v>5.1079999999999997</v>
      </c>
      <c r="AF337" s="82">
        <v>5</v>
      </c>
      <c r="AG337" s="82">
        <v>1</v>
      </c>
      <c r="AH337" s="82">
        <v>2</v>
      </c>
      <c r="AI337" s="82">
        <v>2.9999999999563443</v>
      </c>
      <c r="AJ337" s="166">
        <v>5.1082299999999998</v>
      </c>
      <c r="AK337" s="82">
        <v>5.1081300000000001</v>
      </c>
      <c r="AL337" s="162">
        <v>0</v>
      </c>
      <c r="AM337" s="162">
        <v>0</v>
      </c>
      <c r="AN337" s="162">
        <v>0</v>
      </c>
      <c r="AO337" s="162">
        <v>-13.947093437078305</v>
      </c>
      <c r="AP337" s="162">
        <v>0</v>
      </c>
      <c r="AQ337" s="162">
        <v>0</v>
      </c>
      <c r="AR337" s="710" t="str">
        <v>CPS-32425r1.par</v>
      </c>
      <c r="AV337" s="82" t="str">
        <v>0,102,204</v>
      </c>
      <c r="AW337" s="966">
        <v>10.879999999999995</v>
      </c>
      <c r="AX337" s="966">
        <v>-3.0670934370783089</v>
      </c>
      <c r="AY337" s="966">
        <v>-13.947093437078305</v>
      </c>
    </row>
    <row r="338" spans="27:51" x14ac:dyDescent="0.25">
      <c r="AA338" s="82"/>
      <c r="AB338" s="75"/>
      <c r="AC338" s="75"/>
      <c r="AD338" s="166"/>
      <c r="AE338" s="75">
        <v>5.1050000000000004</v>
      </c>
      <c r="AF338" s="82">
        <v>5</v>
      </c>
      <c r="AG338" s="82">
        <v>1</v>
      </c>
      <c r="AH338" s="82">
        <v>2</v>
      </c>
      <c r="AI338" s="82">
        <v>3.0000000000291038</v>
      </c>
      <c r="AJ338" s="166">
        <v>5.1052300000000006</v>
      </c>
      <c r="AK338" s="82">
        <v>5.1051300000000008</v>
      </c>
      <c r="AL338" s="162">
        <v>0</v>
      </c>
      <c r="AM338" s="162">
        <v>0</v>
      </c>
      <c r="AN338" s="162">
        <v>0</v>
      </c>
      <c r="AO338" s="162">
        <v>-19.865198353214346</v>
      </c>
      <c r="AP338" s="162">
        <v>0</v>
      </c>
      <c r="AQ338" s="162">
        <v>0</v>
      </c>
      <c r="AR338" s="710" t="str">
        <v>CPS-31654-00(.020)r1.asm</v>
      </c>
      <c r="AV338" s="82" t="str">
        <v>0,102,204</v>
      </c>
      <c r="AW338" s="966">
        <v>15</v>
      </c>
      <c r="AX338" s="966">
        <v>-4.8651983532143479</v>
      </c>
      <c r="AY338" s="966">
        <v>-19.865198353214346</v>
      </c>
    </row>
    <row r="339" spans="27:51" x14ac:dyDescent="0.25">
      <c r="AA339" s="82"/>
      <c r="AB339" s="75"/>
      <c r="AC339" s="75"/>
      <c r="AD339" s="166"/>
      <c r="AE339" s="75">
        <v>5.1020000000000003</v>
      </c>
      <c r="AF339" s="82">
        <v>5</v>
      </c>
      <c r="AG339" s="82">
        <v>1</v>
      </c>
      <c r="AH339" s="82">
        <v>2</v>
      </c>
      <c r="AI339" s="82">
        <v>3.0000000000291038</v>
      </c>
      <c r="AJ339" s="166">
        <v>5.1022300000000005</v>
      </c>
      <c r="AK339" s="82">
        <v>5.1021300000000007</v>
      </c>
      <c r="AL339" s="162">
        <v>0</v>
      </c>
      <c r="AM339" s="162">
        <v>0</v>
      </c>
      <c r="AN339" s="162">
        <v>0</v>
      </c>
      <c r="AO339" s="162">
        <v>-23.73158996773903</v>
      </c>
      <c r="AP339" s="162">
        <v>0</v>
      </c>
      <c r="AQ339" s="162">
        <v>0</v>
      </c>
      <c r="AR339" s="710" t="str">
        <v>CPS-31654-00(.020)r1.asm</v>
      </c>
      <c r="AV339" s="82" t="str">
        <v>0,102,204</v>
      </c>
      <c r="AW339" s="966">
        <v>15</v>
      </c>
      <c r="AX339" s="966">
        <v>-8.7315899677390298</v>
      </c>
      <c r="AY339" s="966">
        <v>-23.73158996773903</v>
      </c>
    </row>
    <row r="340" spans="27:51" x14ac:dyDescent="0.25">
      <c r="AA340" s="82"/>
      <c r="AB340" s="75"/>
      <c r="AC340" s="75"/>
      <c r="AD340" s="166"/>
      <c r="AE340" s="75">
        <v>4.1189999999999998</v>
      </c>
      <c r="AF340" s="82">
        <v>4</v>
      </c>
      <c r="AG340" s="82">
        <v>1</v>
      </c>
      <c r="AH340" s="82">
        <v>2</v>
      </c>
      <c r="AI340" s="82">
        <v>3.0000000000291038</v>
      </c>
      <c r="AJ340" s="166">
        <v>4.1192299999999999</v>
      </c>
      <c r="AK340" s="82">
        <v>4.1191300000000002</v>
      </c>
      <c r="AL340" s="162">
        <v>0</v>
      </c>
      <c r="AM340" s="162">
        <v>0</v>
      </c>
      <c r="AN340" s="162">
        <v>0</v>
      </c>
      <c r="AO340" s="162">
        <v>7.1148804231874578</v>
      </c>
      <c r="AP340" s="162">
        <v>0</v>
      </c>
      <c r="AQ340" s="162">
        <v>0</v>
      </c>
      <c r="AR340" s="710" t="str">
        <v>CPS-31650-00r1.asm</v>
      </c>
      <c r="AV340" s="82" t="str">
        <v>0,204,204</v>
      </c>
      <c r="AW340" s="966">
        <v>-90</v>
      </c>
      <c r="AX340" s="966">
        <v>-82.885119576812542</v>
      </c>
      <c r="AY340" s="966">
        <v>7.1148804231874578</v>
      </c>
    </row>
    <row r="341" spans="27:51" x14ac:dyDescent="0.25">
      <c r="AA341" s="82"/>
      <c r="AB341" s="75"/>
      <c r="AC341" s="75"/>
      <c r="AD341" s="166"/>
      <c r="AE341" s="75">
        <v>4.1159999999999997</v>
      </c>
      <c r="AF341" s="82">
        <v>4</v>
      </c>
      <c r="AG341" s="82">
        <v>1</v>
      </c>
      <c r="AH341" s="82">
        <v>2</v>
      </c>
      <c r="AI341" s="82">
        <v>2.9999999999563443</v>
      </c>
      <c r="AJ341" s="166">
        <v>4.1162299999999998</v>
      </c>
      <c r="AK341" s="82">
        <v>4.1161300000000001</v>
      </c>
      <c r="AL341" s="162">
        <v>0</v>
      </c>
      <c r="AM341" s="162">
        <v>0</v>
      </c>
      <c r="AN341" s="162">
        <v>0</v>
      </c>
      <c r="AO341" s="162">
        <v>3.4467758997179203</v>
      </c>
      <c r="AP341" s="162">
        <v>0</v>
      </c>
      <c r="AQ341" s="162">
        <v>0</v>
      </c>
      <c r="AR341" s="710" t="str">
        <v>CPS-31654-00(.020)r1.asm</v>
      </c>
      <c r="AV341" s="82" t="str">
        <v>0,204,204</v>
      </c>
      <c r="AW341" s="966">
        <v>-78.53</v>
      </c>
      <c r="AX341" s="966">
        <v>-75.083224100282081</v>
      </c>
      <c r="AY341" s="966">
        <v>3.4467758997179203</v>
      </c>
    </row>
    <row r="342" spans="27:51" x14ac:dyDescent="0.25">
      <c r="AA342" s="82"/>
      <c r="AB342" s="75"/>
      <c r="AC342" s="75"/>
      <c r="AD342" s="166"/>
      <c r="AE342" s="75">
        <v>4.1130000000000004</v>
      </c>
      <c r="AF342" s="82">
        <v>4</v>
      </c>
      <c r="AG342" s="82">
        <v>1</v>
      </c>
      <c r="AH342" s="82">
        <v>2</v>
      </c>
      <c r="AI342" s="82">
        <v>3.0000000000291038</v>
      </c>
      <c r="AJ342" s="166">
        <v>4.1132300000000006</v>
      </c>
      <c r="AK342" s="82">
        <v>4.1131300000000008</v>
      </c>
      <c r="AL342" s="162">
        <v>0</v>
      </c>
      <c r="AM342" s="162">
        <v>0</v>
      </c>
      <c r="AN342" s="162">
        <v>0</v>
      </c>
      <c r="AO342" s="162">
        <v>-8.5390609582298325</v>
      </c>
      <c r="AP342" s="162">
        <v>0</v>
      </c>
      <c r="AQ342" s="162">
        <v>0</v>
      </c>
      <c r="AR342" s="710" t="str">
        <v>CPS-31654-00(.020)r1.asm</v>
      </c>
      <c r="AV342" s="82" t="str">
        <v>0,204,204</v>
      </c>
      <c r="AW342" s="966">
        <v>-45.319999999999993</v>
      </c>
      <c r="AX342" s="966">
        <v>-53.859060958229826</v>
      </c>
      <c r="AY342" s="966">
        <v>-8.5390609582298325</v>
      </c>
    </row>
    <row r="343" spans="27:51" x14ac:dyDescent="0.25">
      <c r="AA343" s="82"/>
      <c r="AB343" s="75"/>
      <c r="AC343" s="75"/>
      <c r="AD343" s="166"/>
      <c r="AE343" s="75">
        <v>4.1100000000000003</v>
      </c>
      <c r="AF343" s="82">
        <v>4</v>
      </c>
      <c r="AG343" s="82">
        <v>1</v>
      </c>
      <c r="AH343" s="82">
        <v>2</v>
      </c>
      <c r="AI343" s="82">
        <v>3.0000000000291038</v>
      </c>
      <c r="AJ343" s="166">
        <v>4.1102300000000005</v>
      </c>
      <c r="AK343" s="82">
        <v>4.1101300000000007</v>
      </c>
      <c r="AL343" s="162">
        <v>0</v>
      </c>
      <c r="AM343" s="162">
        <v>0</v>
      </c>
      <c r="AN343" s="162">
        <v>0</v>
      </c>
      <c r="AO343" s="162">
        <v>-12.819475319261034</v>
      </c>
      <c r="AP343" s="162">
        <v>0</v>
      </c>
      <c r="AQ343" s="162">
        <v>0</v>
      </c>
      <c r="AR343" s="710" t="str">
        <v>CPS-31654-00(.020)r1.asm</v>
      </c>
      <c r="AV343" s="82" t="str">
        <v>0,204,204</v>
      </c>
      <c r="AW343" s="966">
        <v>-11.469999999999999</v>
      </c>
      <c r="AX343" s="966">
        <v>-24.289475319261033</v>
      </c>
      <c r="AY343" s="966">
        <v>-12.819475319261034</v>
      </c>
    </row>
    <row r="344" spans="27:51" x14ac:dyDescent="0.25">
      <c r="AA344" s="82"/>
      <c r="AB344" s="75"/>
      <c r="AC344" s="75"/>
      <c r="AD344" s="166"/>
      <c r="AE344" s="75">
        <v>3.1179999999999999</v>
      </c>
      <c r="AF344" s="82">
        <v>3</v>
      </c>
      <c r="AG344" s="82">
        <v>1</v>
      </c>
      <c r="AH344" s="82">
        <v>2</v>
      </c>
      <c r="AI344" s="82">
        <v>2.999999999992724</v>
      </c>
      <c r="AJ344" s="166">
        <v>3.1182300000000001</v>
      </c>
      <c r="AK344" s="82">
        <v>3.1181299999999998</v>
      </c>
      <c r="AL344" s="162">
        <v>0</v>
      </c>
      <c r="AM344" s="162">
        <v>0</v>
      </c>
      <c r="AN344" s="162">
        <v>0</v>
      </c>
      <c r="AO344" s="162">
        <v>7.1149423481789569</v>
      </c>
      <c r="AP344" s="162">
        <v>0</v>
      </c>
      <c r="AQ344" s="162">
        <v>0</v>
      </c>
      <c r="AR344" s="710" t="str">
        <v>CPS-31650-00r1.asm</v>
      </c>
      <c r="AV344" s="82" t="str">
        <v>0,204,0</v>
      </c>
      <c r="AW344" s="966">
        <v>-90</v>
      </c>
      <c r="AX344" s="966">
        <v>-82.885057651821043</v>
      </c>
      <c r="AY344" s="966">
        <v>7.1149423481789569</v>
      </c>
    </row>
    <row r="345" spans="27:51" x14ac:dyDescent="0.25">
      <c r="AA345" s="82"/>
      <c r="AB345" s="75"/>
      <c r="AC345" s="75"/>
      <c r="AD345" s="166"/>
      <c r="AE345" s="75">
        <v>3.1150000000000002</v>
      </c>
      <c r="AF345" s="82">
        <v>3</v>
      </c>
      <c r="AG345" s="82">
        <v>1</v>
      </c>
      <c r="AH345" s="82">
        <v>2</v>
      </c>
      <c r="AI345" s="82">
        <v>3.0000000000291038</v>
      </c>
      <c r="AJ345" s="166">
        <v>3.1152300000000004</v>
      </c>
      <c r="AK345" s="82">
        <v>3.1151300000000002</v>
      </c>
      <c r="AL345" s="162">
        <v>0</v>
      </c>
      <c r="AM345" s="162">
        <v>0</v>
      </c>
      <c r="AN345" s="162">
        <v>0</v>
      </c>
      <c r="AO345" s="162">
        <v>1.2094670350781911</v>
      </c>
      <c r="AP345" s="162">
        <v>0</v>
      </c>
      <c r="AQ345" s="162">
        <v>0</v>
      </c>
      <c r="AR345" s="710" t="str">
        <v>CPS-31654-00(.020)r1.asm</v>
      </c>
      <c r="AV345" s="82" t="str">
        <v>0,204,0</v>
      </c>
      <c r="AW345" s="966">
        <v>-67.47999999999999</v>
      </c>
      <c r="AX345" s="966">
        <v>-66.270532964921799</v>
      </c>
      <c r="AY345" s="966">
        <v>1.2094670350781911</v>
      </c>
    </row>
    <row r="346" spans="27:51" x14ac:dyDescent="0.25">
      <c r="AA346" s="82"/>
      <c r="AB346" s="75"/>
      <c r="AC346" s="75"/>
      <c r="AD346" s="166"/>
      <c r="AE346" s="75">
        <v>3.1120000000000001</v>
      </c>
      <c r="AF346" s="82">
        <v>3</v>
      </c>
      <c r="AG346" s="82">
        <v>1</v>
      </c>
      <c r="AH346" s="82">
        <v>2</v>
      </c>
      <c r="AI346" s="82">
        <v>3.0000000000291038</v>
      </c>
      <c r="AJ346" s="166">
        <v>3.1122300000000003</v>
      </c>
      <c r="AK346" s="82">
        <v>3.1121300000000001</v>
      </c>
      <c r="AL346" s="162">
        <v>0</v>
      </c>
      <c r="AM346" s="162">
        <v>0</v>
      </c>
      <c r="AN346" s="162">
        <v>0</v>
      </c>
      <c r="AO346" s="162">
        <v>-11.026664077700261</v>
      </c>
      <c r="AP346" s="162">
        <v>0</v>
      </c>
      <c r="AQ346" s="162">
        <v>0</v>
      </c>
      <c r="AR346" s="710" t="str">
        <v>CPS-32425r1.par</v>
      </c>
      <c r="AV346" s="82" t="str">
        <v>0,204,0</v>
      </c>
      <c r="AW346" s="966">
        <v>-34.049999999999997</v>
      </c>
      <c r="AX346" s="966">
        <v>-45.076664077700258</v>
      </c>
      <c r="AY346" s="966">
        <v>-11.026664077700261</v>
      </c>
    </row>
    <row r="347" spans="27:51" x14ac:dyDescent="0.25">
      <c r="AA347" s="82"/>
      <c r="AB347" s="75"/>
      <c r="AC347" s="75"/>
      <c r="AD347" s="166"/>
      <c r="AE347" s="75">
        <v>3.109</v>
      </c>
      <c r="AF347" s="82">
        <v>3</v>
      </c>
      <c r="AG347" s="82">
        <v>1</v>
      </c>
      <c r="AH347" s="82">
        <v>2</v>
      </c>
      <c r="AI347" s="82">
        <v>3.0000000000291038</v>
      </c>
      <c r="AJ347" s="166">
        <v>3.1092300000000002</v>
      </c>
      <c r="AK347" s="82">
        <v>3.1091299999999999</v>
      </c>
      <c r="AL347" s="162">
        <v>0</v>
      </c>
      <c r="AM347" s="162">
        <v>0</v>
      </c>
      <c r="AN347" s="162">
        <v>0</v>
      </c>
      <c r="AO347" s="162">
        <v>-13.632859963601508</v>
      </c>
      <c r="AP347" s="162">
        <v>0</v>
      </c>
      <c r="AQ347" s="162">
        <v>0</v>
      </c>
      <c r="AR347" s="710" t="str">
        <v>CPS-31654-00(.020)r1.asm</v>
      </c>
      <c r="AV347" s="82" t="str">
        <v>0,204,0</v>
      </c>
      <c r="AW347" s="966">
        <v>-0.29000000000000625</v>
      </c>
      <c r="AX347" s="966">
        <v>-13.922859963601514</v>
      </c>
      <c r="AY347" s="966">
        <v>-13.632859963601508</v>
      </c>
    </row>
    <row r="348" spans="27:51" x14ac:dyDescent="0.25">
      <c r="AA348" s="82"/>
      <c r="AB348" s="75"/>
      <c r="AC348" s="75"/>
      <c r="AD348" s="166"/>
      <c r="AE348" s="75">
        <v>3.1059999999999999</v>
      </c>
      <c r="AF348" s="82">
        <v>3</v>
      </c>
      <c r="AG348" s="82">
        <v>1</v>
      </c>
      <c r="AH348" s="82">
        <v>2</v>
      </c>
      <c r="AI348" s="82">
        <v>2.999999999992724</v>
      </c>
      <c r="AJ348" s="166">
        <v>3.10623</v>
      </c>
      <c r="AK348" s="82">
        <v>3.1061299999999998</v>
      </c>
      <c r="AL348" s="162">
        <v>0</v>
      </c>
      <c r="AM348" s="162">
        <v>0</v>
      </c>
      <c r="AN348" s="162">
        <v>0</v>
      </c>
      <c r="AO348" s="162">
        <v>-19.065582948943572</v>
      </c>
      <c r="AP348" s="162">
        <v>0</v>
      </c>
      <c r="AQ348" s="162">
        <v>0</v>
      </c>
      <c r="AR348" s="710" t="str">
        <v>CPS-32425r1.par</v>
      </c>
      <c r="AV348" s="82" t="str">
        <v>0,204,0</v>
      </c>
      <c r="AW348" s="966">
        <v>15</v>
      </c>
      <c r="AX348" s="966">
        <v>-4.0655829489435709</v>
      </c>
      <c r="AY348" s="966">
        <v>-19.065582948943572</v>
      </c>
    </row>
    <row r="349" spans="27:51" x14ac:dyDescent="0.25">
      <c r="AA349" s="82"/>
      <c r="AB349" s="75"/>
      <c r="AC349" s="75"/>
      <c r="AD349" s="166"/>
      <c r="AE349" s="75">
        <v>3.1030000000000002</v>
      </c>
      <c r="AF349" s="82">
        <v>3</v>
      </c>
      <c r="AG349" s="82">
        <v>1</v>
      </c>
      <c r="AH349" s="82">
        <v>2</v>
      </c>
      <c r="AI349" s="82">
        <v>3.0000000000291038</v>
      </c>
      <c r="AJ349" s="166">
        <v>3.1032300000000004</v>
      </c>
      <c r="AK349" s="82">
        <v>3.1031300000000002</v>
      </c>
      <c r="AL349" s="162">
        <v>0</v>
      </c>
      <c r="AM349" s="162">
        <v>0</v>
      </c>
      <c r="AN349" s="162">
        <v>0</v>
      </c>
      <c r="AO349" s="162">
        <v>-21.877028167605189</v>
      </c>
      <c r="AP349" s="162">
        <v>0</v>
      </c>
      <c r="AQ349" s="162">
        <v>0</v>
      </c>
      <c r="AR349" s="710" t="str">
        <v>CPS-31654-00(.020)r1.asm</v>
      </c>
      <c r="AV349" s="82" t="str">
        <v>0,204,0</v>
      </c>
      <c r="AW349" s="966">
        <v>15</v>
      </c>
      <c r="AX349" s="966">
        <v>-6.8770281676051894</v>
      </c>
      <c r="AY349" s="966">
        <v>-21.877028167605189</v>
      </c>
    </row>
    <row r="350" spans="27:51" x14ac:dyDescent="0.25">
      <c r="AA350" s="82"/>
      <c r="AB350" s="75"/>
      <c r="AC350" s="75"/>
      <c r="AD350" s="166"/>
      <c r="AE350" s="75">
        <v>2.12</v>
      </c>
      <c r="AF350" s="82">
        <v>2</v>
      </c>
      <c r="AG350" s="82">
        <v>1</v>
      </c>
      <c r="AH350" s="82">
        <v>2</v>
      </c>
      <c r="AI350" s="82">
        <v>3.0000000000291038</v>
      </c>
      <c r="AJ350" s="166">
        <v>2.1202300000000003</v>
      </c>
      <c r="AK350" s="82">
        <v>2.1201300000000001</v>
      </c>
      <c r="AL350" s="162">
        <v>0</v>
      </c>
      <c r="AM350" s="162">
        <v>0</v>
      </c>
      <c r="AN350" s="162">
        <v>0</v>
      </c>
      <c r="AO350" s="162">
        <v>7.1147928303894901</v>
      </c>
      <c r="AP350" s="162">
        <v>0</v>
      </c>
      <c r="AQ350" s="162">
        <v>0</v>
      </c>
      <c r="AR350" s="710" t="str">
        <v>CPS-31650-00r1.asm</v>
      </c>
      <c r="AV350" s="82" t="str">
        <v>204,204,0</v>
      </c>
      <c r="AW350" s="966">
        <v>-90</v>
      </c>
      <c r="AX350" s="966">
        <v>-82.88520716961051</v>
      </c>
      <c r="AY350" s="966">
        <v>7.1147928303894901</v>
      </c>
    </row>
    <row r="351" spans="27:51" x14ac:dyDescent="0.25">
      <c r="AA351" s="82"/>
      <c r="AB351" s="75"/>
      <c r="AC351" s="75"/>
      <c r="AD351" s="166"/>
      <c r="AE351" s="75">
        <v>2.117</v>
      </c>
      <c r="AF351" s="82">
        <v>2</v>
      </c>
      <c r="AG351" s="82">
        <v>1</v>
      </c>
      <c r="AH351" s="82">
        <v>2</v>
      </c>
      <c r="AI351" s="82">
        <v>3.0000000000291038</v>
      </c>
      <c r="AJ351" s="166">
        <v>2.1172300000000002</v>
      </c>
      <c r="AK351" s="82">
        <v>2.11713</v>
      </c>
      <c r="AL351" s="162">
        <v>0</v>
      </c>
      <c r="AM351" s="162">
        <v>0</v>
      </c>
      <c r="AN351" s="162">
        <v>0</v>
      </c>
      <c r="AO351" s="162">
        <v>5.8677994991941205</v>
      </c>
      <c r="AP351" s="162">
        <v>0</v>
      </c>
      <c r="AQ351" s="162">
        <v>0</v>
      </c>
      <c r="AR351" s="710" t="str">
        <v>CPS-31654-00(.020)r1.asm</v>
      </c>
      <c r="AV351" s="82" t="str">
        <v>204,204,0</v>
      </c>
      <c r="AW351" s="966">
        <v>-88.75</v>
      </c>
      <c r="AX351" s="966">
        <v>-82.88220050080588</v>
      </c>
      <c r="AY351" s="966">
        <v>5.8677994991941205</v>
      </c>
    </row>
    <row r="352" spans="27:51" x14ac:dyDescent="0.25">
      <c r="AA352" s="82"/>
      <c r="AB352" s="75"/>
      <c r="AC352" s="75"/>
      <c r="AD352" s="166"/>
      <c r="AE352" s="75">
        <v>2.1139999999999999</v>
      </c>
      <c r="AF352" s="82">
        <v>2</v>
      </c>
      <c r="AG352" s="82">
        <v>1</v>
      </c>
      <c r="AH352" s="82">
        <v>2</v>
      </c>
      <c r="AI352" s="82">
        <v>2.999999999992724</v>
      </c>
      <c r="AJ352" s="166">
        <v>2.1142300000000001</v>
      </c>
      <c r="AK352" s="82">
        <v>2.1141299999999998</v>
      </c>
      <c r="AL352" s="162">
        <v>0</v>
      </c>
      <c r="AM352" s="162">
        <v>0</v>
      </c>
      <c r="AN352" s="162">
        <v>0</v>
      </c>
      <c r="AO352" s="162">
        <v>-6.9252157503873875</v>
      </c>
      <c r="AP352" s="162">
        <v>0</v>
      </c>
      <c r="AQ352" s="162">
        <v>0</v>
      </c>
      <c r="AR352" s="710" t="str">
        <v>CPS-31654-00(.020)r1.asm</v>
      </c>
      <c r="AV352" s="82" t="str">
        <v>204,204,0</v>
      </c>
      <c r="AW352" s="966">
        <v>-56.419999999999987</v>
      </c>
      <c r="AX352" s="966">
        <v>-63.345215750387375</v>
      </c>
      <c r="AY352" s="966">
        <v>-6.9252157503873875</v>
      </c>
    </row>
    <row r="353" spans="27:51" x14ac:dyDescent="0.25">
      <c r="AA353" s="82"/>
      <c r="AB353" s="75"/>
      <c r="AC353" s="75"/>
      <c r="AD353" s="166"/>
      <c r="AE353" s="75">
        <v>2.1110000000000002</v>
      </c>
      <c r="AF353" s="82">
        <v>2</v>
      </c>
      <c r="AG353" s="82">
        <v>1</v>
      </c>
      <c r="AH353" s="82">
        <v>2</v>
      </c>
      <c r="AI353" s="82">
        <v>3.0000000000291038</v>
      </c>
      <c r="AJ353" s="166">
        <v>2.1112300000000004</v>
      </c>
      <c r="AK353" s="82">
        <v>2.1111300000000002</v>
      </c>
      <c r="AL353" s="162">
        <v>0</v>
      </c>
      <c r="AM353" s="162">
        <v>0</v>
      </c>
      <c r="AN353" s="162">
        <v>0</v>
      </c>
      <c r="AO353" s="162">
        <v>-11.445056903293299</v>
      </c>
      <c r="AP353" s="162">
        <v>0</v>
      </c>
      <c r="AQ353" s="162">
        <v>0</v>
      </c>
      <c r="AR353" s="710" t="str">
        <v>CPS-31654-00(.020)r1.asm</v>
      </c>
      <c r="AV353" s="82" t="str">
        <v>204,204,0</v>
      </c>
      <c r="AW353" s="966">
        <v>-22.760000000000005</v>
      </c>
      <c r="AX353" s="966">
        <v>-34.205056903293304</v>
      </c>
      <c r="AY353" s="966">
        <v>-11.445056903293299</v>
      </c>
    </row>
    <row r="354" spans="27:51" x14ac:dyDescent="0.25">
      <c r="AA354" s="82"/>
      <c r="AB354" s="75"/>
      <c r="AC354" s="75"/>
      <c r="AD354" s="166"/>
      <c r="AE354" s="75">
        <v>2.1080000000000001</v>
      </c>
      <c r="AF354" s="82">
        <v>2</v>
      </c>
      <c r="AG354" s="82">
        <v>1</v>
      </c>
      <c r="AH354" s="82">
        <v>2</v>
      </c>
      <c r="AI354" s="82">
        <v>3.0000000000291038</v>
      </c>
      <c r="AJ354" s="166">
        <v>2.1082300000000003</v>
      </c>
      <c r="AK354" s="82">
        <v>2.1081300000000001</v>
      </c>
      <c r="AL354" s="162">
        <v>0</v>
      </c>
      <c r="AM354" s="162">
        <v>0</v>
      </c>
      <c r="AN354" s="162">
        <v>0</v>
      </c>
      <c r="AO354" s="162">
        <v>-13.94709343707801</v>
      </c>
      <c r="AP354" s="162">
        <v>0</v>
      </c>
      <c r="AQ354" s="162">
        <v>0</v>
      </c>
      <c r="AR354" s="710" t="str">
        <v>CPS-31654-00(.020)r1.asm</v>
      </c>
      <c r="AV354" s="82" t="str">
        <v>204,204,0</v>
      </c>
      <c r="AW354" s="966">
        <v>10.879999999999995</v>
      </c>
      <c r="AX354" s="966">
        <v>-3.0670934370780145</v>
      </c>
      <c r="AY354" s="966">
        <v>-13.94709343707801</v>
      </c>
    </row>
    <row r="355" spans="27:51" x14ac:dyDescent="0.25">
      <c r="AA355" s="82"/>
      <c r="AB355" s="75"/>
      <c r="AC355" s="75"/>
      <c r="AD355" s="166"/>
      <c r="AE355" s="75">
        <v>1.119</v>
      </c>
      <c r="AF355" s="82">
        <v>1</v>
      </c>
      <c r="AG355" s="82">
        <v>1</v>
      </c>
      <c r="AH355" s="82">
        <v>2</v>
      </c>
      <c r="AI355" s="82">
        <v>2.999999999992724</v>
      </c>
      <c r="AJ355" s="166">
        <v>1.1192299999999999</v>
      </c>
      <c r="AK355" s="82">
        <v>1.11913</v>
      </c>
      <c r="AL355" s="162">
        <v>0</v>
      </c>
      <c r="AM355" s="162">
        <v>0</v>
      </c>
      <c r="AN355" s="162">
        <v>0</v>
      </c>
      <c r="AO355" s="162">
        <v>7.114880423187472</v>
      </c>
      <c r="AP355" s="162">
        <v>0</v>
      </c>
      <c r="AQ355" s="162">
        <v>0</v>
      </c>
      <c r="AR355" s="710" t="str">
        <v>CPS-31650-00r1.asm</v>
      </c>
      <c r="AV355" s="82" t="str">
        <v>255,127,0</v>
      </c>
      <c r="AW355" s="966">
        <v>-90</v>
      </c>
      <c r="AX355" s="966">
        <v>-82.885119576812528</v>
      </c>
      <c r="AY355" s="966">
        <v>7.114880423187472</v>
      </c>
    </row>
    <row r="356" spans="27:51" x14ac:dyDescent="0.25">
      <c r="AA356" s="82"/>
      <c r="AB356" s="75"/>
      <c r="AC356" s="75"/>
      <c r="AD356" s="166"/>
      <c r="AE356" s="75">
        <v>1.1160000000000001</v>
      </c>
      <c r="AF356" s="82">
        <v>1</v>
      </c>
      <c r="AG356" s="82">
        <v>1</v>
      </c>
      <c r="AH356" s="82">
        <v>2</v>
      </c>
      <c r="AI356" s="82">
        <v>3.0000000000109139</v>
      </c>
      <c r="AJ356" s="166">
        <v>1.1162300000000001</v>
      </c>
      <c r="AK356" s="82">
        <v>1.1161300000000001</v>
      </c>
      <c r="AL356" s="162">
        <v>0</v>
      </c>
      <c r="AM356" s="162">
        <v>0</v>
      </c>
      <c r="AN356" s="162">
        <v>0</v>
      </c>
      <c r="AO356" s="162">
        <v>3.4467758997179345</v>
      </c>
      <c r="AP356" s="162">
        <v>0</v>
      </c>
      <c r="AQ356" s="162">
        <v>0</v>
      </c>
      <c r="AR356" s="710" t="str">
        <v>CPS-32425r1.par</v>
      </c>
      <c r="AV356" s="82" t="str">
        <v>255,127,0</v>
      </c>
      <c r="AW356" s="966">
        <v>-78.53</v>
      </c>
      <c r="AX356" s="966">
        <v>-75.083224100282067</v>
      </c>
      <c r="AY356" s="966">
        <v>3.4467758997179345</v>
      </c>
    </row>
    <row r="357" spans="27:51" x14ac:dyDescent="0.25">
      <c r="AA357" s="82"/>
      <c r="AB357" s="75"/>
      <c r="AC357" s="75"/>
      <c r="AD357" s="166"/>
      <c r="AE357" s="75">
        <v>1.113</v>
      </c>
      <c r="AF357" s="82">
        <v>1</v>
      </c>
      <c r="AG357" s="82">
        <v>1</v>
      </c>
      <c r="AH357" s="82">
        <v>2</v>
      </c>
      <c r="AI357" s="82">
        <v>2.999999999992724</v>
      </c>
      <c r="AJ357" s="166">
        <v>1.1132299999999999</v>
      </c>
      <c r="AK357" s="82">
        <v>1.11313</v>
      </c>
      <c r="AL357" s="162">
        <v>0</v>
      </c>
      <c r="AM357" s="162">
        <v>0</v>
      </c>
      <c r="AN357" s="162">
        <v>0</v>
      </c>
      <c r="AO357" s="162">
        <v>-8.5390609582298538</v>
      </c>
      <c r="AP357" s="162">
        <v>0</v>
      </c>
      <c r="AQ357" s="162">
        <v>0</v>
      </c>
      <c r="AR357" s="710" t="str">
        <v>CPS-31654-00(.020)r1.asm</v>
      </c>
      <c r="AV357" s="82" t="str">
        <v>255,127,0</v>
      </c>
      <c r="AW357" s="966">
        <v>-45.319999999999993</v>
      </c>
      <c r="AX357" s="966">
        <v>-53.859060958229847</v>
      </c>
      <c r="AY357" s="966">
        <v>-8.5390609582298538</v>
      </c>
    </row>
    <row r="358" spans="27:51" x14ac:dyDescent="0.25">
      <c r="AA358" s="82"/>
      <c r="AB358" s="75"/>
      <c r="AC358" s="75"/>
      <c r="AD358" s="166"/>
      <c r="AE358" s="75">
        <v>1.1100000000000001</v>
      </c>
      <c r="AF358" s="82">
        <v>1</v>
      </c>
      <c r="AG358" s="82">
        <v>1</v>
      </c>
      <c r="AH358" s="82">
        <v>2</v>
      </c>
      <c r="AI358" s="82">
        <v>3.0000000000109139</v>
      </c>
      <c r="AJ358" s="166">
        <v>1.1102300000000001</v>
      </c>
      <c r="AK358" s="82">
        <v>1.1101300000000001</v>
      </c>
      <c r="AL358" s="162">
        <v>0</v>
      </c>
      <c r="AM358" s="162">
        <v>0</v>
      </c>
      <c r="AN358" s="162">
        <v>0</v>
      </c>
      <c r="AO358" s="162">
        <v>-12.819475319260988</v>
      </c>
      <c r="AP358" s="162">
        <v>0</v>
      </c>
      <c r="AQ358" s="162">
        <v>0</v>
      </c>
      <c r="AR358" s="710" t="str">
        <v>CPS-32425r1.par</v>
      </c>
      <c r="AV358" s="82" t="str">
        <v>255,127,0</v>
      </c>
      <c r="AW358" s="966">
        <v>-11.469999999999999</v>
      </c>
      <c r="AX358" s="966">
        <v>-24.289475319260987</v>
      </c>
      <c r="AY358" s="966">
        <v>-12.819475319260988</v>
      </c>
    </row>
    <row r="359" spans="27:51" x14ac:dyDescent="0.25">
      <c r="AA359" s="82"/>
      <c r="AB359" s="75"/>
      <c r="AC359" s="75"/>
      <c r="AD359" s="166"/>
      <c r="AE359" s="75">
        <v>1.107</v>
      </c>
      <c r="AF359" s="82">
        <v>1</v>
      </c>
      <c r="AG359" s="82">
        <v>1</v>
      </c>
      <c r="AH359" s="82">
        <v>2</v>
      </c>
      <c r="AI359" s="82">
        <v>2.999999999992724</v>
      </c>
      <c r="AJ359" s="166">
        <v>1.1072299999999999</v>
      </c>
      <c r="AK359" s="82">
        <v>1.1071299999999999</v>
      </c>
      <c r="AL359" s="162">
        <v>0</v>
      </c>
      <c r="AM359" s="162">
        <v>0</v>
      </c>
      <c r="AN359" s="162">
        <v>0</v>
      </c>
      <c r="AO359" s="162">
        <v>-18.497064912911554</v>
      </c>
      <c r="AP359" s="162">
        <v>0</v>
      </c>
      <c r="AQ359" s="162">
        <v>0</v>
      </c>
      <c r="AR359" s="710" t="str">
        <v>CPS-31654-00(.020)r1.asm</v>
      </c>
      <c r="AV359" s="82" t="str">
        <v>255,127,0</v>
      </c>
      <c r="AW359" s="966">
        <v>15</v>
      </c>
      <c r="AX359" s="966">
        <v>-3.4970649129115547</v>
      </c>
      <c r="AY359" s="966">
        <v>-18.497064912911554</v>
      </c>
    </row>
    <row r="360" spans="27:51" x14ac:dyDescent="0.25">
      <c r="AA360" s="82"/>
      <c r="AB360" s="75"/>
      <c r="AC360" s="75"/>
      <c r="AD360" s="166"/>
      <c r="AE360" s="75">
        <v>1.1040000000000001</v>
      </c>
      <c r="AF360" s="82">
        <v>1</v>
      </c>
      <c r="AG360" s="82">
        <v>1</v>
      </c>
      <c r="AH360" s="82">
        <v>2</v>
      </c>
      <c r="AI360" s="82">
        <v>3.0000000000109139</v>
      </c>
      <c r="AJ360" s="166">
        <v>1.10423</v>
      </c>
      <c r="AK360" s="82">
        <v>1.1041300000000001</v>
      </c>
      <c r="AL360" s="162">
        <v>0</v>
      </c>
      <c r="AM360" s="162">
        <v>0</v>
      </c>
      <c r="AN360" s="162">
        <v>0</v>
      </c>
      <c r="AO360" s="162">
        <v>-21.037121985193423</v>
      </c>
      <c r="AP360" s="162">
        <v>0</v>
      </c>
      <c r="AQ360" s="162">
        <v>0</v>
      </c>
      <c r="AR360" s="710" t="str">
        <v>1613 Ripper.par</v>
      </c>
      <c r="AV360" s="82" t="str">
        <v>255,127,0</v>
      </c>
      <c r="AW360" s="966">
        <v>15</v>
      </c>
      <c r="AX360" s="966">
        <v>-6.0371219851934219</v>
      </c>
      <c r="AY360" s="966">
        <v>-21.037121985193423</v>
      </c>
    </row>
    <row r="361" spans="27:51" x14ac:dyDescent="0.25">
      <c r="AA361" s="82"/>
      <c r="AB361" s="75"/>
      <c r="AC361" s="75"/>
      <c r="AD361" s="166"/>
      <c r="AE361" s="75">
        <v>1.101</v>
      </c>
      <c r="AF361" s="82">
        <v>1</v>
      </c>
      <c r="AG361" s="82">
        <v>1</v>
      </c>
      <c r="AH361" s="82">
        <v>2</v>
      </c>
      <c r="AI361" s="82">
        <v>2.999999999992724</v>
      </c>
      <c r="AJ361" s="166">
        <v>1.1012299999999999</v>
      </c>
      <c r="AK361" s="82">
        <v>1.1011299999999999</v>
      </c>
      <c r="AL361" s="162">
        <v>0</v>
      </c>
      <c r="AM361" s="162">
        <v>0</v>
      </c>
      <c r="AN361" s="162">
        <v>0</v>
      </c>
      <c r="AO361" s="162">
        <v>-29.15496962616082</v>
      </c>
      <c r="AP361" s="162">
        <v>0</v>
      </c>
      <c r="AQ361" s="162">
        <v>0</v>
      </c>
      <c r="AR361" s="710" t="str">
        <v>CPS-31650-00r1.asm</v>
      </c>
      <c r="AV361" s="82" t="str">
        <v>255,127,0</v>
      </c>
      <c r="AW361" s="966">
        <v>15</v>
      </c>
      <c r="AX361" s="966">
        <v>-14.154969626160819</v>
      </c>
      <c r="AY361" s="966">
        <v>-29.15496962616082</v>
      </c>
    </row>
    <row r="362" spans="27:51" x14ac:dyDescent="0.25">
      <c r="AF362" s="82"/>
    </row>
    <row r="363" spans="27:51" x14ac:dyDescent="0.25">
      <c r="AF363" s="82"/>
    </row>
    <row r="364" spans="27:51" x14ac:dyDescent="0.25">
      <c r="AF364" s="82"/>
    </row>
    <row r="365" spans="27:51" x14ac:dyDescent="0.25">
      <c r="AF365" s="82"/>
    </row>
    <row r="366" spans="27:51" x14ac:dyDescent="0.25">
      <c r="AF366" s="82"/>
    </row>
    <row r="367" spans="27:51" x14ac:dyDescent="0.25">
      <c r="AF367" s="82"/>
    </row>
    <row r="368" spans="27:51" x14ac:dyDescent="0.25">
      <c r="AF368" s="82"/>
    </row>
    <row r="369" spans="32:32" x14ac:dyDescent="0.25">
      <c r="AF369" s="82"/>
    </row>
    <row r="370" spans="32:32" x14ac:dyDescent="0.25">
      <c r="AF370" s="82"/>
    </row>
    <row r="371" spans="32:32" x14ac:dyDescent="0.25">
      <c r="AF371" s="82"/>
    </row>
    <row r="372" spans="32:32" x14ac:dyDescent="0.25">
      <c r="AF372" s="82"/>
    </row>
    <row r="373" spans="32:32" x14ac:dyDescent="0.25">
      <c r="AF373" s="82"/>
    </row>
    <row r="1048576" spans="12:12" x14ac:dyDescent="0.25">
      <c r="L1048576" s="683"/>
    </row>
  </sheetData>
  <mergeCells count="174"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73" t="str">
        <f>CONCATENATE(Settings!$C$19," ",Settings!$B$28)</f>
        <v>7.875 2556r00</v>
      </c>
      <c r="D1" s="1173"/>
      <c r="E1" s="1173"/>
      <c r="F1" s="1173"/>
      <c r="G1" s="1173"/>
      <c r="H1" s="1173"/>
      <c r="I1" s="1173"/>
      <c r="J1" s="1173"/>
      <c r="K1" s="1173"/>
      <c r="M1" s="103" t="s">
        <v>310</v>
      </c>
      <c r="N1" s="1421" t="s">
        <v>312</v>
      </c>
      <c r="O1" s="142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17" t="str">
        <f>Settings!B28</f>
        <v>2556r00</v>
      </c>
      <c r="C2" s="1418"/>
      <c r="D2" s="1418"/>
      <c r="E2" s="1418"/>
      <c r="F2" s="1418"/>
      <c r="G2" s="1418"/>
      <c r="H2" s="1418"/>
      <c r="I2" s="1418"/>
      <c r="J2" s="1418"/>
      <c r="K2" s="1419"/>
      <c r="L2" s="1122" t="str" cm="1">
        <f t="array" ref="L2">IF(OR($K$9:$K$150="Undefined"),"Undefined Element","")</f>
        <v/>
      </c>
      <c r="M2" s="1414" t="s">
        <v>0</v>
      </c>
      <c r="N2" s="1139" t="s">
        <v>1</v>
      </c>
      <c r="O2" s="1140"/>
      <c r="P2" s="1140"/>
      <c r="Q2" s="1140"/>
      <c r="R2" s="1140"/>
      <c r="S2" s="1140"/>
      <c r="T2" s="1140"/>
      <c r="U2" s="1140"/>
      <c r="V2" s="1140"/>
      <c r="W2" s="1140"/>
      <c r="X2" s="1140"/>
      <c r="Y2" s="1141"/>
      <c r="Z2" s="1139" t="s">
        <v>2</v>
      </c>
      <c r="AA2" s="1140"/>
      <c r="AB2" s="1140"/>
      <c r="AC2" s="1140"/>
      <c r="AD2" s="1140"/>
      <c r="AE2" s="1140"/>
      <c r="AF2" s="1140"/>
      <c r="AG2" s="1140"/>
      <c r="AH2" s="1140"/>
      <c r="AI2" s="1140"/>
      <c r="AJ2" s="1140"/>
      <c r="AK2" s="1140"/>
      <c r="AL2" s="1140"/>
      <c r="AM2" s="1140"/>
      <c r="AN2" s="1140"/>
      <c r="AO2" s="1140"/>
      <c r="AP2" s="1140"/>
      <c r="AQ2" s="1163"/>
      <c r="AS2" s="1147" t="s">
        <v>44</v>
      </c>
      <c r="AT2" s="1148"/>
      <c r="AV2" s="1411" t="str">
        <f>M2</f>
        <v>CS-Name</v>
      </c>
      <c r="AW2" s="1390"/>
      <c r="AX2" s="1390"/>
      <c r="AY2" s="1390"/>
      <c r="AZ2" s="1390"/>
      <c r="BA2" s="1390"/>
      <c r="BB2" s="1390"/>
      <c r="BC2" s="1391"/>
      <c r="BF2" s="1383" t="s">
        <v>313</v>
      </c>
      <c r="BG2" s="1384"/>
      <c r="BH2" s="1384"/>
      <c r="BI2" s="1384"/>
      <c r="BJ2" s="1384"/>
      <c r="BK2" s="1385"/>
      <c r="BM2" s="1373" t="s">
        <v>270</v>
      </c>
      <c r="BN2" s="1091"/>
      <c r="BO2" s="1091"/>
      <c r="BP2" s="1092"/>
      <c r="BR2" s="1373" t="s">
        <v>270</v>
      </c>
      <c r="BS2" s="1091"/>
      <c r="BT2" s="1091"/>
      <c r="BU2" s="109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79"/>
      <c r="C3" s="1180"/>
      <c r="D3" s="1180"/>
      <c r="E3" s="1180"/>
      <c r="F3" s="1180"/>
      <c r="G3" s="1180"/>
      <c r="H3" s="1180"/>
      <c r="I3" s="1180"/>
      <c r="J3" s="1180"/>
      <c r="K3" s="1181"/>
      <c r="L3" s="1122"/>
      <c r="M3" s="1415"/>
      <c r="N3" s="1142"/>
      <c r="O3" s="1143"/>
      <c r="P3" s="1143"/>
      <c r="Q3" s="1143"/>
      <c r="R3" s="1143"/>
      <c r="S3" s="1143"/>
      <c r="T3" s="1143"/>
      <c r="U3" s="1143"/>
      <c r="V3" s="1143"/>
      <c r="W3" s="1143"/>
      <c r="X3" s="1143"/>
      <c r="Y3" s="1144"/>
      <c r="Z3" s="1220"/>
      <c r="AA3" s="1171"/>
      <c r="AB3" s="1171"/>
      <c r="AC3" s="1171"/>
      <c r="AD3" s="1171"/>
      <c r="AE3" s="1171"/>
      <c r="AF3" s="1171"/>
      <c r="AG3" s="1171"/>
      <c r="AH3" s="1171"/>
      <c r="AI3" s="1171"/>
      <c r="AJ3" s="1171"/>
      <c r="AK3" s="1171"/>
      <c r="AL3" s="1171"/>
      <c r="AM3" s="1171"/>
      <c r="AN3" s="1171"/>
      <c r="AO3" s="1171"/>
      <c r="AP3" s="1171"/>
      <c r="AQ3" s="1221"/>
      <c r="AS3" s="415">
        <v>100</v>
      </c>
      <c r="AT3" s="412" t="s">
        <v>45</v>
      </c>
      <c r="AV3" s="1412"/>
      <c r="AW3" s="1392"/>
      <c r="AX3" s="1392"/>
      <c r="AY3" s="1392"/>
      <c r="AZ3" s="1392"/>
      <c r="BA3" s="1392"/>
      <c r="BB3" s="1392"/>
      <c r="BC3" s="1393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19" t="s">
        <v>307</v>
      </c>
      <c r="C4" s="971"/>
      <c r="D4" s="971"/>
      <c r="E4" s="971"/>
      <c r="F4" s="971"/>
      <c r="G4" s="971"/>
      <c r="H4" s="971"/>
      <c r="I4" s="971"/>
      <c r="J4" s="971"/>
      <c r="K4" s="1420"/>
      <c r="L4" s="1122"/>
      <c r="M4" s="1415"/>
      <c r="N4" s="1197" t="s">
        <v>3</v>
      </c>
      <c r="O4" s="1131"/>
      <c r="P4" s="1131"/>
      <c r="Q4" s="1132" t="s">
        <v>4</v>
      </c>
      <c r="R4" s="1131"/>
      <c r="S4" s="1133"/>
      <c r="T4" s="1206" t="str">
        <f>N4</f>
        <v>Cartesian Coordinates</v>
      </c>
      <c r="U4" s="1177"/>
      <c r="V4" s="1207"/>
      <c r="W4" s="1177" t="str">
        <f>Q4</f>
        <v>Polar XY; Cartesian Z</v>
      </c>
      <c r="X4" s="1177"/>
      <c r="Y4" s="1178"/>
      <c r="Z4" s="1422" t="s">
        <v>3</v>
      </c>
      <c r="AA4" s="1397"/>
      <c r="AB4" s="1397"/>
      <c r="AC4" s="1397"/>
      <c r="AD4" s="1397"/>
      <c r="AE4" s="1397"/>
      <c r="AF4" s="1397"/>
      <c r="AG4" s="1396" t="s">
        <v>31</v>
      </c>
      <c r="AH4" s="1397"/>
      <c r="AI4" s="1397"/>
      <c r="AJ4" s="1398"/>
      <c r="AK4" s="1376" t="s">
        <v>32</v>
      </c>
      <c r="AL4" s="1377"/>
      <c r="AM4" s="1377"/>
      <c r="AN4" s="1377"/>
      <c r="AO4" s="1377"/>
      <c r="AP4" s="1377"/>
      <c r="AQ4" s="1378"/>
      <c r="AS4" s="416">
        <v>0</v>
      </c>
      <c r="AT4" s="413" t="s">
        <v>46</v>
      </c>
      <c r="AV4" s="1412"/>
      <c r="AW4" s="1394"/>
      <c r="AX4" s="1394"/>
      <c r="AY4" s="1394"/>
      <c r="AZ4" s="1395"/>
      <c r="BA4" s="1394" t="str">
        <f>Z2</f>
        <v>PDC Orientation</v>
      </c>
      <c r="BB4" s="1394"/>
      <c r="BC4" s="1395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6" t="s">
        <v>372</v>
      </c>
      <c r="IF4" s="99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79" t="str">
        <f>CONCATENATE(B7," ; ",E7," ; ",H8)</f>
        <v>Absolute-Point ; Incremental-Vector Point ; Radius</v>
      </c>
      <c r="C5" s="1180"/>
      <c r="D5" s="1180"/>
      <c r="E5" s="1180"/>
      <c r="F5" s="1180"/>
      <c r="G5" s="1180"/>
      <c r="H5" s="1180"/>
      <c r="I5" s="1180"/>
      <c r="J5" s="1180"/>
      <c r="K5" s="1181"/>
      <c r="L5" s="813" t="str" cm="1">
        <f t="array" ref="L5">IF(OR(IF(LEFT($K$9:$K$150,4)="&lt;&gt;CS",TRUE,FALSE)),"Wrong CS","")</f>
        <v/>
      </c>
      <c r="M5" s="1415"/>
      <c r="N5" s="1216" t="s">
        <v>5</v>
      </c>
      <c r="O5" s="1086"/>
      <c r="P5" s="1086"/>
      <c r="Q5" s="1085" t="s">
        <v>6</v>
      </c>
      <c r="R5" s="1086"/>
      <c r="S5" s="1087"/>
      <c r="T5" s="1127" t="str">
        <f>CONCATENATE("Relative to ",M8,"'s θ &amp; Z; Z Axis")</f>
        <v>Relative to 's θ &amp; Z; Z Axis</v>
      </c>
      <c r="U5" s="1128"/>
      <c r="V5" s="1159"/>
      <c r="W5" s="1128" t="str">
        <f>CONCATENATE("Relative to ",M8,"'s θ &amp; Z; Z Axis")</f>
        <v>Relative to 's θ &amp; Z; Z Axis</v>
      </c>
      <c r="X5" s="1128"/>
      <c r="Y5" s="1208"/>
      <c r="Z5" s="1198" t="str">
        <f>N5</f>
        <v>Relative to World_CS</v>
      </c>
      <c r="AA5" s="1128"/>
      <c r="AB5" s="1128"/>
      <c r="AC5" s="1128"/>
      <c r="AD5" s="1128"/>
      <c r="AE5" s="1128"/>
      <c r="AF5" s="1128"/>
      <c r="AG5" s="1127" t="str">
        <f>N5</f>
        <v>Relative to World_CS</v>
      </c>
      <c r="AH5" s="1128"/>
      <c r="AI5" s="1128"/>
      <c r="AJ5" s="1129"/>
      <c r="AK5" s="1168" t="s">
        <v>7</v>
      </c>
      <c r="AL5" s="1086"/>
      <c r="AM5" s="1086"/>
      <c r="AN5" s="1086"/>
      <c r="AO5" s="1086"/>
      <c r="AP5" s="1086"/>
      <c r="AQ5" s="1087"/>
      <c r="AS5" s="167">
        <f>(((AS4*12)/60)/AS3)</f>
        <v>0</v>
      </c>
      <c r="AT5" s="413" t="s">
        <v>47</v>
      </c>
      <c r="AV5" s="1412"/>
      <c r="AW5" s="1206" t="str">
        <f>W4</f>
        <v>Polar XY; Cartesian Z</v>
      </c>
      <c r="AX5" s="1177"/>
      <c r="AY5" s="1177"/>
      <c r="AZ5" s="1306" t="s">
        <v>104</v>
      </c>
      <c r="BA5" s="1177" t="str">
        <f>AK4</f>
        <v>Polar Z Projection → XZ Plane</v>
      </c>
      <c r="BB5" s="1177"/>
      <c r="BC5" s="1225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2"/>
      <c r="C6" s="1183"/>
      <c r="D6" s="1183"/>
      <c r="E6" s="1183"/>
      <c r="F6" s="1183"/>
      <c r="G6" s="1183"/>
      <c r="H6" s="1183"/>
      <c r="I6" s="1183"/>
      <c r="J6" s="1183"/>
      <c r="K6" s="1184"/>
      <c r="L6" s="1122" t="str" cm="1">
        <f t="array" ref="L6">IF(OR($K$9:$K$150="Inactive"),"Inactive Element","")</f>
        <v/>
      </c>
      <c r="M6" s="1415"/>
      <c r="N6" s="1212" t="s">
        <v>8</v>
      </c>
      <c r="O6" s="1214" t="s">
        <v>9</v>
      </c>
      <c r="P6" s="1083" t="s">
        <v>10</v>
      </c>
      <c r="Q6" s="1123" t="s">
        <v>11</v>
      </c>
      <c r="R6" s="1124"/>
      <c r="S6" s="1209" t="s">
        <v>10</v>
      </c>
      <c r="T6" s="1155" t="str">
        <f>N6</f>
        <v>X</v>
      </c>
      <c r="U6" s="1157" t="str">
        <f>O6</f>
        <v>Y</v>
      </c>
      <c r="V6" s="1204" t="str">
        <f>P6</f>
        <v>Z</v>
      </c>
      <c r="W6" s="1195" t="str">
        <f>Q6</f>
        <v>Projected XY</v>
      </c>
      <c r="X6" s="1196"/>
      <c r="Y6" s="1153" t="str">
        <f>S6</f>
        <v>Z</v>
      </c>
      <c r="Z6" s="1134" t="s">
        <v>12</v>
      </c>
      <c r="AA6" s="1135"/>
      <c r="AB6" s="1135"/>
      <c r="AC6" s="1136"/>
      <c r="AD6" s="1132" t="s">
        <v>13</v>
      </c>
      <c r="AE6" s="1131"/>
      <c r="AF6" s="1131"/>
      <c r="AG6" s="1130" t="s">
        <v>7</v>
      </c>
      <c r="AH6" s="1131"/>
      <c r="AI6" s="1132" t="s">
        <v>14</v>
      </c>
      <c r="AJ6" s="1133"/>
      <c r="AK6" s="1206" t="str">
        <f>AD6</f>
        <v>Unit Vector</v>
      </c>
      <c r="AL6" s="1177"/>
      <c r="AM6" s="1225"/>
      <c r="AN6" s="34" t="s">
        <v>15</v>
      </c>
      <c r="AO6" s="35" t="s">
        <v>16</v>
      </c>
      <c r="AP6" s="680" t="s">
        <v>17</v>
      </c>
      <c r="AQ6" s="1423" t="s">
        <v>108</v>
      </c>
      <c r="AS6" s="168">
        <f>(AS5/360)</f>
        <v>0</v>
      </c>
      <c r="AT6" s="414" t="s">
        <v>48</v>
      </c>
      <c r="AV6" s="1412"/>
      <c r="AW6" s="1127" t="str">
        <f>W5</f>
        <v>Relative to 's θ &amp; Z; Z Axis</v>
      </c>
      <c r="AX6" s="1128"/>
      <c r="AY6" s="1128"/>
      <c r="AZ6" s="1408"/>
      <c r="BA6" s="1128" t="str">
        <f>AK5</f>
        <v>Vector Along X Axis</v>
      </c>
      <c r="BB6" s="1128"/>
      <c r="BC6" s="1129"/>
      <c r="BD6" s="417"/>
      <c r="BF6" s="410">
        <f>SUM(AZ9:AZ150)</f>
        <v>0</v>
      </c>
      <c r="BG6" s="1401" t="s">
        <v>309</v>
      </c>
      <c r="BH6" s="1401"/>
      <c r="BI6" s="1401"/>
      <c r="BJ6" s="1401"/>
      <c r="BK6" s="1401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99" t="s">
        <v>40</v>
      </c>
      <c r="C7" s="1200"/>
      <c r="D7" s="1201"/>
      <c r="E7" s="1202" t="s">
        <v>41</v>
      </c>
      <c r="F7" s="1200"/>
      <c r="G7" s="1203"/>
      <c r="H7" s="994" t="s">
        <v>305</v>
      </c>
      <c r="I7" s="1014"/>
      <c r="J7" s="995"/>
      <c r="K7" s="488"/>
      <c r="L7" s="1122"/>
      <c r="M7" s="1416"/>
      <c r="N7" s="1213"/>
      <c r="O7" s="1215"/>
      <c r="P7" s="1084"/>
      <c r="Q7" s="36" t="s">
        <v>18</v>
      </c>
      <c r="R7" s="2" t="s">
        <v>19</v>
      </c>
      <c r="S7" s="1210"/>
      <c r="T7" s="1156"/>
      <c r="U7" s="1158"/>
      <c r="V7" s="1205"/>
      <c r="W7" s="37" t="str">
        <f>Q7</f>
        <v>&lt; θ°</v>
      </c>
      <c r="X7" s="27" t="str">
        <f>R7</f>
        <v>r</v>
      </c>
      <c r="Y7" s="1154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24"/>
      <c r="AS7" s="1399" t="s">
        <v>54</v>
      </c>
      <c r="AT7" s="1374" t="s">
        <v>53</v>
      </c>
      <c r="AV7" s="1412"/>
      <c r="AW7" s="1407" t="str">
        <f>$W$6</f>
        <v>Projected XY</v>
      </c>
      <c r="AX7" s="1196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1"/>
      <c r="BH7" s="1401"/>
      <c r="BI7" s="1401"/>
      <c r="BJ7" s="1401"/>
      <c r="BK7" s="1401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0" t="s">
        <v>33</v>
      </c>
      <c r="IH7" s="1279" t="s">
        <v>376</v>
      </c>
      <c r="II7" s="1016" t="s">
        <v>324</v>
      </c>
      <c r="IJ7" s="1017"/>
      <c r="IK7" s="1017"/>
      <c r="IL7" s="1014"/>
      <c r="IM7" s="1014"/>
      <c r="IN7" s="1014"/>
      <c r="IO7" s="995"/>
      <c r="IP7" s="994" t="s">
        <v>320</v>
      </c>
      <c r="IQ7" s="1014"/>
      <c r="IR7" s="1014"/>
      <c r="IS7" s="1014"/>
      <c r="IT7" s="1014"/>
      <c r="IU7" s="994" t="s">
        <v>319</v>
      </c>
      <c r="IV7" s="1014"/>
      <c r="IW7" s="1014"/>
      <c r="IX7" s="1014"/>
      <c r="IY7" s="995"/>
      <c r="JA7" s="725"/>
      <c r="JB7" s="1372" t="s">
        <v>355</v>
      </c>
      <c r="JC7" s="1088"/>
      <c r="JD7" s="1088"/>
      <c r="JE7" s="108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22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0"/>
      <c r="AT8" s="1375"/>
      <c r="AV8" s="1413"/>
      <c r="AW8" s="46" t="str">
        <f>$W$7</f>
        <v>&lt; θ°</v>
      </c>
      <c r="AX8" s="27" t="str">
        <f>$X$7</f>
        <v>r</v>
      </c>
      <c r="AY8" s="1410"/>
      <c r="AZ8" s="130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81"/>
      <c r="IH8" s="1280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90" t="s">
        <v>356</v>
      </c>
      <c r="JC19" s="1091"/>
      <c r="JD19" s="1091"/>
      <c r="JE19" s="1091"/>
      <c r="JF19" s="1091"/>
      <c r="JG19" s="1091"/>
      <c r="JH19" s="1091"/>
      <c r="JI19" s="1092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3" t="s">
        <v>360</v>
      </c>
      <c r="JC20" s="1094"/>
      <c r="JD20" s="1094"/>
      <c r="JE20" s="1094"/>
      <c r="JF20" s="1301" t="s">
        <v>361</v>
      </c>
      <c r="JG20" s="1302"/>
      <c r="JH20" s="1302"/>
      <c r="JI20" s="130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5"/>
      <c r="JC21" s="1096"/>
      <c r="JD21" s="1096"/>
      <c r="JE21" s="1096"/>
      <c r="JF21" s="1304" t="s">
        <v>349</v>
      </c>
      <c r="JG21" s="1305"/>
      <c r="JH21" s="1097" t="s">
        <v>362</v>
      </c>
      <c r="JI21" s="109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388" t="str">
        <f>$Y$6</f>
        <v>Z</v>
      </c>
      <c r="AZ152" s="1386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89"/>
      <c r="AZ153" s="1387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5" t="s">
        <v>42</v>
      </c>
      <c r="C157" s="1186"/>
      <c r="D157" s="1186"/>
      <c r="E157" s="1186"/>
      <c r="F157" s="1186"/>
      <c r="G157" s="1186"/>
      <c r="H157" s="1186"/>
      <c r="I157" s="1186"/>
      <c r="J157" s="1186"/>
      <c r="K157" s="118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88"/>
      <c r="C158" s="1135"/>
      <c r="D158" s="1135"/>
      <c r="E158" s="1135"/>
      <c r="F158" s="1135"/>
      <c r="G158" s="1135"/>
      <c r="H158" s="1135"/>
      <c r="I158" s="1135"/>
      <c r="J158" s="1135"/>
      <c r="K158" s="1189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90"/>
      <c r="C159" s="1191"/>
      <c r="D159" s="1191"/>
      <c r="E159" s="1191"/>
      <c r="F159" s="1191"/>
      <c r="G159" s="1191"/>
      <c r="H159" s="1191"/>
      <c r="I159" s="1191"/>
      <c r="J159" s="1191"/>
      <c r="K159" s="1192"/>
      <c r="AQ159" s="162"/>
      <c r="BD159" s="417"/>
    </row>
    <row r="160" spans="1:259" ht="15" customHeight="1" x14ac:dyDescent="0.25">
      <c r="B160" s="1179" t="str">
        <f>CONCATENATE(B162," ; ",E162," ; ",H163)</f>
        <v>Absolute-Point ; Incremental-Vector Point ; Radius</v>
      </c>
      <c r="C160" s="1180"/>
      <c r="D160" s="1180"/>
      <c r="E160" s="1180"/>
      <c r="F160" s="1180"/>
      <c r="G160" s="1180"/>
      <c r="H160" s="1180"/>
      <c r="I160" s="1180"/>
      <c r="J160" s="1180"/>
      <c r="K160" s="1181"/>
      <c r="AQ160" s="162"/>
      <c r="BD160" s="417"/>
    </row>
    <row r="161" spans="2:56" ht="15" customHeight="1" x14ac:dyDescent="0.25">
      <c r="B161" s="1182"/>
      <c r="C161" s="1183"/>
      <c r="D161" s="1183"/>
      <c r="E161" s="1183"/>
      <c r="F161" s="1183"/>
      <c r="G161" s="1183"/>
      <c r="H161" s="1183"/>
      <c r="I161" s="1183"/>
      <c r="J161" s="1183"/>
      <c r="K161" s="1184"/>
      <c r="AQ161" s="162"/>
      <c r="BD161" s="417"/>
    </row>
    <row r="162" spans="2:56" ht="15" customHeight="1" x14ac:dyDescent="0.25">
      <c r="B162" s="1199" t="s">
        <v>40</v>
      </c>
      <c r="C162" s="1200"/>
      <c r="D162" s="1201"/>
      <c r="E162" s="1202" t="s">
        <v>41</v>
      </c>
      <c r="F162" s="1200"/>
      <c r="G162" s="1203"/>
      <c r="H162" s="994" t="s">
        <v>305</v>
      </c>
      <c r="I162" s="1014"/>
      <c r="J162" s="995"/>
      <c r="K162" s="488"/>
      <c r="M162" s="1349" t="s">
        <v>304</v>
      </c>
      <c r="N162" s="1402"/>
      <c r="O162" s="1379" t="s">
        <v>283</v>
      </c>
      <c r="P162" s="1380"/>
      <c r="Q162" s="1381"/>
      <c r="R162" s="1382" t="s">
        <v>41</v>
      </c>
      <c r="S162" s="1380"/>
      <c r="T162" s="1381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2.1080000000000001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2.1110000000000002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2.1139999999999999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2.117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3.1030000000000002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3.1059999999999999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3.109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3.1120000000000001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3.1150000000000002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3.1179999999999999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4.1100000000000003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4.1130000000000004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4.1159999999999997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4.1189999999999998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5.1020000000000003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5.1050000000000004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5.1079999999999997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5.1109999999999998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5.1139999999999999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5.117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5.12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6.109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6.1120000000000001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6.1150000000000002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6.1180000000000003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F9" sqref="F9"/>
    </sheetView>
  </sheetViews>
  <sheetFormatPr defaultRowHeight="15" x14ac:dyDescent="0.25"/>
  <cols>
    <col min="2" max="5" width="10.7109375" style="31" customWidth="1"/>
  </cols>
  <sheetData>
    <row r="7" spans="2:5" x14ac:dyDescent="0.25">
      <c r="B7" s="1373" t="s">
        <v>33</v>
      </c>
      <c r="C7" s="1425" t="s">
        <v>105</v>
      </c>
      <c r="D7" s="1381"/>
      <c r="E7" s="1427" t="s">
        <v>110</v>
      </c>
    </row>
    <row r="8" spans="2:5" ht="15.75" thickBot="1" x14ac:dyDescent="0.3">
      <c r="B8" s="1426"/>
      <c r="C8" s="839" t="s">
        <v>8</v>
      </c>
      <c r="D8" s="838" t="s">
        <v>9</v>
      </c>
      <c r="E8" s="1428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2024-05-13T15:51:10Z</dcterms:modified>
</cp:coreProperties>
</file>