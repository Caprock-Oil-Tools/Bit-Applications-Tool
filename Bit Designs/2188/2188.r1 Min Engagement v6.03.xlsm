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8\"/>
    </mc:Choice>
  </mc:AlternateContent>
  <xr:revisionPtr revIDLastSave="0" documentId="8_{7D33D9F9-F06C-4E1C-84AC-21606493823E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89" i="1"/>
  <c r="IF98" i="1"/>
  <c r="IF130" i="1"/>
  <c r="IF150" i="1"/>
  <c r="IF56" i="1"/>
  <c r="IF58" i="1"/>
  <c r="IF114" i="1"/>
  <c r="IF112" i="1"/>
  <c r="IF62" i="1"/>
  <c r="IF21" i="1"/>
  <c r="IF82" i="1"/>
  <c r="IF113" i="1"/>
  <c r="IF117" i="1"/>
  <c r="IF132" i="1"/>
  <c r="IF149" i="1"/>
  <c r="IF78" i="1"/>
  <c r="IF136" i="1"/>
  <c r="IF10" i="1"/>
  <c r="IF44" i="1"/>
  <c r="IF143" i="1"/>
  <c r="IF137" i="1"/>
  <c r="IF139" i="1"/>
  <c r="IF11" i="1"/>
  <c r="IF123" i="1"/>
  <c r="IF92" i="1"/>
  <c r="IF121" i="1"/>
  <c r="IF46" i="1"/>
  <c r="IF20" i="1"/>
  <c r="IF118" i="1"/>
  <c r="IF76" i="1"/>
  <c r="IF135" i="1"/>
  <c r="IF144" i="1"/>
  <c r="IF67" i="1"/>
  <c r="IF127" i="1"/>
  <c r="IF68" i="1"/>
  <c r="IF105" i="1"/>
  <c r="IF88" i="1"/>
  <c r="IF55" i="1"/>
  <c r="IF115" i="1"/>
  <c r="IF131" i="1"/>
  <c r="IF12" i="1"/>
  <c r="IF126" i="1"/>
  <c r="IF27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9" i="1"/>
  <c r="IF116" i="1"/>
  <c r="IF79" i="1"/>
  <c r="IF106" i="1"/>
  <c r="IF134" i="1"/>
  <c r="IF57" i="1"/>
  <c r="IF69" i="1"/>
  <c r="IF125" i="1"/>
  <c r="IF87" i="1"/>
  <c r="IF39" i="1"/>
  <c r="IF95" i="1"/>
  <c r="IF107" i="1"/>
  <c r="IF146" i="1"/>
  <c r="IF28" i="1"/>
  <c r="IF90" i="1"/>
  <c r="IF122" i="1"/>
  <c r="IF91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120" i="1"/>
  <c r="IF14" i="1"/>
  <c r="IF70" i="1"/>
  <c r="IF101" i="1"/>
  <c r="IF38" i="1"/>
  <c r="IF73" i="1"/>
  <c r="IF66" i="1"/>
  <c r="IF99" i="1"/>
  <c r="IF81" i="1"/>
  <c r="IF74" i="1"/>
  <c r="IF37" i="1"/>
  <c r="IF104" i="1"/>
  <c r="IF63" i="1"/>
  <c r="IF71" i="1"/>
  <c r="IF93" i="1"/>
  <c r="IF65" i="1"/>
  <c r="IF47" i="1"/>
  <c r="IF142" i="1"/>
  <c r="IF148" i="1"/>
  <c r="IF22" i="1"/>
  <c r="IF50" i="1"/>
  <c r="IF1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2" i="1" l="1"/>
  <c r="IV48" i="1"/>
  <c r="IQ43" i="1"/>
  <c r="IV40" i="1"/>
  <c r="IQ36" i="1"/>
  <c r="IV32" i="1"/>
  <c r="IQ35" i="1"/>
  <c r="IV31" i="1"/>
  <c r="IQ34" i="1"/>
  <c r="IV30" i="1"/>
  <c r="IQ26" i="1"/>
  <c r="IV23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IP52" i="1" l="1"/>
  <c r="IU48" i="1"/>
  <c r="IE48" i="1" s="1"/>
  <c r="IP43" i="1"/>
  <c r="IU40" i="1"/>
  <c r="IE40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IL48" i="1" s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IL16" i="1" s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0" i="1" l="1"/>
  <c r="IL32" i="1"/>
  <c r="IL31" i="1"/>
  <c r="IL30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3" i="1" s="1"/>
  <c r="AK50" i="1"/>
  <c r="AL50" i="1"/>
  <c r="AN50" i="1" s="1"/>
  <c r="IT54" i="1" s="1"/>
  <c r="U50" i="1"/>
  <c r="T50" i="1"/>
  <c r="T49" i="1"/>
  <c r="AK49" i="1"/>
  <c r="AO49" i="1" s="1"/>
  <c r="IS53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IT32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IT25" i="1" s="1"/>
  <c r="U22" i="1"/>
  <c r="AK22" i="1"/>
  <c r="T22" i="1"/>
  <c r="AK21" i="1"/>
  <c r="AO21" i="1" s="1"/>
  <c r="IS24" i="1" s="1"/>
  <c r="T21" i="1"/>
  <c r="AL21" i="1"/>
  <c r="AN21" i="1" s="1"/>
  <c r="IT24" i="1" s="1"/>
  <c r="U21" i="1"/>
  <c r="T20" i="1"/>
  <c r="AL20" i="1"/>
  <c r="AN20" i="1" s="1"/>
  <c r="IT23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2" i="1" l="1"/>
  <c r="IY48" i="1"/>
  <c r="IT42" i="1"/>
  <c r="IT41" i="1"/>
  <c r="IT43" i="1"/>
  <c r="IY40" i="1"/>
  <c r="IY34" i="1"/>
  <c r="IT40" i="1"/>
  <c r="IT36" i="1"/>
  <c r="IY32" i="1"/>
  <c r="IY26" i="1"/>
  <c r="IT31" i="1"/>
  <c r="IT35" i="1"/>
  <c r="IY31" i="1"/>
  <c r="IS34" i="1"/>
  <c r="IX30" i="1"/>
  <c r="IT34" i="1"/>
  <c r="IY30" i="1"/>
  <c r="IX25" i="1"/>
  <c r="IS30" i="1"/>
  <c r="IY25" i="1"/>
  <c r="IT30" i="1"/>
  <c r="IT26" i="1"/>
  <c r="IY23" i="1"/>
  <c r="IT17" i="1"/>
  <c r="IT18" i="1"/>
  <c r="IF43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1" i="1" s="1"/>
  <c r="AP47" i="1"/>
  <c r="AO48" i="1"/>
  <c r="AP48" i="1"/>
  <c r="AP45" i="1"/>
  <c r="AO45" i="1"/>
  <c r="AP46" i="1"/>
  <c r="AO46" i="1"/>
  <c r="AP43" i="1"/>
  <c r="AO44" i="1"/>
  <c r="IS48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AP34" i="1"/>
  <c r="AO31" i="1"/>
  <c r="AP31" i="1"/>
  <c r="AO32" i="1"/>
  <c r="AP32" i="1"/>
  <c r="AO29" i="1"/>
  <c r="IS33" i="1" s="1"/>
  <c r="AP29" i="1"/>
  <c r="AP30" i="1"/>
  <c r="AO27" i="1"/>
  <c r="IS32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IS25" i="1" s="1"/>
  <c r="AP22" i="1"/>
  <c r="AO19" i="1"/>
  <c r="IX19" i="1" s="1"/>
  <c r="IF19" i="1" s="1"/>
  <c r="AP19" i="1"/>
  <c r="AP20" i="1"/>
  <c r="AO20" i="1"/>
  <c r="IS23" i="1" s="1"/>
  <c r="AO17" i="1"/>
  <c r="IX17" i="1" s="1"/>
  <c r="IF17" i="1" s="1"/>
  <c r="AP17" i="1"/>
  <c r="AO18" i="1"/>
  <c r="IX18" i="1" s="1"/>
  <c r="IF18" i="1" s="1"/>
  <c r="AP18" i="1"/>
  <c r="AP15" i="1"/>
  <c r="AO15" i="1"/>
  <c r="IS19" i="1" s="1"/>
  <c r="AO16" i="1"/>
  <c r="AP16" i="1"/>
  <c r="AO13" i="1"/>
  <c r="IS17" i="1" s="1"/>
  <c r="AP13" i="1"/>
  <c r="AO14" i="1"/>
  <c r="AP14" i="1"/>
  <c r="AP11" i="1"/>
  <c r="AO12" i="1"/>
  <c r="AP12" i="1"/>
  <c r="AO10" i="1"/>
  <c r="AP10" i="1"/>
  <c r="AN10" i="1"/>
  <c r="IT16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2" i="1" l="1"/>
  <c r="IX48" i="1"/>
  <c r="IF48" i="1" s="1"/>
  <c r="IS41" i="1"/>
  <c r="IS42" i="1"/>
  <c r="IS43" i="1"/>
  <c r="IX40" i="1"/>
  <c r="IF40" i="1" s="1"/>
  <c r="IX34" i="1"/>
  <c r="IF34" i="1" s="1"/>
  <c r="IS40" i="1"/>
  <c r="IS36" i="1"/>
  <c r="IX32" i="1"/>
  <c r="IF32" i="1" s="1"/>
  <c r="IX26" i="1"/>
  <c r="IF26" i="1" s="1"/>
  <c r="IS31" i="1"/>
  <c r="IS35" i="1"/>
  <c r="IX31" i="1"/>
  <c r="IF31" i="1" s="1"/>
  <c r="IF25" i="1"/>
  <c r="IF30" i="1"/>
  <c r="IS26" i="1"/>
  <c r="IX23" i="1"/>
  <c r="IF23" i="1" s="1"/>
  <c r="IS16" i="1"/>
  <c r="IS18" i="1"/>
  <c r="IX16" i="1"/>
  <c r="IF16" i="1" s="1"/>
  <c r="AS13" i="1"/>
  <c r="BA35" i="7"/>
  <c r="IS5" i="1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<sst xmlns="http://schemas.openxmlformats.org/spreadsheetml/2006/main" count="704" uniqueCount="379">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</sst>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4.375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C21" sqref="C21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8.75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1.112's θ about Z Axis</v>
      </c>
      <c r="U5" s="1130"/>
      <c r="V5" s="1175"/>
      <c r="W5" s="1130" t="str">
        <f>CONCATENATE("Relative to ",M8,"'s θ about Z Axis")</f>
        <v>Relative to 1.112's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1.112's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87.902300302870373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-0.19830059807460382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0.29530089062748616</v>
      </c>
      <c r="D9" s="767">
        <v>-0.28730086649941339</v>
      </c>
      <c r="E9" s="768">
        <v>-0.96592583607220739</v>
      </c>
      <c r="F9" s="766">
        <v>-5.6018678339987645E-2</v>
      </c>
      <c r="G9" s="769">
        <v>0.25268396641901963</v>
      </c>
      <c r="H9" s="768">
        <v>0.26600000000000001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1313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0.29530089062748616</v>
      </c>
      <c r="P9" s="25">
        <f t="shared" ref="P9:P40" si="4">IF(M9="","",D9)</f>
        <v>-0.28730086649941339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0.29530089062748616</v>
      </c>
      <c r="S9" s="23">
        <f>IF(M9="","",P9)</f>
        <v>-0.28730086649941339</v>
      </c>
      <c r="T9" s="26">
        <f>IF(M9="","",X9*COS(RADIANS(W9)))</f>
        <v>0.29510299891110342</v>
      </c>
      <c r="U9" s="20">
        <f>IF(M9="","",X9*SIN(RADIANS(W9)))</f>
        <v>1.0809072072099057E-2</v>
      </c>
      <c r="V9" s="28">
        <f>IF(M9="","",Y9)</f>
        <v>-0.28730086649941339</v>
      </c>
      <c r="W9" s="620">
        <f t="shared" ref="W9:W14" si="5">IF(M9="","",IF(Q9-$Q$8&lt;0,360+Q9-$Q$8,Q9-$Q$8))</f>
        <v>2.0976996971296273</v>
      </c>
      <c r="X9" s="5">
        <f>IF(M9="","",R9)</f>
        <v>0.29530089062748616</v>
      </c>
      <c r="Y9" s="7">
        <f>IF(M9="","",S9)</f>
        <v>-0.28730086649941339</v>
      </c>
      <c r="Z9" s="24">
        <f t="shared" ref="Z9:Z40" si="6">IF(M9="","",-E9)</f>
        <v>0.96592583607220739</v>
      </c>
      <c r="AA9" s="20">
        <f t="shared" ref="AA9:AA40" si="7">IF(M9="","",-F9)</f>
        <v>5.6018678339987645E-2</v>
      </c>
      <c r="AB9" s="20">
        <f t="shared" ref="AB9:AB40" si="8">IF(M9="","",-G9)</f>
        <v>-0.25268396641901963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5.6018678339987645E-2</v>
      </c>
      <c r="AF9" s="25">
        <f>IF(M9="","",AB9*(1/SQRT(Z9^2+AA9^2+AB9^2)))</f>
        <v>-0.25268396641901963</v>
      </c>
      <c r="AG9" s="618">
        <f>IF(M9="","",DEGREES(ATAN2(-AF9,AE9)))</f>
        <v>12.499998195223556</v>
      </c>
      <c r="AH9" s="619">
        <f>IF(M9="","",DEGREES(ACOS(AD9)))</f>
        <v>14.999997834268255</v>
      </c>
      <c r="AI9" s="620">
        <f>IF(M9="","",DEGREES(-ACOS(-AF9)))</f>
        <v>-75.36360748526684</v>
      </c>
      <c r="AJ9" s="621">
        <f>IF(M9="","",DEGREES(ATAN2(-AE9,AD9)))</f>
        <v>93.31913956845878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5.6018678339987645E-2</v>
      </c>
      <c r="AM9" s="23">
        <f>IF(M9="","",AF9)</f>
        <v>-0.25268396641901963</v>
      </c>
      <c r="AN9" s="612">
        <f>IF(M9="","",DEGREES(ATAN2(-AM9,AL9)))</f>
        <v>12.499998195223556</v>
      </c>
      <c r="AO9" s="613">
        <f>IF(ROUND(IF(M9="",0,DEGREES(ACOS(AK9))),4)=90,0,IF(M9="","",DEGREES(ACOS(AK9))))</f>
        <v>14.999997834268255</v>
      </c>
      <c r="AP9" s="640">
        <f>IF(M9="","",DEGREES(ATAN2(AK9,AL9)))</f>
        <v>3.3191395684587905</v>
      </c>
      <c r="AQ9" s="641">
        <f t="shared" ref="AQ9:AQ40" si="9">IF(M9="","",DEGREES(ATAN(($AS$5*SIN(RADIANS(90)))/(($X9*2*PI())-($AS$5*COS(RADIANS(90)))))))</f>
        <v>36.240806518219976</v>
      </c>
      <c r="AS9" s="55">
        <f>IF(M9="","",W9)</f>
        <v>2.0976996971296273</v>
      </c>
      <c r="AT9" s="76">
        <f t="shared" ref="AT9:AT40" si="10">IF(M9="","",Y9+(((AS9-$AS$9)*$AS$6)*-1))</f>
        <v>-0.28730086649941339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0.92150277925238233</v>
      </c>
      <c r="D10" s="772">
        <v>-0.14840044757574991</v>
      </c>
      <c r="E10" s="773">
        <v>-0.97629601393762733</v>
      </c>
      <c r="F10" s="771">
        <v>-4.6846093169500239E-2</v>
      </c>
      <c r="G10" s="774">
        <v>0.21130910232229644</v>
      </c>
      <c r="H10" s="773">
        <v>0.26600000000000001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1313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0.92150277925238233</v>
      </c>
      <c r="P10" s="10">
        <f t="shared" si="4"/>
        <v>-0.14840044757574991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0.92150277925238233</v>
      </c>
      <c r="S10" s="6">
        <f t="shared" ref="S10:S105" si="84">IF(M10="","",P10)</f>
        <v>-0.14840044757574991</v>
      </c>
      <c r="T10" s="4">
        <f t="shared" ref="T10:T105" si="85">IF(M10="","",X10*COS(RADIANS(W10)))</f>
        <v>0.9208852471946557</v>
      </c>
      <c r="U10" s="5">
        <f t="shared" ref="U10:U105" si="86">IF(M10="","",X10*SIN(RADIANS(W10)))</f>
        <v>3.373030787145033E-2</v>
      </c>
      <c r="V10" s="8">
        <f>IF(M10="","",Y10)</f>
        <v>-0.14840044757574991</v>
      </c>
      <c r="W10" s="624">
        <f t="shared" si="5"/>
        <v>2.0976996971296273</v>
      </c>
      <c r="X10" s="5">
        <f t="shared" ref="X10:X105" si="87">IF(M10="","",R10)</f>
        <v>0.92150277925238233</v>
      </c>
      <c r="Y10" s="7">
        <f>IF(M10="","",S10)</f>
        <v>-0.14840044757574991</v>
      </c>
      <c r="Z10" s="21">
        <f t="shared" si="6"/>
        <v>0.97629601393762733</v>
      </c>
      <c r="AA10" s="5">
        <f t="shared" si="7"/>
        <v>4.6846093169500239E-2</v>
      </c>
      <c r="AB10" s="5">
        <f t="shared" si="8"/>
        <v>-0.21130910232229644</v>
      </c>
      <c r="AC10" s="8">
        <f t="shared" ref="AC10:AC105" si="88">IF(M10="","",SQRT(Z10^2+AA10^2+AB10^2))</f>
        <v>1</v>
      </c>
      <c r="AD10" s="9">
        <f>IF(M10="","",Z10*(1/SQRT(Z10^2+AA10^2+AB10^2)))</f>
        <v>0.97629601393762733</v>
      </c>
      <c r="AE10" s="5">
        <f t="shared" ref="AE10:AE105" si="89">IF(M10="","",AA10*(1/SQRT(Z10^2+AA10^2+AB10^2)))</f>
        <v>4.6846093169500239E-2</v>
      </c>
      <c r="AF10" s="10">
        <f t="shared" ref="AF10:AF105" si="90">IF(M10="","",AB10*(1/SQRT(Z10^2+AA10^2+AB10^2)))</f>
        <v>-0.21130910232229644</v>
      </c>
      <c r="AG10" s="622">
        <f t="shared" ref="AG10:AG105" si="91">IF(M10="","",DEGREES(ATAN2(-AF10,AE10)))</f>
        <v>12.49999819522356</v>
      </c>
      <c r="AH10" s="623">
        <f t="shared" ref="AH10:AH105" si="92">IF(M10="","",DEGREES(ACOS(AD10)))</f>
        <v>12.499998195223544</v>
      </c>
      <c r="AI10" s="624">
        <f t="shared" ref="AI10:AI105" si="93">IF(M10="","",DEGREES(-ACOS(-AF10)))</f>
        <v>-77.800919983022339</v>
      </c>
      <c r="AJ10" s="625">
        <f t="shared" ref="AJ10:AJ105" si="94">IF(M10="","",DEGREES(ATAN2(-AE10,AD10)))</f>
        <v>92.747144584757805</v>
      </c>
      <c r="AK10" s="4">
        <f>IF(M10="","",(COS(RADIANS((90-$Q$8)-W10))*AD10)+(-SIN(RADIANS((90-$Q$8)-W10))*AE10))</f>
        <v>0.97629601393762733</v>
      </c>
      <c r="AL10" s="5">
        <f t="shared" ref="AL10:AL105" si="95">IF(M10="","",(SIN(RADIANS((90-$Q$8)-W10))*AD10)+(COS(RADIANS((90-$Q$8)-W10))*AE10))</f>
        <v>4.6846093169500239E-2</v>
      </c>
      <c r="AM10" s="6">
        <f t="shared" ref="AM10:AM105" si="96">IF(M10="","",AF10)</f>
        <v>-0.21130910232229644</v>
      </c>
      <c r="AN10" s="612">
        <f t="shared" ref="AN10:AN105" si="97">IF(M10="","",DEGREES(ATAN2(-AM10,AL10)))</f>
        <v>12.49999819522356</v>
      </c>
      <c r="AO10" s="613">
        <f t="shared" ref="AO10:AO54" si="98">IF(ROUND(IF(M10="",0,DEGREES(ACOS(AK10))),4)=90,0,IF(M10="","",DEGREES(ACOS(AK10))))</f>
        <v>12.499998195223544</v>
      </c>
      <c r="AP10" s="624">
        <f t="shared" ref="AP10:AP105" si="99">IF(M10="","",DEGREES(ATAN2(AK10,AL10)))</f>
        <v>2.7471445847578093</v>
      </c>
      <c r="AQ10" s="625">
        <f t="shared" si="9"/>
        <v>13.218515584079491</v>
      </c>
      <c r="AS10" s="56">
        <f>IF($M10="","",IF(AND($W10&lt;($AS$9+180),$W10&gt;($AS$9-180)),$W10,IF($W10&gt;($AS$9+180),$W10-360,IF($W10&lt;($AS$9-180),$W10+360,"Error"))))</f>
        <v>2.0976996971296273</v>
      </c>
      <c r="AT10" s="77">
        <f t="shared" si="10"/>
        <v>-0.14840044757574991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1.7211429211167532E-2</v>
      </c>
      <c r="C11" s="771">
        <v>1.5846113103150405</v>
      </c>
      <c r="D11" s="772">
        <v>-3.660011038593293E-2</v>
      </c>
      <c r="E11" s="773">
        <v>-0.97459268930602805</v>
      </c>
      <c r="F11" s="771">
        <v>5.8573570482870367E-2</v>
      </c>
      <c r="G11" s="774">
        <v>0.21619025600644515</v>
      </c>
      <c r="H11" s="773">
        <v>0.26600000000000001</v>
      </c>
      <c r="I11" s="771">
        <v>0.52</v>
      </c>
      <c r="J11" s="601">
        <v>1.107</v>
      </c>
      <c r="K11" s="426" t="str">
        <f t="shared" si="82"/>
        <v>1313</v>
      </c>
      <c r="L11" s="856" cm="1">
        <f t="array" ref="L11">MIN(IF(ISNUMBER($II9:$II150),IF(ISNUMBER($IF9:$IF150),"",IF(ISNUMBER(VALUE($K9:$K150)),IF(ISNUMBER($IE9:$IE150),$IO9:$IO150,""),"")),""))</f>
        <v>60</v>
      </c>
      <c r="M11" s="173">
        <f t="shared" si="1"/>
        <v>1.107</v>
      </c>
      <c r="N11" s="21">
        <f t="shared" si="2"/>
        <v>1.7211429211167532E-2</v>
      </c>
      <c r="O11" s="5">
        <f t="shared" si="3"/>
        <v>1.5846113103150405</v>
      </c>
      <c r="P11" s="10">
        <f t="shared" si="4"/>
        <v>-3.660011038593293E-2</v>
      </c>
      <c r="Q11" s="624">
        <f t="shared" ref="Q11:Q73" si="116">IF(M11="","",IF(DEGREES(ATAN2(N11,O11))&lt;0,DEGREES(ATAN2(N11,O11))+360,IF(DEGREES(ATAN2(N11,O11))&gt;360,DEGREES(ATAN2(N11,O11))-360,DEGREES(ATAN2(N11,O11)))))</f>
        <v>89.377700089848986</v>
      </c>
      <c r="R11" s="5">
        <f t="shared" si="83"/>
        <v>1.584704779469615</v>
      </c>
      <c r="S11" s="6">
        <f t="shared" si="84"/>
        <v>-3.660011038593293E-2</v>
      </c>
      <c r="T11" s="4">
        <f t="shared" si="85"/>
        <v>1.5841794055113694</v>
      </c>
      <c r="U11" s="5">
        <f t="shared" si="86"/>
        <v>4.0802563981753713E-2</v>
      </c>
      <c r="V11" s="8">
        <f t="shared" ref="V11:V105" si="117">IF(M11="","",Y11)</f>
        <v>-3.660011038593293E-2</v>
      </c>
      <c r="W11" s="624">
        <f t="shared" si="5"/>
        <v>1.4753997869786133</v>
      </c>
      <c r="X11" s="5">
        <f>IF(M11="","",R11)</f>
        <v>1.584704779469615</v>
      </c>
      <c r="Y11" s="7">
        <f>IF(M11="","",S11)</f>
        <v>-3.660011038593293E-2</v>
      </c>
      <c r="Z11" s="21">
        <f t="shared" si="6"/>
        <v>0.97459268930602805</v>
      </c>
      <c r="AA11" s="5">
        <f t="shared" si="7"/>
        <v>-5.8573570482870367E-2</v>
      </c>
      <c r="AB11" s="5">
        <f t="shared" si="8"/>
        <v>-0.21619025600644515</v>
      </c>
      <c r="AC11" s="8">
        <f t="shared" si="88"/>
        <v>1</v>
      </c>
      <c r="AD11" s="9">
        <f t="shared" ref="AD11:AD105" si="118">IF(M11="","",Z11*(1/SQRT(Z11^2+AA11^2+AB11^2)))</f>
        <v>0.97459268930602805</v>
      </c>
      <c r="AE11" s="5">
        <f t="shared" si="89"/>
        <v>-5.8573570482870367E-2</v>
      </c>
      <c r="AF11" s="10">
        <f t="shared" si="90"/>
        <v>-0.21619025600644515</v>
      </c>
      <c r="AG11" s="622">
        <f>IF(M11="","",DEGREES(ATAN2(-AF11,AE11)))</f>
        <v>-15.159510579236455</v>
      </c>
      <c r="AH11" s="623">
        <f t="shared" si="92"/>
        <v>12.943174728976444</v>
      </c>
      <c r="AI11" s="624">
        <f t="shared" si="93"/>
        <v>-77.51463362817374</v>
      </c>
      <c r="AJ11" s="625">
        <f t="shared" si="94"/>
        <v>86.560628436868058</v>
      </c>
      <c r="AK11" s="4">
        <f>IF(M11="","",(COS(RADIANS((90-$Q$8)-W11))*AD11)+(-SIN(RADIANS((90-$Q$8)-W11))*AE11))</f>
        <v>0.97517137154335587</v>
      </c>
      <c r="AL11" s="5">
        <f t="shared" si="95"/>
        <v>-4.7985094874535533E-2</v>
      </c>
      <c r="AM11" s="6">
        <f t="shared" si="96"/>
        <v>-0.21619025600644515</v>
      </c>
      <c r="AN11" s="612">
        <f>IF(M11="","",DEGREES(ATAN2(-AM11,AL11)))</f>
        <v>-12.514364847003476</v>
      </c>
      <c r="AO11" s="613">
        <f>IF(ROUND(IF(M11="",0,DEGREES(ACOS(AK11))),4)=90,0,IF(M11="","",DEGREES(ACOS(AK11))))</f>
        <v>12.794304764697037</v>
      </c>
      <c r="AP11" s="624">
        <f t="shared" si="99"/>
        <v>-2.8170716529809363</v>
      </c>
      <c r="AQ11" s="625">
        <f t="shared" si="9"/>
        <v>7.7777529073782761</v>
      </c>
      <c r="AS11" s="56">
        <f t="shared" ref="AS11:AS42" si="119">IF(G11="","",IF(AND(W11&lt;(AS10+180),W11&gt;(AS10-180)),W11,IF(W11&gt;(AS10+180),W11-360,IF(W11&lt;(AS10-180),W11+360,"Error"))))</f>
        <v>1.4753997869786133</v>
      </c>
      <c r="AT11" s="77">
        <f t="shared" si="10"/>
        <v>-3.4249199614251324E-2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8.3796846239947431E-2</v>
      </c>
      <c r="C12" s="771">
        <v>2.2877727578976934</v>
      </c>
      <c r="D12" s="772">
        <v>-0.19830059807460382</v>
      </c>
      <c r="E12" s="773">
        <v>-0.96542638179380624</v>
      </c>
      <c r="F12" s="771">
        <v>0.19851257892375579</v>
      </c>
      <c r="G12" s="774">
        <v>0.16895164203274135</v>
      </c>
      <c r="H12" s="773">
        <v>0.26600000000000001</v>
      </c>
      <c r="I12" s="771">
        <v>0.52</v>
      </c>
      <c r="J12" s="601">
        <v>1.1120000000000001</v>
      </c>
      <c r="K12" s="426" t="str">
        <f t="shared" si="82"/>
        <v>1313</v>
      </c>
      <c r="L12" s="858" t="s">
        <v>377</v>
      </c>
      <c r="M12" s="173">
        <f t="shared" si="1"/>
        <v>1.1120000000000001</v>
      </c>
      <c r="N12" s="21">
        <f t="shared" si="2"/>
        <v>8.3796846239947431E-2</v>
      </c>
      <c r="O12" s="5">
        <f t="shared" si="3"/>
        <v>2.2877727578976934</v>
      </c>
      <c r="P12" s="10">
        <f t="shared" si="4"/>
        <v>-0.19830059807460382</v>
      </c>
      <c r="Q12" s="624">
        <f>IF(M12="","",IF(DEGREES(ATAN2(N12,O12))&lt;0,DEGREES(ATAN2(N12,O12))+360,IF(DEGREES(ATAN2(N12,O12))&gt;360,DEGREES(ATAN2(N12,O12))-360,DEGREES(ATAN2(N12,O12)))))</f>
        <v>87.902300302870373</v>
      </c>
      <c r="R12" s="5">
        <f t="shared" si="83"/>
        <v>2.2893069045496239</v>
      </c>
      <c r="S12" s="6">
        <f t="shared" si="84"/>
        <v>-0.19830059807460382</v>
      </c>
      <c r="T12" s="4">
        <f>IF(M12="","",X12*COS(RADIANS(W12)))</f>
        <v>2.2893069045496239</v>
      </c>
      <c r="U12" s="5">
        <f t="shared" si="86"/>
        <v>0</v>
      </c>
      <c r="V12" s="8">
        <f t="shared" si="117"/>
        <v>-0.19830059807460382</v>
      </c>
      <c r="W12" s="624">
        <f>IF(M12="","",IF(Q12-$Q$8&lt;0,360+Q12-$Q$8,Q12-$Q$8))</f>
        <v>0</v>
      </c>
      <c r="X12" s="5">
        <f t="shared" si="87"/>
        <v>2.2893069045496239</v>
      </c>
      <c r="Y12" s="7">
        <f>IF(M12="","",S12)</f>
        <v>-0.19830059807460382</v>
      </c>
      <c r="Z12" s="21">
        <f t="shared" si="6"/>
        <v>0.96542638179380624</v>
      </c>
      <c r="AA12" s="5">
        <f t="shared" si="7"/>
        <v>-0.19851257892375579</v>
      </c>
      <c r="AB12" s="5">
        <f t="shared" si="8"/>
        <v>-0.16895164203274135</v>
      </c>
      <c r="AC12" s="8">
        <f t="shared" si="88"/>
        <v>1</v>
      </c>
      <c r="AD12" s="9">
        <f t="shared" si="118"/>
        <v>0.96542638179380624</v>
      </c>
      <c r="AE12" s="5">
        <f t="shared" si="89"/>
        <v>-0.19851257892375579</v>
      </c>
      <c r="AF12" s="10">
        <f t="shared" si="90"/>
        <v>-0.16895164203274135</v>
      </c>
      <c r="AG12" s="622">
        <f t="shared" si="91"/>
        <v>-49.599297854571965</v>
      </c>
      <c r="AH12" s="623">
        <f t="shared" si="92"/>
        <v>15.110168753771859</v>
      </c>
      <c r="AI12" s="624">
        <f t="shared" si="93"/>
        <v>-80.273129088119845</v>
      </c>
      <c r="AJ12" s="625">
        <f t="shared" si="94"/>
        <v>78.380695753057083</v>
      </c>
      <c r="AK12" s="4">
        <f t="shared" ref="AK12:AK105" si="213">IF(M12="","",(COS(RADIANS((90-$Q$8)-W12))*AD12)+(-SIN(RADIANS((90-$Q$8)-W12))*AE12))</f>
        <v>0.97204568756331233</v>
      </c>
      <c r="AL12" s="5">
        <f>IF(M12="","",(SIN(RADIANS((90-$Q$8)-W12))*AD12)+(COS(RADIANS((90-$Q$8)-W12))*AE12))</f>
        <v>-0.1630414792131378</v>
      </c>
      <c r="AM12" s="6">
        <f t="shared" si="96"/>
        <v>-0.16895164203274135</v>
      </c>
      <c r="AN12" s="612">
        <f>IF(M12="","",DEGREES(ATAN2(-AM12,AL12)))</f>
        <v>-43.980124589731048</v>
      </c>
      <c r="AO12" s="613">
        <f t="shared" si="98"/>
        <v>13.579349407241546</v>
      </c>
      <c r="AP12" s="624">
        <f t="shared" si="99"/>
        <v>-9.52160454981329</v>
      </c>
      <c r="AQ12" s="625">
        <f t="shared" si="9"/>
        <v>5.4011784277360597</v>
      </c>
      <c r="AS12" s="56">
        <f t="shared" si="119"/>
        <v>0</v>
      </c>
      <c r="AT12" s="77">
        <f>IF(M12="","",Y12+(((AS12-$AS$9)*$AS$6)*-1))</f>
        <v>-0.19037595477433633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0.15019455534807946</v>
      </c>
      <c r="C13" s="771">
        <v>2.8201117910862332</v>
      </c>
      <c r="D13" s="772">
        <v>-0.63160190491134527</v>
      </c>
      <c r="E13" s="773">
        <v>-0.93790828944938665</v>
      </c>
      <c r="F13" s="771">
        <v>0.32395434230679326</v>
      </c>
      <c r="G13" s="774">
        <v>0.12402267809839726</v>
      </c>
      <c r="H13" s="773">
        <v>0.26600000000000001</v>
      </c>
      <c r="I13" s="771">
        <v>0.52</v>
      </c>
      <c r="J13" s="601">
        <v>1.117</v>
      </c>
      <c r="K13" s="426" t="str">
        <f t="shared" si="82"/>
        <v>1313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1.117</v>
      </c>
      <c r="N13" s="21">
        <f t="shared" si="2"/>
        <v>0.15019455534807946</v>
      </c>
      <c r="O13" s="5">
        <f t="shared" si="3"/>
        <v>2.8201117910862332</v>
      </c>
      <c r="P13" s="10">
        <f t="shared" si="4"/>
        <v>-0.63160190491134527</v>
      </c>
      <c r="Q13" s="624">
        <f t="shared" si="116"/>
        <v>86.951400440163326</v>
      </c>
      <c r="R13" s="5">
        <f t="shared" si="83"/>
        <v>2.8241085175112888</v>
      </c>
      <c r="S13" s="6">
        <f t="shared" si="84"/>
        <v>-0.63160190491134527</v>
      </c>
      <c r="T13" s="4">
        <f>IF(M13="","",X13*COS(RADIANS(W13)))</f>
        <v>2.8237195926360394</v>
      </c>
      <c r="U13" s="5">
        <f t="shared" si="86"/>
        <v>-4.6867695091273635E-2</v>
      </c>
      <c r="V13" s="8">
        <f t="shared" si="117"/>
        <v>-0.63160190491134527</v>
      </c>
      <c r="W13" s="624">
        <f t="shared" si="5"/>
        <v>359.04910013729295</v>
      </c>
      <c r="X13" s="5">
        <f t="shared" si="87"/>
        <v>2.8241085175112888</v>
      </c>
      <c r="Y13" s="7">
        <f>IF(M13="","",S13)</f>
        <v>-0.63160190491134527</v>
      </c>
      <c r="Z13" s="21">
        <f t="shared" si="6"/>
        <v>0.93790828944938665</v>
      </c>
      <c r="AA13" s="5">
        <f t="shared" si="7"/>
        <v>-0.32395434230679326</v>
      </c>
      <c r="AB13" s="5">
        <f t="shared" si="8"/>
        <v>-0.12402267809839726</v>
      </c>
      <c r="AC13" s="8">
        <f t="shared" si="88"/>
        <v>1</v>
      </c>
      <c r="AD13" s="9">
        <f>IF(M13="","",Z13*(1/SQRT(Z13^2+AA13^2+AB13^2)))</f>
        <v>0.93790828944938665</v>
      </c>
      <c r="AE13" s="5">
        <f t="shared" si="89"/>
        <v>-0.32395434230679326</v>
      </c>
      <c r="AF13" s="10">
        <f t="shared" si="90"/>
        <v>-0.12402267809839726</v>
      </c>
      <c r="AG13" s="622">
        <f>IF(M13="","",DEGREES(ATAN2(-AF13,AE13)))</f>
        <v>-69.051155537362575</v>
      </c>
      <c r="AH13" s="623">
        <f t="shared" si="92"/>
        <v>20.296803343408651</v>
      </c>
      <c r="AI13" s="624">
        <f t="shared" si="93"/>
        <v>-82.875679812456696</v>
      </c>
      <c r="AJ13" s="625">
        <f t="shared" si="94"/>
        <v>70.94504285764944</v>
      </c>
      <c r="AK13" s="4">
        <f t="shared" si="213"/>
        <v>0.95380980855627351</v>
      </c>
      <c r="AL13" s="5">
        <f t="shared" si="95"/>
        <v>-0.27361510268833167</v>
      </c>
      <c r="AM13" s="6">
        <f t="shared" si="96"/>
        <v>-0.12402267809839726</v>
      </c>
      <c r="AN13" s="612">
        <f t="shared" si="97"/>
        <v>-65.616437495574786</v>
      </c>
      <c r="AO13" s="613">
        <f t="shared" si="98"/>
        <v>17.482298417622602</v>
      </c>
      <c r="AP13" s="624">
        <f t="shared" si="99"/>
        <v>-16.00635758251385</v>
      </c>
      <c r="AQ13" s="625">
        <f t="shared" si="9"/>
        <v>4.3828040899888636</v>
      </c>
      <c r="AS13" s="56">
        <f t="shared" si="119"/>
        <v>-0.95089986270704685</v>
      </c>
      <c r="AT13" s="77">
        <f t="shared" si="10"/>
        <v>-0.62008497324085121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0.22712101604732507</v>
      </c>
      <c r="C14" s="771">
        <v>3.1124336585037313</v>
      </c>
      <c r="D14" s="772">
        <v>-1.2526037778529937</v>
      </c>
      <c r="E14" s="773">
        <v>-0.85479015462253582</v>
      </c>
      <c r="F14" s="771">
        <v>0.51257768317886843</v>
      </c>
      <c r="G14" s="774">
        <v>8.1227521612843009E-2</v>
      </c>
      <c r="H14" s="773">
        <v>0.26600000000000001</v>
      </c>
      <c r="I14" s="771">
        <v>0.52</v>
      </c>
      <c r="J14" s="601">
        <v>1.1220000000000001</v>
      </c>
      <c r="K14" s="426" t="str">
        <f t="shared" si="82"/>
        <v>1313</v>
      </c>
      <c r="L14" s="327"/>
      <c r="M14" s="173">
        <f t="shared" si="1"/>
        <v>1.1220000000000001</v>
      </c>
      <c r="N14" s="21">
        <f t="shared" si="2"/>
        <v>0.22712101604732507</v>
      </c>
      <c r="O14" s="5">
        <f t="shared" si="3"/>
        <v>3.1124336585037313</v>
      </c>
      <c r="P14" s="10">
        <f t="shared" si="4"/>
        <v>-1.2526037778529937</v>
      </c>
      <c r="Q14" s="624">
        <f t="shared" si="116"/>
        <v>85.826400602593196</v>
      </c>
      <c r="R14" s="5">
        <f t="shared" si="83"/>
        <v>3.1207094120595866</v>
      </c>
      <c r="S14" s="6">
        <f t="shared" si="84"/>
        <v>-1.2526037778529937</v>
      </c>
      <c r="T14" s="4">
        <f t="shared" si="85"/>
        <v>3.1186613491443773</v>
      </c>
      <c r="U14" s="5">
        <f t="shared" si="86"/>
        <v>-0.1130425754760733</v>
      </c>
      <c r="V14" s="8">
        <f t="shared" si="117"/>
        <v>-1.2526037778529937</v>
      </c>
      <c r="W14" s="624">
        <f t="shared" si="5"/>
        <v>357.9241002997228</v>
      </c>
      <c r="X14" s="5">
        <f t="shared" si="87"/>
        <v>3.1207094120595866</v>
      </c>
      <c r="Y14" s="7">
        <f t="shared" ref="Y14:Y75" si="225">IF(M14="","",S14)</f>
        <v>-1.2526037778529937</v>
      </c>
      <c r="Z14" s="21">
        <f t="shared" si="6"/>
        <v>0.85479015462253582</v>
      </c>
      <c r="AA14" s="5">
        <f t="shared" si="7"/>
        <v>-0.51257768317886843</v>
      </c>
      <c r="AB14" s="5">
        <f t="shared" si="8"/>
        <v>-8.1227521612843009E-2</v>
      </c>
      <c r="AC14" s="8">
        <f t="shared" si="88"/>
        <v>1</v>
      </c>
      <c r="AD14" s="9">
        <f>IF(M14="","",Z14*(1/SQRT(Z14^2+AA14^2+AB14^2)))</f>
        <v>0.85479015462253582</v>
      </c>
      <c r="AE14" s="5">
        <f t="shared" si="89"/>
        <v>-0.51257768317886843</v>
      </c>
      <c r="AF14" s="10">
        <f t="shared" si="90"/>
        <v>-8.1227521612843009E-2</v>
      </c>
      <c r="AG14" s="622">
        <f t="shared" si="91"/>
        <v>-80.995290206600274</v>
      </c>
      <c r="AH14" s="623">
        <f t="shared" si="92"/>
        <v>31.263440300289542</v>
      </c>
      <c r="AI14" s="624">
        <f t="shared" si="93"/>
        <v>-85.340872803707711</v>
      </c>
      <c r="AJ14" s="625">
        <f t="shared" si="94"/>
        <v>59.050854567679082</v>
      </c>
      <c r="AK14" s="4">
        <f>IF(M14="","",(COS(RADIANS((90-$Q$8)-W14))*AD14)+(-SIN(RADIANS((90-$Q$8)-W14))*AE14))</f>
        <v>0.88982806335014752</v>
      </c>
      <c r="AL14" s="5">
        <f t="shared" si="95"/>
        <v>-0.44900791463754958</v>
      </c>
      <c r="AM14" s="6">
        <f t="shared" si="96"/>
        <v>-8.1227521612843009E-2</v>
      </c>
      <c r="AN14" s="612">
        <f t="shared" si="97"/>
        <v>-79.745840367626755</v>
      </c>
      <c r="AO14" s="613">
        <f t="shared" si="98"/>
        <v>27.148350648795923</v>
      </c>
      <c r="AP14" s="624">
        <f>IF(M14="","",DEGREES(ATAN2(AK14,AL14)))</f>
        <v>-26.775546034914058</v>
      </c>
      <c r="AQ14" s="625">
        <f t="shared" si="9"/>
        <v>3.9676500859421129</v>
      </c>
      <c r="AS14" s="56">
        <f t="shared" si="119"/>
        <v>-2.0758997002772048</v>
      </c>
      <c r="AT14" s="77">
        <f t="shared" si="10"/>
        <v>-1.2368368467961235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0.24178277922766142</v>
      </c>
      <c r="C15" s="771">
        <v>3.1787275440640306</v>
      </c>
      <c r="D15" s="772">
        <v>-1.9081057548469567</v>
      </c>
      <c r="E15" s="773">
        <v>-0.77329056882830915</v>
      </c>
      <c r="F15" s="771">
        <v>0.63405180873582667</v>
      </c>
      <c r="G15" s="774">
        <v>1.3008419228602682E-7</v>
      </c>
      <c r="H15" s="773">
        <v>0.26600000000000001</v>
      </c>
      <c r="I15" s="771">
        <v>0.52</v>
      </c>
      <c r="J15" s="601">
        <v>1.127</v>
      </c>
      <c r="K15" s="426" t="str">
        <f t="shared" si="82"/>
        <v>1313</v>
      </c>
      <c r="L15" s="327"/>
      <c r="M15" s="173">
        <f t="shared" si="1"/>
        <v>1.127</v>
      </c>
      <c r="N15" s="21">
        <f t="shared" si="2"/>
        <v>0.24178277922766142</v>
      </c>
      <c r="O15" s="5">
        <f t="shared" si="3"/>
        <v>3.1787275440640306</v>
      </c>
      <c r="P15" s="10">
        <f t="shared" si="4"/>
        <v>-1.9081057548469567</v>
      </c>
      <c r="Q15" s="624">
        <f t="shared" si="116"/>
        <v>85.650300628018883</v>
      </c>
      <c r="R15" s="5">
        <f t="shared" si="83"/>
        <v>3.1879096147353985</v>
      </c>
      <c r="S15" s="6">
        <f t="shared" si="84"/>
        <v>-1.9081057548469567</v>
      </c>
      <c r="T15" s="4">
        <f t="shared" si="85"/>
        <v>3.1854474819302512</v>
      </c>
      <c r="U15" s="5">
        <f t="shared" si="86"/>
        <v>-0.12526791922363156</v>
      </c>
      <c r="V15" s="8">
        <f t="shared" si="117"/>
        <v>-1.9081057548469567</v>
      </c>
      <c r="W15" s="624">
        <f t="shared" ref="W15:W78" si="226">IF(M15="","",IF(Q15-$Q$8&lt;0,360+Q15-$Q$8,Q15-$Q$8))</f>
        <v>357.7480003251485</v>
      </c>
      <c r="X15" s="5">
        <f>IF(M15="","",R15)</f>
        <v>3.1879096147353985</v>
      </c>
      <c r="Y15" s="7">
        <f>IF(M15="","",S15)</f>
        <v>-1.9081057548469567</v>
      </c>
      <c r="Z15" s="21">
        <f t="shared" si="6"/>
        <v>0.77329056882830915</v>
      </c>
      <c r="AA15" s="5">
        <f t="shared" si="7"/>
        <v>-0.63405180873582667</v>
      </c>
      <c r="AB15" s="5">
        <f t="shared" si="8"/>
        <v>-1.3008419228602682E-7</v>
      </c>
      <c r="AC15" s="8">
        <f t="shared" si="88"/>
        <v>1</v>
      </c>
      <c r="AD15" s="9">
        <f t="shared" si="118"/>
        <v>0.77329056882830915</v>
      </c>
      <c r="AE15" s="5">
        <f t="shared" si="89"/>
        <v>-0.63405180873582667</v>
      </c>
      <c r="AF15" s="10">
        <f t="shared" si="90"/>
        <v>-1.3008419228602682E-7</v>
      </c>
      <c r="AG15" s="622">
        <f t="shared" si="91"/>
        <v>-89.999988245006023</v>
      </c>
      <c r="AH15" s="623">
        <f t="shared" si="92"/>
        <v>39.349694318606971</v>
      </c>
      <c r="AI15" s="624">
        <f t="shared" si="93"/>
        <v>-89.999992546724798</v>
      </c>
      <c r="AJ15" s="625">
        <f t="shared" si="94"/>
        <v>50.650305681393618</v>
      </c>
      <c r="AK15" s="4">
        <f t="shared" si="213"/>
        <v>0.81915209487729268</v>
      </c>
      <c r="AL15" s="5">
        <f t="shared" si="95"/>
        <v>-0.57357636410344359</v>
      </c>
      <c r="AM15" s="6">
        <f t="shared" si="96"/>
        <v>-1.3008419228602682E-7</v>
      </c>
      <c r="AN15" s="612">
        <f>IF(M15="","",DEGREES(ATAN2(-AM15,AL15)))</f>
        <v>-89.999987005609611</v>
      </c>
      <c r="AO15" s="613">
        <f t="shared" si="98"/>
        <v>34.999994946625883</v>
      </c>
      <c r="AP15" s="624">
        <f t="shared" si="99"/>
        <v>-34.999994946625193</v>
      </c>
      <c r="AQ15" s="625">
        <f t="shared" si="9"/>
        <v>3.8842719493504529</v>
      </c>
      <c r="AS15" s="56">
        <f t="shared" si="119"/>
        <v>-2.2519996748515041</v>
      </c>
      <c r="AT15" s="77">
        <f t="shared" si="10"/>
        <v>-1.8916735572194723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1.127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</v>
      </c>
      <c r="B16" s="770">
        <v>0.79746764211369803</v>
      </c>
      <c r="C16" s="771">
        <v>0.44722352077613392</v>
      </c>
      <c r="D16" s="772">
        <v>-0.16912343100932264</v>
      </c>
      <c r="E16" s="773">
        <v>-1.1093389246717E-7</v>
      </c>
      <c r="F16" s="771">
        <v>1.9781202356335968E-7</v>
      </c>
      <c r="G16" s="774">
        <v>0.99999999999997435</v>
      </c>
      <c r="H16" s="773">
        <v>0.19500000000000001</v>
      </c>
      <c r="I16" s="771">
        <v>0.21199999999999999</v>
      </c>
      <c r="J16" s="601">
        <v>1.204</v>
      </c>
      <c r="K16" s="426" t="str">
        <f t="shared" si="82"/>
        <v>Knuckle</v>
      </c>
      <c r="L16" s="327"/>
      <c r="M16" s="173">
        <f t="shared" si="1"/>
        <v>1.204</v>
      </c>
      <c r="N16" s="21">
        <f t="shared" si="2"/>
        <v>0.79746764211369803</v>
      </c>
      <c r="O16" s="5">
        <f t="shared" si="3"/>
        <v>0.44722352077613392</v>
      </c>
      <c r="P16" s="10">
        <f t="shared" si="4"/>
        <v>-0.16912343100932264</v>
      </c>
      <c r="Q16" s="624">
        <f>IF(M16="","",IF(DEGREES(ATAN2(N16,O16))&lt;0,DEGREES(ATAN2(N16,O16))+360,IF(DEGREES(ATAN2(N16,O16))&gt;360,DEGREES(ATAN2(N16,O16))-360,DEGREES(ATAN2(N16,O16)))))</f>
        <v>29.283908766318959</v>
      </c>
      <c r="R16" s="5">
        <f t="shared" si="83"/>
        <v>0.91431040558104892</v>
      </c>
      <c r="S16" s="6">
        <f t="shared" si="84"/>
        <v>-0.16912343100932264</v>
      </c>
      <c r="T16" s="4">
        <f t="shared" si="85"/>
        <v>0.47611399709847924</v>
      </c>
      <c r="U16" s="5">
        <f t="shared" si="86"/>
        <v>-0.78056324504853003</v>
      </c>
      <c r="V16" s="8">
        <f t="shared" si="117"/>
        <v>-0.16912343100932264</v>
      </c>
      <c r="W16" s="624">
        <f>IF(M16="","",IF(Q16-$Q$8&lt;0,360+Q16-$Q$8,Q16-$Q$8))</f>
        <v>301.38160846344863</v>
      </c>
      <c r="X16" s="5">
        <f t="shared" si="87"/>
        <v>0.91431040558104892</v>
      </c>
      <c r="Y16" s="7">
        <f t="shared" si="225"/>
        <v>-0.16912343100932264</v>
      </c>
      <c r="Z16" s="21">
        <f t="shared" si="6"/>
        <v>1.1093389246717E-7</v>
      </c>
      <c r="AA16" s="5">
        <f t="shared" si="7"/>
        <v>-1.9781202356335968E-7</v>
      </c>
      <c r="AB16" s="5">
        <f t="shared" si="8"/>
        <v>-0.99999999999997435</v>
      </c>
      <c r="AC16" s="8">
        <f t="shared" si="88"/>
        <v>1</v>
      </c>
      <c r="AD16" s="9">
        <f t="shared" si="118"/>
        <v>1.1093389246717E-7</v>
      </c>
      <c r="AE16" s="5">
        <f t="shared" si="89"/>
        <v>-1.9781202356335968E-7</v>
      </c>
      <c r="AF16" s="10">
        <f t="shared" si="90"/>
        <v>-0.99999999999997435</v>
      </c>
      <c r="AG16" s="622">
        <f t="shared" si="91"/>
        <v>-1.1333794087123046E-5</v>
      </c>
      <c r="AH16" s="623">
        <f t="shared" si="92"/>
        <v>89.999993643956159</v>
      </c>
      <c r="AI16" s="624">
        <f t="shared" si="93"/>
        <v>-1.2976235990044085E-5</v>
      </c>
      <c r="AJ16" s="625">
        <f t="shared" si="94"/>
        <v>29.283908773622173</v>
      </c>
      <c r="AK16" s="4">
        <f t="shared" si="213"/>
        <v>2.2679489668894405E-7</v>
      </c>
      <c r="AL16" s="5">
        <f t="shared" si="95"/>
        <v>2.890844039640122E-17</v>
      </c>
      <c r="AM16" s="6">
        <f t="shared" si="96"/>
        <v>-0.99999999999997435</v>
      </c>
      <c r="AN16" s="612">
        <f t="shared" si="97"/>
        <v>1.6563316270193288E-15</v>
      </c>
      <c r="AO16" s="613">
        <f t="shared" si="98"/>
        <v>0</v>
      </c>
      <c r="AP16" s="624">
        <f t="shared" si="99"/>
        <v>7.3032138341763248E-9</v>
      </c>
      <c r="AQ16" s="625">
        <f t="shared" si="9"/>
        <v>13.318806359131969</v>
      </c>
      <c r="AS16" s="56">
        <f t="shared" si="119"/>
        <v>-58.618391536551371</v>
      </c>
      <c r="AT16" s="77">
        <f t="shared" si="10"/>
        <v>6.0248469206805572E-2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>
        <f>IFERROR(IF($IU16="","",IF($IU16&lt;(((Settings!$C$19/2)*-1)*$IE$8),"",1)),"")</f>
        <v>1</v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1.204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1.1040000000000001</v>
      </c>
      <c r="II16" s="800" cm="1">
        <f t="array" ref="II16">IFERROR(IF($IH16&lt;1,$IH16+LARGE((IF($M$9:$M$150="",0,$M$9:$M$150)-MOD(IF($M$9:$M$150="",0,$M$9:$M$150),1)),1),$IH16),"")</f>
        <v>1.1040000000000001</v>
      </c>
      <c r="IJ16" s="839" t="str">
        <f t="shared" si="67"/>
        <v>1313</v>
      </c>
      <c r="IK16" s="839" t="str">
        <f t="shared" si="68"/>
        <v>Knuckle</v>
      </c>
      <c r="IL16" s="791">
        <f>IF(ISNUMBER($II16),IFERROR(IF(INDEX($W$9:$W$150,MATCH($II16,$M$9:$M$150,0))&lt;$W16,((INDEX($W$9:$W$150,MATCH($II16,$M$9:$M$150,0))+360)-$W16),INDEX($W$9:$W$150,MATCH($II16,$M$9:$M$150,0))-$W16),""),"")</f>
        <v>60.716091233681027</v>
      </c>
      <c r="IM16" s="830">
        <v>7.1663092959146996E-2</v>
      </c>
      <c r="IN16" s="5">
        <f>IF(ISNUMBER($II16),(($IO16*12)/60)/$AS$3,"")</f>
        <v>0.5</v>
      </c>
      <c r="IO16" s="852">
        <v>250</v>
      </c>
      <c r="IP16" s="9">
        <f>IF(ISNUMBER($II16),(INDEX($X$9:$X$150,MATCH($II16,$M$9:$M$150,0))*-1),"")</f>
        <v>-0.92150277925238233</v>
      </c>
      <c r="IQ16" s="5">
        <f>IF(ISNUMBER($II16),INDEX($Y$9:$Y$150,MATCH($II16,$M$9:$M$150,0)),"")</f>
        <v>-0.14840044757574991</v>
      </c>
      <c r="IR16" s="5">
        <f t="shared" si="73"/>
        <v>0.26600000000000001</v>
      </c>
      <c r="IS16" s="5">
        <f>IF(ISNUMBER($II16),$IR16*COS(RADIANS(INDEX($AO$9:$AO$150,MATCH($II16,$M$9:$M$150,0)))),"")</f>
        <v>0.25969473970740886</v>
      </c>
      <c r="IT16" s="791">
        <f>IF(ISNUMBER($II16),(-1*INDEX($AN$9:$AN$150,MATCH($II16,$M$9:$M$150,0))),"")</f>
        <v>-12.49999819522356</v>
      </c>
      <c r="IU16" s="9">
        <f>IF(ISNUMBER($II16),-$X16,"")</f>
        <v>-0.91431040558104892</v>
      </c>
      <c r="IV16" s="5">
        <f>IF(ISNUMBER($II16),$Y16,"")</f>
        <v>-0.16912343100932264</v>
      </c>
      <c r="IW16" s="5">
        <f t="shared" si="78"/>
        <v>0.19500000000000001</v>
      </c>
      <c r="IX16" s="5">
        <f>IF(ISNUMBER($II16),$IW16*COS(RADIANS($AO16)),"")</f>
        <v>0.19500000000000001</v>
      </c>
      <c r="IY16" s="833">
        <f>IF(ISNUMBER($II16),(-1*$AN16),"")</f>
        <v>-1.6563316270193288E-15</v>
      </c>
    </row>
    <row r="17" spans="1:259" ht="15" customHeight="1" x14ac:dyDescent="0.25">
      <c r="A17" s="84">
        <f t="shared" si="81"/>
        <v>0</v>
      </c>
      <c r="B17" s="770">
        <v>0.86560026117683142</v>
      </c>
      <c r="C17" s="771">
        <v>1.3274130577647796</v>
      </c>
      <c r="D17" s="772">
        <v>-4.3439685186423709E-2</v>
      </c>
      <c r="E17" s="773">
        <v>-1.8997261267832656E-7</v>
      </c>
      <c r="F17" s="771">
        <v>1.2388031154952201E-7</v>
      </c>
      <c r="G17" s="774">
        <v>0.99999999999997435</v>
      </c>
      <c r="H17" s="773">
        <v>0.19500000000000001</v>
      </c>
      <c r="I17" s="771">
        <v>0.21199999999999999</v>
      </c>
      <c r="J17" s="601">
        <v>1.2070000000000001</v>
      </c>
      <c r="K17" s="426" t="str">
        <f t="shared" si="82"/>
        <v>Knuckle</v>
      </c>
      <c r="L17" s="861" t="s">
        <v>332</v>
      </c>
      <c r="M17" s="173">
        <f t="shared" si="1"/>
        <v>1.2070000000000001</v>
      </c>
      <c r="N17" s="21">
        <f t="shared" si="2"/>
        <v>0.86560026117683142</v>
      </c>
      <c r="O17" s="5">
        <f t="shared" si="3"/>
        <v>1.3274130577647796</v>
      </c>
      <c r="P17" s="10">
        <f t="shared" si="4"/>
        <v>-4.3439685186423709E-2</v>
      </c>
      <c r="Q17" s="624">
        <f>IF(M17="","",IF(DEGREES(ATAN2(N17,O17))&lt;0,DEGREES(ATAN2(N17,O17))+360,IF(DEGREES(ATAN2(N17,O17))&gt;360,DEGREES(ATAN2(N17,O17))-360,DEGREES(ATAN2(N17,O17)))))</f>
        <v>56.891804780231958</v>
      </c>
      <c r="R17" s="5">
        <f>IF(M17="","",SQRT(N17^2+O17^2))</f>
        <v>1.584704779469615</v>
      </c>
      <c r="S17" s="6">
        <f>IF(M17="","",P17)</f>
        <v>-4.3439685186423709E-2</v>
      </c>
      <c r="T17" s="4">
        <f>IF(M17="","",X17*COS(RADIANS(W17)))</f>
        <v>1.3582075858172187</v>
      </c>
      <c r="U17" s="5">
        <f>IF(M17="","",X17*SIN(RADIANS(W17)))</f>
        <v>-0.81643211101867097</v>
      </c>
      <c r="V17" s="8">
        <f>IF(M17="","",Y17)</f>
        <v>-4.3439685186423709E-2</v>
      </c>
      <c r="W17" s="624">
        <f t="shared" si="226"/>
        <v>328.98950447736161</v>
      </c>
      <c r="X17" s="5">
        <f>IF(M17="","",R17)</f>
        <v>1.584704779469615</v>
      </c>
      <c r="Y17" s="7">
        <f t="shared" si="225"/>
        <v>-4.3439685186423709E-2</v>
      </c>
      <c r="Z17" s="21">
        <f t="shared" si="6"/>
        <v>1.8997261267832656E-7</v>
      </c>
      <c r="AA17" s="5">
        <f t="shared" si="7"/>
        <v>-1.2388031154952201E-7</v>
      </c>
      <c r="AB17" s="5">
        <f t="shared" si="8"/>
        <v>-0.99999999999997435</v>
      </c>
      <c r="AC17" s="8">
        <f>IF(M17="","",SQRT(Z17^2+AA17^2+AB17^2))</f>
        <v>1</v>
      </c>
      <c r="AD17" s="9">
        <f>IF(M17="","",Z17*(1/SQRT(Z17^2+AA17^2+AB17^2)))</f>
        <v>1.8997261267832656E-7</v>
      </c>
      <c r="AE17" s="5">
        <f>IF(M17="","",AA17*(1/SQRT(Z17^2+AA17^2+AB17^2)))</f>
        <v>-1.2388031154952201E-7</v>
      </c>
      <c r="AF17" s="10">
        <f>IF(M17="","",AB17*(1/SQRT(Z17^2+AA17^2+AB17^2)))</f>
        <v>-0.99999999999997435</v>
      </c>
      <c r="AG17" s="622">
        <f>IF(M17="","",DEGREES(ATAN2(-AF17,AE17)))</f>
        <v>-7.0978190165535043E-6</v>
      </c>
      <c r="AH17" s="623">
        <f>IF(M17="","",DEGREES(ACOS(AD17)))</f>
        <v>89.999989115371065</v>
      </c>
      <c r="AI17" s="624">
        <f>IF(M17="","",DEGREES(-ACOS(-AF17)))</f>
        <v>-1.2976235990044085E-5</v>
      </c>
      <c r="AJ17" s="625">
        <f>IF(M17="","",DEGREES(ATAN2(-AE17,AD17)))</f>
        <v>56.891804780231958</v>
      </c>
      <c r="AK17" s="4">
        <f>IF(M17="","",(COS(RADIANS((90-$Q$8)-W17))*AD17)+(-SIN(RADIANS((90-$Q$8)-W17))*AE17))</f>
        <v>2.2679489667414501E-7</v>
      </c>
      <c r="AL17" s="5">
        <f>IF(M17="","",(SIN(RADIANS((90-$Q$8)-W17))*AD17)+(COS(RADIANS((90-$Q$8)-W17))*AE17))</f>
        <v>-2.6469779601696886E-23</v>
      </c>
      <c r="AM17" s="6">
        <f>IF(M17="","",AF17)</f>
        <v>-0.99999999999997435</v>
      </c>
      <c r="AN17" s="612">
        <f>IF(M17="","",DEGREES(ATAN2(-AM17,AL17)))</f>
        <v>-1.5166066558187479E-21</v>
      </c>
      <c r="AO17" s="613">
        <f t="shared" si="98"/>
        <v>0</v>
      </c>
      <c r="AP17" s="624">
        <f>IF(M17="","",DEGREES(ATAN2(AK17,AL17)))</f>
        <v>-6.6871286702616728E-15</v>
      </c>
      <c r="AQ17" s="625">
        <f t="shared" si="9"/>
        <v>7.7777529073782761</v>
      </c>
      <c r="AS17" s="56">
        <f t="shared" si="119"/>
        <v>-31.010495522638394</v>
      </c>
      <c r="AT17" s="77">
        <f t="shared" si="10"/>
        <v>8.1635718977144361E-2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>
        <f>IFERROR(IF($IU17="","",IF($IU17&lt;(((Settings!$C$19/2)*-1)*$IE$8),"",1)),"")</f>
        <v>1</v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1.2070000000000001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1.107</v>
      </c>
      <c r="II17" s="800" cm="1">
        <f t="array" ref="II17">IFERROR(IF($IH17&lt;1,$IH17+LARGE((IF($M$9:$M$150="",0,$M$9:$M$150)-MOD(IF($M$9:$M$150="",0,$M$9:$M$150),1)),1),$IH17),"")</f>
        <v>1.107</v>
      </c>
      <c r="IJ17" s="555" t="str">
        <f t="shared" si="67"/>
        <v>1313</v>
      </c>
      <c r="IK17" s="839" t="str">
        <f t="shared" si="68"/>
        <v>Knuckle</v>
      </c>
      <c r="IL17" s="791">
        <f t="shared" ref="IL17:IL80" si="227">IF(ISNUMBER($II17),IFERROR(IF(INDEX($W$9:$W$150,MATCH($II17,$M$9:$M$150,0))&lt;$W17,((INDEX($W$9:$W$150,MATCH($II17,$M$9:$M$150,0))+360)-$W17),INDEX($W$9:$W$150,MATCH($II17,$M$9:$M$150,0))-$W17),""),"")</f>
        <v>32.485895309617035</v>
      </c>
      <c r="IM17" s="830">
        <v>7.0910419298945301E-2</v>
      </c>
      <c r="IN17" s="5">
        <f t="shared" ref="IN17:IN80" si="228">IF(ISNUMBER($II17),(($IO17*12)/60)/$AS$3,"")</f>
        <v>0.78</v>
      </c>
      <c r="IO17" s="852">
        <v>390</v>
      </c>
      <c r="IP17" s="9">
        <f t="shared" ref="IP17:IP80" si="229">IF(ISNUMBER($II17),(INDEX($X$9:$X$150,MATCH($II17,$M$9:$M$150,0))*-1),"")</f>
        <v>-1.584704779469615</v>
      </c>
      <c r="IQ17" s="5">
        <f t="shared" ref="IQ17:IQ80" si="230">IF(ISNUMBER($II17),INDEX($Y$9:$Y$150,MATCH($II17,$M$9:$M$150,0)),"")</f>
        <v>-3.660011038593293E-2</v>
      </c>
      <c r="IR17" s="5">
        <f t="shared" si="73"/>
        <v>0.26600000000000001</v>
      </c>
      <c r="IS17" s="5">
        <f t="shared" ref="IS17:IS80" si="231">IF(ISNUMBER($II17),$IR17*COS(RADIANS(INDEX($AO$9:$AO$150,MATCH($II17,$M$9:$M$150,0)))),"")</f>
        <v>0.25939558483053266</v>
      </c>
      <c r="IT17" s="791">
        <f t="shared" ref="IT17:IT80" si="232">IF(ISNUMBER($II17),(-1*INDEX($AN$9:$AN$150,MATCH($II17,$M$9:$M$150,0))),"")</f>
        <v>12.514364847003476</v>
      </c>
      <c r="IU17" s="9">
        <f t="shared" ref="IU17:IU80" si="233">IF(ISNUMBER($II17),-$X17,"")</f>
        <v>-1.584704779469615</v>
      </c>
      <c r="IV17" s="5">
        <f t="shared" ref="IV17:IV80" si="234">IF(ISNUMBER($II17),$Y17,"")</f>
        <v>-4.3439685186423709E-2</v>
      </c>
      <c r="IW17" s="5">
        <f t="shared" si="78"/>
        <v>0.19500000000000001</v>
      </c>
      <c r="IX17" s="5">
        <f t="shared" ref="IX17:IX80" si="235">IF(ISNUMBER($II17),$IW17*COS(RADIANS($AO17)),"")</f>
        <v>0.19500000000000001</v>
      </c>
      <c r="IY17" s="833">
        <f t="shared" ref="IY17:IY80" si="236">IF(ISNUMBER($II17),(-1*$AN17),"")</f>
        <v>1.5166066558187479E-21</v>
      </c>
    </row>
    <row r="18" spans="1:259" ht="15" customHeight="1" x14ac:dyDescent="0.25">
      <c r="A18" s="84">
        <f t="shared" si="81"/>
        <v>0.02</v>
      </c>
      <c r="B18" s="770">
        <v>1.0088493745432137</v>
      </c>
      <c r="C18" s="771">
        <v>2.077449844952111</v>
      </c>
      <c r="D18" s="772">
        <v>-0.15571597883653987</v>
      </c>
      <c r="E18" s="773">
        <v>-0.77227844461631112</v>
      </c>
      <c r="F18" s="771">
        <v>0.52464425155177463</v>
      </c>
      <c r="G18" s="774">
        <v>0.35823792833072499</v>
      </c>
      <c r="H18" s="773">
        <v>0.219</v>
      </c>
      <c r="I18" s="771">
        <v>0.42</v>
      </c>
      <c r="J18" s="601">
        <v>1.212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1111</v>
      </c>
      <c r="L18" s="857" t="s">
        <v>376</v>
      </c>
      <c r="M18" s="173">
        <f t="shared" si="1"/>
        <v>1.212</v>
      </c>
      <c r="N18" s="21">
        <f t="shared" si="2"/>
        <v>1.0088493745432137</v>
      </c>
      <c r="O18" s="5">
        <f t="shared" si="3"/>
        <v>2.077449844952111</v>
      </c>
      <c r="P18" s="10">
        <f t="shared" si="4"/>
        <v>-0.15571597883653987</v>
      </c>
      <c r="Q18" s="624">
        <f t="shared" si="116"/>
        <v>64.097903739799989</v>
      </c>
      <c r="R18" s="5">
        <f>IF(M18="","",SQRT(N18^2+O18^2))</f>
        <v>2.3094533809557154</v>
      </c>
      <c r="S18" s="6">
        <f>IF(M18="","",P18)</f>
        <v>-0.15571597883653987</v>
      </c>
      <c r="T18" s="4">
        <f>IF(M18="","",X18*COS(RADIANS(W18)))</f>
        <v>2.1129851779526838</v>
      </c>
      <c r="U18" s="5">
        <f>IF(M18="","",X18*SIN(RADIANS(W18)))</f>
        <v>-0.9321311906379115</v>
      </c>
      <c r="V18" s="8">
        <f>IF(M18="","",Y18)</f>
        <v>-0.15571597883653987</v>
      </c>
      <c r="W18" s="624">
        <f t="shared" si="226"/>
        <v>336.19560343692967</v>
      </c>
      <c r="X18" s="5">
        <f>IF(M18="","",R18)</f>
        <v>2.3094533809557154</v>
      </c>
      <c r="Y18" s="7">
        <f t="shared" si="225"/>
        <v>-0.15571597883653987</v>
      </c>
      <c r="Z18" s="21">
        <f t="shared" si="6"/>
        <v>0.77227844461631112</v>
      </c>
      <c r="AA18" s="5">
        <f t="shared" si="7"/>
        <v>-0.52464425155177463</v>
      </c>
      <c r="AB18" s="5">
        <f t="shared" si="8"/>
        <v>-0.35823792833072499</v>
      </c>
      <c r="AC18" s="8">
        <f>IF(M18="","",SQRT(Z18^2+AA18^2+AB18^2))</f>
        <v>1</v>
      </c>
      <c r="AD18" s="9">
        <f>IF(M18="","",Z18*(1/SQRT(Z18^2+AA18^2+AB18^2)))</f>
        <v>0.77227844461631112</v>
      </c>
      <c r="AE18" s="5">
        <f>IF(M18="","",AA18*(1/SQRT(Z18^2+AA18^2+AB18^2)))</f>
        <v>-0.52464425155177463</v>
      </c>
      <c r="AF18" s="10">
        <f>IF(M18="","",AB18*(1/SQRT(Z18^2+AA18^2+AB18^2)))</f>
        <v>-0.35823792833072499</v>
      </c>
      <c r="AG18" s="622">
        <f>IF(M18="","",DEGREES(ATAN2(-AF18,AE18)))</f>
        <v>-55.673931760013524</v>
      </c>
      <c r="AH18" s="623">
        <f>IF(M18="","",DEGREES(ACOS(AD18)))</f>
        <v>39.441065607831227</v>
      </c>
      <c r="AI18" s="624">
        <f>IF(M18="","",DEGREES(-ACOS(-AF18)))</f>
        <v>-69.007979460077564</v>
      </c>
      <c r="AJ18" s="625">
        <f>IF(M18="","",DEGREES(ATAN2(-AE18,AD18)))</f>
        <v>55.809929959651086</v>
      </c>
      <c r="AK18" s="4">
        <f>IF(M18="","",(COS(RADIANS((90-$Q$8)-W18))*AD18)+(-SIN(RADIANS((90-$Q$8)-W18))*AE18))</f>
        <v>0.92387955420894774</v>
      </c>
      <c r="AL18" s="5">
        <f>IF(M18="","",(SIN(RADIANS((90-$Q$8)-W18))*AD18)+(COS(RADIANS((90-$Q$8)-W18))*AE18))</f>
        <v>-0.13458141038043336</v>
      </c>
      <c r="AM18" s="6">
        <f>IF(M18="","",AF18)</f>
        <v>-0.35823792833072499</v>
      </c>
      <c r="AN18" s="612">
        <f>IF(M18="","",DEGREES(ATAN2(-AM18,AL18)))</f>
        <v>-20.589997027172288</v>
      </c>
      <c r="AO18" s="613">
        <f t="shared" si="98"/>
        <v>22.499996751402389</v>
      </c>
      <c r="AP18" s="624">
        <f>IF(M18="","",DEGREES(ATAN2(AK18,AL18)))</f>
        <v>-8.2879737801489384</v>
      </c>
      <c r="AQ18" s="625">
        <f t="shared" si="9"/>
        <v>5.3543363738658929</v>
      </c>
      <c r="AS18" s="56">
        <f t="shared" si="119"/>
        <v>-23.804396563070327</v>
      </c>
      <c r="AT18" s="77">
        <f t="shared" si="10"/>
        <v>-5.7863615186895589E-2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>
        <f>IFERROR(IF($IU18="","",IF($IU18&lt;(((Settings!$C$19/2)*-1)*$IE$8),"",1)),"")</f>
        <v>1</v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1.212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1.1120000000000001</v>
      </c>
      <c r="II18" s="800" cm="1">
        <f t="array" ref="II18">IFERROR(IF($IH18&lt;1,$IH18+LARGE((IF($M$9:$M$150="",0,$M$9:$M$150)-MOD(IF($M$9:$M$150="",0,$M$9:$M$150),1)),1),$IH18),"")</f>
        <v>1.1120000000000001</v>
      </c>
      <c r="IJ18" s="839" t="str">
        <f t="shared" si="67"/>
        <v>1313</v>
      </c>
      <c r="IK18" s="839" t="str">
        <f t="shared" si="68"/>
        <v>1111</v>
      </c>
      <c r="IL18" s="791">
        <f t="shared" si="227"/>
        <v>23.804396563070327</v>
      </c>
      <c r="IM18" s="830">
        <v>8.7918476173723704E-3</v>
      </c>
      <c r="IN18" s="5">
        <f t="shared" si="228"/>
        <v>0.14000000000000001</v>
      </c>
      <c r="IO18" s="852">
        <v>70</v>
      </c>
      <c r="IP18" s="9">
        <f t="shared" si="229"/>
        <v>-2.2893069045496239</v>
      </c>
      <c r="IQ18" s="5">
        <f t="shared" si="230"/>
        <v>-0.19830059807460382</v>
      </c>
      <c r="IR18" s="5">
        <f t="shared" si="73"/>
        <v>0.26600000000000001</v>
      </c>
      <c r="IS18" s="5">
        <f t="shared" si="231"/>
        <v>0.25856415289184109</v>
      </c>
      <c r="IT18" s="791">
        <f t="shared" si="232"/>
        <v>43.980124589731048</v>
      </c>
      <c r="IU18" s="9">
        <f t="shared" si="233"/>
        <v>-2.3094533809557154</v>
      </c>
      <c r="IV18" s="5">
        <f t="shared" si="234"/>
        <v>-0.15571597883653987</v>
      </c>
      <c r="IW18" s="5">
        <f t="shared" si="78"/>
        <v>0.219</v>
      </c>
      <c r="IX18" s="5">
        <f t="shared" si="235"/>
        <v>0.20232962237175955</v>
      </c>
      <c r="IY18" s="833">
        <f t="shared" si="236"/>
        <v>20.589997027172288</v>
      </c>
    </row>
    <row r="19" spans="1:259" ht="15" customHeight="1" x14ac:dyDescent="0.25">
      <c r="A19" s="84">
        <f t="shared" si="81"/>
        <v>0.02</v>
      </c>
      <c r="B19" s="770">
        <v>2.0542781107035282</v>
      </c>
      <c r="C19" s="771">
        <v>0.67523581768569174</v>
      </c>
      <c r="D19" s="772">
        <v>-0.14240042947969533</v>
      </c>
      <c r="E19" s="773">
        <v>-0.16774167303800847</v>
      </c>
      <c r="F19" s="771">
        <v>0.96878196724400734</v>
      </c>
      <c r="G19" s="774">
        <v>0.18254925655625415</v>
      </c>
      <c r="H19" s="773">
        <v>0.26600000000000001</v>
      </c>
      <c r="I19" s="771">
        <v>0.52</v>
      </c>
      <c r="J19" s="601">
        <v>2.1110000000000002</v>
      </c>
      <c r="K19" s="426" t="str">
        <f t="shared" si="82"/>
        <v>1313</v>
      </c>
      <c r="L19" s="856" cm="1">
        <f t="array" ref="L19">MIN(IF(ISNUMBER($II9:$II150),IF(ISNUMBER($IF9:$IF150),"",IF($K9:$K150="Knuckle",IF(ISNUMBER($IE9:$IE150),$IO9:$IO150,""),"")),""))</f>
        <v>250</v>
      </c>
      <c r="M19" s="173">
        <f t="shared" si="1"/>
        <v>2.1110000000000002</v>
      </c>
      <c r="N19" s="21">
        <f t="shared" si="2"/>
        <v>2.0542781107035282</v>
      </c>
      <c r="O19" s="5">
        <f t="shared" si="3"/>
        <v>0.67523581768569174</v>
      </c>
      <c r="P19" s="10">
        <f t="shared" si="4"/>
        <v>-0.14240042947969533</v>
      </c>
      <c r="Q19" s="624">
        <f t="shared" si="116"/>
        <v>18.195558389709586</v>
      </c>
      <c r="R19" s="5">
        <f>IF(M19="","",SQRT(N19^2+O19^2))</f>
        <v>2.1624065218180695</v>
      </c>
      <c r="S19" s="6">
        <f>IF(M19="","",P19)</f>
        <v>-0.14240042947969533</v>
      </c>
      <c r="T19" s="4">
        <f>IF(M19="","",X19*COS(RADIANS(W19)))</f>
        <v>0.74997726710328527</v>
      </c>
      <c r="U19" s="5">
        <f>IF(M19="","",X19*SIN(RADIANS(W19)))</f>
        <v>-2.0281854117485434</v>
      </c>
      <c r="V19" s="8">
        <f>IF(M19="","",Y19)</f>
        <v>-0.14240042947969533</v>
      </c>
      <c r="W19" s="624">
        <f t="shared" si="226"/>
        <v>290.29325808683916</v>
      </c>
      <c r="X19" s="5">
        <f>IF(M19="","",R19)</f>
        <v>2.1624065218180695</v>
      </c>
      <c r="Y19" s="7">
        <f t="shared" si="225"/>
        <v>-0.14240042947969533</v>
      </c>
      <c r="Z19" s="21">
        <f t="shared" si="6"/>
        <v>0.16774167303800847</v>
      </c>
      <c r="AA19" s="5">
        <f t="shared" si="7"/>
        <v>-0.96878196724400734</v>
      </c>
      <c r="AB19" s="5">
        <f t="shared" si="8"/>
        <v>-0.18254925655625415</v>
      </c>
      <c r="AC19" s="8">
        <f>IF(M19="","",SQRT(Z19^2+AA19^2+AB19^2))</f>
        <v>1</v>
      </c>
      <c r="AD19" s="9">
        <f>IF(M19="","",Z19*(1/SQRT(Z19^2+AA19^2+AB19^2)))</f>
        <v>0.16774167303800847</v>
      </c>
      <c r="AE19" s="5">
        <f>IF(M19="","",AA19*(1/SQRT(Z19^2+AA19^2+AB19^2)))</f>
        <v>-0.96878196724400734</v>
      </c>
      <c r="AF19" s="10">
        <f>IF(M19="","",AB19*(1/SQRT(Z19^2+AA19^2+AB19^2)))</f>
        <v>-0.18254925655625415</v>
      </c>
      <c r="AG19" s="622">
        <f>IF(M19="","",DEGREES(ATAN2(-AF19,AE19)))</f>
        <v>-79.328782606822372</v>
      </c>
      <c r="AH19" s="623">
        <f>IF(M19="","",DEGREES(ACOS(AD19)))</f>
        <v>80.343458967878362</v>
      </c>
      <c r="AI19" s="624">
        <f>IF(M19="","",DEGREES(-ACOS(-AF19)))</f>
        <v>-79.481717866262315</v>
      </c>
      <c r="AJ19" s="625">
        <f>IF(M19="","",DEGREES(ATAN2(-AE19,AD19)))</f>
        <v>9.8231978801316693</v>
      </c>
      <c r="AK19" s="4">
        <f>IF(M19="","",(COS(RADIANS((90-$Q$8)-W19))*AD19)+(-SIN(RADIANS((90-$Q$8)-W19))*AE19))</f>
        <v>0.97271847540442247</v>
      </c>
      <c r="AL19" s="5">
        <f>IF(M19="","",(SIN(RADIANS((90-$Q$8)-W19))*AD19)+(COS(RADIANS((90-$Q$8)-W19))*AE19))</f>
        <v>-0.14315913012328302</v>
      </c>
      <c r="AM19" s="6">
        <f>IF(M19="","",AF19)</f>
        <v>-0.18254925655625415</v>
      </c>
      <c r="AN19" s="612">
        <f>IF(M19="","",DEGREES(ATAN2(-AM19,AL19)))</f>
        <v>-38.104320344393088</v>
      </c>
      <c r="AO19" s="613">
        <f t="shared" si="98"/>
        <v>13.414184510139632</v>
      </c>
      <c r="AP19" s="624">
        <f>IF(M19="","",DEGREES(ATAN2(AK19,AL19)))</f>
        <v>-8.3723605095778488</v>
      </c>
      <c r="AQ19" s="625">
        <f t="shared" si="9"/>
        <v>5.7161040643677286</v>
      </c>
      <c r="AS19" s="56">
        <f t="shared" si="119"/>
        <v>-69.70674191316084</v>
      </c>
      <c r="AT19" s="77">
        <f t="shared" si="10"/>
        <v>0.12886079438140202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2.1110000000000002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/>
      <c r="IN19" s="5" t="str">
        <f t="shared" si="228"/>
        <v/>
      </c>
      <c r="IO19" s="852"/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0.02</v>
      </c>
      <c r="B20" s="770">
        <v>2.6164613592865416</v>
      </c>
      <c r="C20" s="771">
        <v>0.79098077315753335</v>
      </c>
      <c r="D20" s="772">
        <v>-0.52660158823039005</v>
      </c>
      <c r="E20" s="773">
        <v>-4.922355143672083E-2</v>
      </c>
      <c r="F20" s="771">
        <v>0.99156608803523882</v>
      </c>
      <c r="G20" s="774">
        <v>0.11989051272911233</v>
      </c>
      <c r="H20" s="773">
        <v>0.26600000000000001</v>
      </c>
      <c r="I20" s="771">
        <v>0.52</v>
      </c>
      <c r="J20" s="601">
        <v>2.1160000000000001</v>
      </c>
      <c r="K20" s="426" t="str">
        <f t="shared" si="82"/>
        <v>1313</v>
      </c>
      <c r="L20" s="858" t="s">
        <v>377</v>
      </c>
      <c r="M20" s="173">
        <f t="shared" si="1"/>
        <v>2.1160000000000001</v>
      </c>
      <c r="N20" s="21">
        <f t="shared" si="2"/>
        <v>2.6164613592865416</v>
      </c>
      <c r="O20" s="5">
        <f t="shared" si="3"/>
        <v>0.79098077315753335</v>
      </c>
      <c r="P20" s="10">
        <f t="shared" si="4"/>
        <v>-0.52660158823039005</v>
      </c>
      <c r="Q20" s="624">
        <f t="shared" si="116"/>
        <v>16.820558588235002</v>
      </c>
      <c r="R20" s="5">
        <f>IF(M20="","",SQRT(N20^2+O20^2))</f>
        <v>2.7334082439592637</v>
      </c>
      <c r="S20" s="6">
        <f>IF(M20="","",P20)</f>
        <v>-0.52660158823039005</v>
      </c>
      <c r="T20" s="4">
        <f>IF(M20="","",X20*COS(RADIANS(W20)))</f>
        <v>0.88622258161873479</v>
      </c>
      <c r="U20" s="5">
        <f>IF(M20="","",X20*SIN(RADIANS(W20)))</f>
        <v>-2.585755240538727</v>
      </c>
      <c r="V20" s="8">
        <f>IF(M20="","",Y20)</f>
        <v>-0.52660158823039005</v>
      </c>
      <c r="W20" s="624">
        <f t="shared" si="226"/>
        <v>288.91825828536469</v>
      </c>
      <c r="X20" s="5">
        <f>IF(M20="","",R20)</f>
        <v>2.7334082439592637</v>
      </c>
      <c r="Y20" s="7">
        <f t="shared" si="225"/>
        <v>-0.52660158823039005</v>
      </c>
      <c r="Z20" s="21">
        <f t="shared" si="6"/>
        <v>4.922355143672083E-2</v>
      </c>
      <c r="AA20" s="5">
        <f t="shared" si="7"/>
        <v>-0.99156608803523882</v>
      </c>
      <c r="AB20" s="5">
        <f t="shared" si="8"/>
        <v>-0.11989051272911233</v>
      </c>
      <c r="AC20" s="8">
        <f>IF(M20="","",SQRT(Z20^2+AA20^2+AB20^2))</f>
        <v>1</v>
      </c>
      <c r="AD20" s="9">
        <f>IF(M20="","",Z20*(1/SQRT(Z20^2+AA20^2+AB20^2)))</f>
        <v>4.922355143672083E-2</v>
      </c>
      <c r="AE20" s="5">
        <f>IF(M20="","",AA20*(1/SQRT(Z20^2+AA20^2+AB20^2)))</f>
        <v>-0.99156608803523882</v>
      </c>
      <c r="AF20" s="10">
        <f>IF(M20="","",AB20*(1/SQRT(Z20^2+AA20^2+AB20^2)))</f>
        <v>-0.11989051272911233</v>
      </c>
      <c r="AG20" s="622">
        <f>IF(M20="","",DEGREES(ATAN2(-AF20,AE20)))</f>
        <v>-83.105818482390831</v>
      </c>
      <c r="AH20" s="623">
        <f>IF(M20="","",DEGREES(ACOS(AD20)))</f>
        <v>87.178558094323421</v>
      </c>
      <c r="AI20" s="624">
        <f>IF(M20="","",DEGREES(-ACOS(-AF20)))</f>
        <v>-83.114216197553532</v>
      </c>
      <c r="AJ20" s="625">
        <f>IF(M20="","",DEGREES(ATAN2(-AE20,AD20)))</f>
        <v>2.8419572489717546</v>
      </c>
      <c r="AK20" s="4">
        <f>IF(M20="","",(COS(RADIANS((90-$Q$8)-W20))*AD20)+(-SIN(RADIANS((90-$Q$8)-W20))*AE20))</f>
        <v>0.96338673270473274</v>
      </c>
      <c r="AL20" s="5">
        <f>IF(M20="","",(SIN(RADIANS((90-$Q$8)-W20))*AD20)+(COS(RADIANS((90-$Q$8)-W20))*AE20))</f>
        <v>-0.23981715577925228</v>
      </c>
      <c r="AM20" s="6">
        <f>IF(M20="","",AF20)</f>
        <v>-0.11989051272911233</v>
      </c>
      <c r="AN20" s="612">
        <f>IF(M20="","",DEGREES(ATAN2(-AM20,AL20)))</f>
        <v>-63.438401749007753</v>
      </c>
      <c r="AO20" s="613">
        <f t="shared" si="98"/>
        <v>15.552167928275882</v>
      </c>
      <c r="AP20" s="624">
        <f>IF(M20="","",DEGREES(ATAN2(AK20,AL20)))</f>
        <v>-13.978601339263264</v>
      </c>
      <c r="AQ20" s="625">
        <f t="shared" si="9"/>
        <v>4.527639784284462</v>
      </c>
      <c r="AS20" s="56">
        <f t="shared" si="119"/>
        <v>-71.081741714635314</v>
      </c>
      <c r="AT20" s="77">
        <f t="shared" si="10"/>
        <v>-0.2501459206748336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2.1160000000000001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7"/>
        <v/>
      </c>
      <c r="IK20" s="839" t="str">
        <f t="shared" si="68"/>
        <v/>
      </c>
      <c r="IL20" s="791" t="str">
        <f t="shared" si="227"/>
        <v/>
      </c>
      <c r="IM20" s="830"/>
      <c r="IN20" s="5" t="str">
        <f t="shared" si="228"/>
        <v/>
      </c>
      <c r="IO20" s="852"/>
      <c r="IP20" s="9" t="str">
        <f t="shared" si="229"/>
        <v/>
      </c>
      <c r="IQ20" s="5" t="str">
        <f t="shared" si="230"/>
        <v/>
      </c>
      <c r="IR20" s="5" t="str">
        <f t="shared" si="73"/>
        <v/>
      </c>
      <c r="IS20" s="5" t="str">
        <f t="shared" si="231"/>
        <v/>
      </c>
      <c r="IT20" s="791" t="str">
        <f t="shared" si="232"/>
        <v/>
      </c>
      <c r="IU20" s="9" t="str">
        <f t="shared" si="233"/>
        <v/>
      </c>
      <c r="IV20" s="5" t="str">
        <f t="shared" si="234"/>
        <v/>
      </c>
      <c r="IW20" s="5" t="str">
        <f t="shared" si="78"/>
        <v/>
      </c>
      <c r="IX20" s="5" t="str">
        <f t="shared" si="235"/>
        <v/>
      </c>
      <c r="IY20" s="833" t="str">
        <f t="shared" si="236"/>
        <v/>
      </c>
    </row>
    <row r="21" spans="1:259" ht="15" customHeight="1" x14ac:dyDescent="0.25">
      <c r="A21" s="84">
        <f t="shared" si="81"/>
        <v>0.02</v>
      </c>
      <c r="B21" s="770">
        <v>2.965690689717567</v>
      </c>
      <c r="C21" s="771">
        <v>0.84604497745207508</v>
      </c>
      <c r="D21" s="772">
        <v>-1.1188033743109771</v>
      </c>
      <c r="E21" s="773">
        <v>0.15048720236162419</v>
      </c>
      <c r="F21" s="771">
        <v>0.98371988872073224</v>
      </c>
      <c r="G21" s="774">
        <v>9.8228216214292924E-2</v>
      </c>
      <c r="H21" s="773">
        <v>0.26600000000000001</v>
      </c>
      <c r="I21" s="771">
        <v>0.52</v>
      </c>
      <c r="J21" s="601">
        <v>2.121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2.121</v>
      </c>
      <c r="N21" s="21">
        <f t="shared" si="2"/>
        <v>2.965690689717567</v>
      </c>
      <c r="O21" s="5">
        <f t="shared" si="3"/>
        <v>0.84604497745207508</v>
      </c>
      <c r="P21" s="10">
        <f t="shared" si="4"/>
        <v>-1.1188033743109771</v>
      </c>
      <c r="Q21" s="624">
        <f t="shared" si="116"/>
        <v>15.922258717933449</v>
      </c>
      <c r="R21" s="5">
        <f>IF(M21="","",SQRT(N21^2+O21^2))</f>
        <v>3.0840093013720535</v>
      </c>
      <c r="S21" s="6">
        <f>IF(M21="","",P21)</f>
        <v>-1.1188033743109771</v>
      </c>
      <c r="T21" s="4">
        <f>IF(M21="","",X21*COS(RADIANS(W21)))</f>
        <v>0.95403293186773941</v>
      </c>
      <c r="U21" s="5">
        <f>IF(M21="","",X21*SIN(RADIANS(W21)))</f>
        <v>-2.9327349924364436</v>
      </c>
      <c r="V21" s="8">
        <f>IF(M21="","",Y21)</f>
        <v>-1.1188033743109771</v>
      </c>
      <c r="W21" s="624">
        <f t="shared" si="226"/>
        <v>288.01995841506312</v>
      </c>
      <c r="X21" s="5">
        <f>IF(M21="","",R21)</f>
        <v>3.0840093013720535</v>
      </c>
      <c r="Y21" s="7">
        <f t="shared" si="225"/>
        <v>-1.1188033743109771</v>
      </c>
      <c r="Z21" s="21">
        <f t="shared" si="6"/>
        <v>-0.15048720236162419</v>
      </c>
      <c r="AA21" s="5">
        <f t="shared" si="7"/>
        <v>-0.98371988872073224</v>
      </c>
      <c r="AB21" s="5">
        <f t="shared" si="8"/>
        <v>-9.8228216214292924E-2</v>
      </c>
      <c r="AC21" s="8">
        <f>IF(M21="","",SQRT(Z21^2+AA21^2+AB21^2))</f>
        <v>1</v>
      </c>
      <c r="AD21" s="9">
        <f>IF(M21="","",Z21*(1/SQRT(Z21^2+AA21^2+AB21^2)))</f>
        <v>-0.15048720236162419</v>
      </c>
      <c r="AE21" s="5">
        <f>IF(M21="","",AA21*(1/SQRT(Z21^2+AA21^2+AB21^2)))</f>
        <v>-0.98371988872073224</v>
      </c>
      <c r="AF21" s="10">
        <f>IF(M21="","",AB21*(1/SQRT(Z21^2+AA21^2+AB21^2)))</f>
        <v>-9.8228216214292924E-2</v>
      </c>
      <c r="AG21" s="622">
        <f>IF(M21="","",DEGREES(ATAN2(-AF21,AE21)))</f>
        <v>-84.297697967006428</v>
      </c>
      <c r="AH21" s="623">
        <f>IF(M21="","",DEGREES(ACOS(AD21)))</f>
        <v>98.655161694885948</v>
      </c>
      <c r="AI21" s="624">
        <f>IF(M21="","",DEGREES(-ACOS(-AF21)))</f>
        <v>-84.362847599104839</v>
      </c>
      <c r="AJ21" s="625">
        <f>IF(M21="","",DEGREES(ATAN2(-AE21,AD21)))</f>
        <v>-8.6975474718545485</v>
      </c>
      <c r="AK21" s="4">
        <f>IF(M21="","",(COS(RADIANS((90-$Q$8)-W21))*AD21)+(-SIN(RADIANS((90-$Q$8)-W21))*AE21))</f>
        <v>0.90469570642958796</v>
      </c>
      <c r="AL21" s="5">
        <f>IF(M21="","",(SIN(RADIANS((90-$Q$8)-W21))*AD21)+(COS(RADIANS((90-$Q$8)-W21))*AE21))</f>
        <v>-0.41458038582068363</v>
      </c>
      <c r="AM21" s="6">
        <f>IF(M21="","",AF21)</f>
        <v>-9.8228216214292924E-2</v>
      </c>
      <c r="AN21" s="612">
        <f>IF(M21="","",DEGREES(ATAN2(-AM21,AL21)))</f>
        <v>-76.670479775443994</v>
      </c>
      <c r="AO21" s="613">
        <f>IF(ROUND(IF(M21="",0,DEGREES(ACOS(AK21))),4)=90,0,IF(M21="","",DEGREES(ACOS(AK21))))</f>
        <v>25.217669033438064</v>
      </c>
      <c r="AP21" s="624">
        <f>IF(M21="","",DEGREES(ATAN2(AK21,AL21)))</f>
        <v>-24.619806189788019</v>
      </c>
      <c r="AQ21" s="625">
        <f t="shared" si="9"/>
        <v>4.0147121455698223</v>
      </c>
      <c r="AS21" s="56">
        <f t="shared" si="119"/>
        <v>-71.980041584936885</v>
      </c>
      <c r="AT21" s="77">
        <f t="shared" si="10"/>
        <v>-0.83895412946761472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2.121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7"/>
        <v/>
      </c>
      <c r="IK21" s="839" t="str">
        <f t="shared" si="68"/>
        <v/>
      </c>
      <c r="IL21" s="791" t="str">
        <f t="shared" si="227"/>
        <v/>
      </c>
      <c r="IM21" s="830"/>
      <c r="IN21" s="5" t="str">
        <f t="shared" si="228"/>
        <v/>
      </c>
      <c r="IO21" s="852"/>
      <c r="IP21" s="9" t="str">
        <f t="shared" si="229"/>
        <v/>
      </c>
      <c r="IQ21" s="5" t="str">
        <f t="shared" si="230"/>
        <v/>
      </c>
      <c r="IR21" s="5" t="str">
        <f t="shared" si="73"/>
        <v/>
      </c>
      <c r="IS21" s="5" t="str">
        <f t="shared" si="231"/>
        <v/>
      </c>
      <c r="IT21" s="791" t="str">
        <f t="shared" si="232"/>
        <v/>
      </c>
      <c r="IU21" s="9" t="str">
        <f t="shared" si="233"/>
        <v/>
      </c>
      <c r="IV21" s="5" t="str">
        <f t="shared" si="234"/>
        <v/>
      </c>
      <c r="IW21" s="5" t="str">
        <f t="shared" si="78"/>
        <v/>
      </c>
      <c r="IX21" s="5" t="str">
        <f t="shared" si="235"/>
        <v/>
      </c>
      <c r="IY21" s="833" t="str">
        <f t="shared" si="236"/>
        <v/>
      </c>
    </row>
    <row r="22" spans="1:259" ht="15" customHeight="1" x14ac:dyDescent="0.25">
      <c r="A22" s="84">
        <f t="shared" si="81"/>
        <v>0.02</v>
      </c>
      <c r="B22" s="770">
        <v>3.069722025914805</v>
      </c>
      <c r="C22" s="771">
        <v>0.85998511343854023</v>
      </c>
      <c r="D22" s="772">
        <v>-1.7843053814650307</v>
      </c>
      <c r="E22" s="773">
        <v>0.33133354418634597</v>
      </c>
      <c r="F22" s="771">
        <v>0.94351368961817283</v>
      </c>
      <c r="G22" s="774">
        <v>1.300841922942013E-7</v>
      </c>
      <c r="H22" s="773">
        <v>0.26600000000000001</v>
      </c>
      <c r="I22" s="771">
        <v>0.52</v>
      </c>
      <c r="J22" s="601">
        <v>2.1259999999999999</v>
      </c>
      <c r="K22" s="426" t="str">
        <f t="shared" si="82"/>
        <v>1313</v>
      </c>
      <c r="L22" s="327"/>
      <c r="M22" s="173">
        <f t="shared" si="1"/>
        <v>2.1259999999999999</v>
      </c>
      <c r="N22" s="21">
        <f t="shared" si="2"/>
        <v>3.069722025914805</v>
      </c>
      <c r="O22" s="5">
        <f t="shared" si="3"/>
        <v>0.85998511343854023</v>
      </c>
      <c r="P22" s="10">
        <f t="shared" si="4"/>
        <v>-1.7843053814650307</v>
      </c>
      <c r="Q22" s="624">
        <f t="shared" si="116"/>
        <v>15.650258757205389</v>
      </c>
      <c r="R22" s="5">
        <f t="shared" si="83"/>
        <v>3.187909614735398</v>
      </c>
      <c r="S22" s="6">
        <f t="shared" si="84"/>
        <v>-1.7843053814650307</v>
      </c>
      <c r="T22" s="4">
        <f t="shared" si="85"/>
        <v>0.97177164621572509</v>
      </c>
      <c r="U22" s="5">
        <f t="shared" si="86"/>
        <v>-3.0361863545134335</v>
      </c>
      <c r="V22" s="8">
        <f t="shared" si="117"/>
        <v>-1.7843053814650307</v>
      </c>
      <c r="W22" s="624">
        <f t="shared" si="226"/>
        <v>287.74795845433505</v>
      </c>
      <c r="X22" s="5">
        <f t="shared" si="87"/>
        <v>3.187909614735398</v>
      </c>
      <c r="Y22" s="7">
        <f t="shared" si="225"/>
        <v>-1.7843053814650307</v>
      </c>
      <c r="Z22" s="21">
        <f t="shared" si="6"/>
        <v>-0.33133354418634597</v>
      </c>
      <c r="AA22" s="5">
        <f t="shared" si="7"/>
        <v>-0.94351368961817283</v>
      </c>
      <c r="AB22" s="5">
        <f t="shared" si="8"/>
        <v>-1.300841922942013E-7</v>
      </c>
      <c r="AC22" s="8">
        <f t="shared" si="88"/>
        <v>1</v>
      </c>
      <c r="AD22" s="9">
        <f t="shared" si="118"/>
        <v>-0.33133354418634597</v>
      </c>
      <c r="AE22" s="5">
        <f t="shared" si="89"/>
        <v>-0.94351368961817283</v>
      </c>
      <c r="AF22" s="10">
        <f t="shared" si="90"/>
        <v>-1.300841922942013E-7</v>
      </c>
      <c r="AG22" s="622">
        <f t="shared" si="91"/>
        <v>-89.999992100511875</v>
      </c>
      <c r="AH22" s="623">
        <f t="shared" si="92"/>
        <v>109.34973618941972</v>
      </c>
      <c r="AI22" s="624">
        <f t="shared" si="93"/>
        <v>-89.999992546724798</v>
      </c>
      <c r="AJ22" s="625">
        <f t="shared" si="94"/>
        <v>-19.349736189419886</v>
      </c>
      <c r="AK22" s="4">
        <f t="shared" si="213"/>
        <v>0.8191520948772919</v>
      </c>
      <c r="AL22" s="5">
        <f t="shared" si="95"/>
        <v>-0.57357636410344448</v>
      </c>
      <c r="AM22" s="6">
        <f t="shared" si="96"/>
        <v>-1.300841922942013E-7</v>
      </c>
      <c r="AN22" s="612">
        <f t="shared" si="97"/>
        <v>-89.999987005609611</v>
      </c>
      <c r="AO22" s="613">
        <f t="shared" si="98"/>
        <v>34.999994946625968</v>
      </c>
      <c r="AP22" s="624">
        <f t="shared" si="99"/>
        <v>-34.999994946625264</v>
      </c>
      <c r="AQ22" s="625">
        <f t="shared" si="9"/>
        <v>3.8842719493504538</v>
      </c>
      <c r="AS22" s="56">
        <f t="shared" si="119"/>
        <v>-72.252041545664952</v>
      </c>
      <c r="AT22" s="77">
        <f t="shared" si="10"/>
        <v>-1.5034285812144734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2.1259999999999999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2.7562559774298965</v>
      </c>
      <c r="C23" s="771">
        <v>-0.25827346319043165</v>
      </c>
      <c r="D23" s="772">
        <v>-0.49064560612684166</v>
      </c>
      <c r="E23" s="773">
        <v>0.3292810007808511</v>
      </c>
      <c r="F23" s="771">
        <v>0.88669232445103519</v>
      </c>
      <c r="G23" s="774">
        <v>0.32457779388673746</v>
      </c>
      <c r="H23" s="773">
        <v>0.219</v>
      </c>
      <c r="I23" s="771">
        <v>0.42</v>
      </c>
      <c r="J23" s="601">
        <v>2.2160000000000002</v>
      </c>
      <c r="K23" s="426" t="str">
        <f t="shared" si="82"/>
        <v>1111</v>
      </c>
      <c r="L23" s="327"/>
      <c r="M23" s="173">
        <f t="shared" si="1"/>
        <v>2.2160000000000002</v>
      </c>
      <c r="N23" s="21">
        <f t="shared" si="2"/>
        <v>2.7562559774298965</v>
      </c>
      <c r="O23" s="5">
        <f t="shared" si="3"/>
        <v>-0.25827346319043165</v>
      </c>
      <c r="P23" s="10">
        <f t="shared" si="4"/>
        <v>-0.49064560612684166</v>
      </c>
      <c r="Q23" s="624">
        <f t="shared" si="116"/>
        <v>354.64676178973514</v>
      </c>
      <c r="R23" s="5">
        <f t="shared" si="83"/>
        <v>2.7683302178220019</v>
      </c>
      <c r="S23" s="6">
        <f t="shared" si="84"/>
        <v>-0.49064560612684166</v>
      </c>
      <c r="T23" s="4">
        <f t="shared" si="85"/>
        <v>-0.15721152726228077</v>
      </c>
      <c r="U23" s="5">
        <f t="shared" si="86"/>
        <v>-2.76386264684088</v>
      </c>
      <c r="V23" s="8">
        <f t="shared" si="117"/>
        <v>-0.49064560612684166</v>
      </c>
      <c r="W23" s="624">
        <f t="shared" si="226"/>
        <v>266.74446148686479</v>
      </c>
      <c r="X23" s="5">
        <f t="shared" si="87"/>
        <v>2.7683302178220019</v>
      </c>
      <c r="Y23" s="7">
        <f t="shared" si="225"/>
        <v>-0.49064560612684166</v>
      </c>
      <c r="Z23" s="21">
        <f t="shared" si="6"/>
        <v>-0.3292810007808511</v>
      </c>
      <c r="AA23" s="5">
        <f t="shared" si="7"/>
        <v>-0.88669232445103519</v>
      </c>
      <c r="AB23" s="5">
        <f t="shared" si="8"/>
        <v>-0.32457779388673746</v>
      </c>
      <c r="AC23" s="8">
        <f t="shared" si="88"/>
        <v>1</v>
      </c>
      <c r="AD23" s="9">
        <f t="shared" si="118"/>
        <v>-0.3292810007808511</v>
      </c>
      <c r="AE23" s="5">
        <f t="shared" si="89"/>
        <v>-0.88669232445103519</v>
      </c>
      <c r="AF23" s="10">
        <f t="shared" si="90"/>
        <v>-0.32457779388673746</v>
      </c>
      <c r="AG23" s="622">
        <f t="shared" si="91"/>
        <v>-69.894616054810214</v>
      </c>
      <c r="AH23" s="623">
        <f t="shared" si="92"/>
        <v>109.2251409854517</v>
      </c>
      <c r="AI23" s="624">
        <f t="shared" si="93"/>
        <v>-71.060002271680787</v>
      </c>
      <c r="AJ23" s="625">
        <f t="shared" si="94"/>
        <v>-20.372922352857433</v>
      </c>
      <c r="AK23" s="4">
        <f t="shared" si="213"/>
        <v>0.91354548224147791</v>
      </c>
      <c r="AL23" s="5">
        <f t="shared" si="95"/>
        <v>-0.24512019009417446</v>
      </c>
      <c r="AM23" s="6">
        <f t="shared" si="96"/>
        <v>-0.32457779388673746</v>
      </c>
      <c r="AN23" s="612">
        <f t="shared" si="97"/>
        <v>-37.059994649198806</v>
      </c>
      <c r="AO23" s="613">
        <f t="shared" si="98"/>
        <v>23.999996534829219</v>
      </c>
      <c r="AP23" s="624">
        <f t="shared" si="99"/>
        <v>-15.019684142592576</v>
      </c>
      <c r="AQ23" s="625">
        <f t="shared" si="9"/>
        <v>4.4707574675295527</v>
      </c>
      <c r="AS23" s="56">
        <f t="shared" si="119"/>
        <v>-93.255538513135207</v>
      </c>
      <c r="AT23" s="77">
        <f t="shared" si="10"/>
        <v>-0.13042226177695226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>
        <f>IFERROR(IF($IU23="","",IF($IU23&lt;(((Settings!$C$19/2)*-1)*$IE$8),"",1)),"")</f>
        <v>1</v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2.2160000000000002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2.1160000000000001</v>
      </c>
      <c r="II23" s="800" cm="1">
        <f t="array" ref="II23">IFERROR(IF($IH23&lt;1,$IH23+LARGE((IF($M$9:$M$150="",0,$M$9:$M$150)-MOD(IF($M$9:$M$150="",0,$M$9:$M$150),1)),1),$IH23),"")</f>
        <v>2.1160000000000001</v>
      </c>
      <c r="IJ23" s="839" t="str">
        <f t="shared" si="67"/>
        <v>1313</v>
      </c>
      <c r="IK23" s="839" t="str">
        <f t="shared" si="68"/>
        <v>1111</v>
      </c>
      <c r="IL23" s="791">
        <f t="shared" si="227"/>
        <v>22.173796798499893</v>
      </c>
      <c r="IM23" s="830">
        <v>4.9935384995767797E-3</v>
      </c>
      <c r="IN23" s="5">
        <f t="shared" si="228"/>
        <v>0.12</v>
      </c>
      <c r="IO23" s="852">
        <v>60</v>
      </c>
      <c r="IP23" s="9">
        <f t="shared" si="229"/>
        <v>-2.7334082439592637</v>
      </c>
      <c r="IQ23" s="5">
        <f t="shared" si="230"/>
        <v>-0.52660158823039005</v>
      </c>
      <c r="IR23" s="5">
        <f t="shared" si="73"/>
        <v>0.26600000000000001</v>
      </c>
      <c r="IS23" s="5">
        <f t="shared" si="231"/>
        <v>0.25626087089945893</v>
      </c>
      <c r="IT23" s="791">
        <f t="shared" si="232"/>
        <v>63.438401749007753</v>
      </c>
      <c r="IU23" s="9">
        <f t="shared" si="233"/>
        <v>-2.7683302178220019</v>
      </c>
      <c r="IV23" s="5">
        <f t="shared" si="234"/>
        <v>-0.49064560612684166</v>
      </c>
      <c r="IW23" s="5">
        <f t="shared" si="78"/>
        <v>0.219</v>
      </c>
      <c r="IX23" s="5">
        <f t="shared" si="235"/>
        <v>0.20006646061088365</v>
      </c>
      <c r="IY23" s="833">
        <f t="shared" si="236"/>
        <v>37.059994649198806</v>
      </c>
    </row>
    <row r="24" spans="1:259" ht="15" customHeight="1" x14ac:dyDescent="0.25">
      <c r="A24" s="84">
        <f t="shared" si="81"/>
        <v>0.02</v>
      </c>
      <c r="B24" s="770">
        <v>0.4087888427935229</v>
      </c>
      <c r="C24" s="771">
        <v>-0.58381164421691256</v>
      </c>
      <c r="D24" s="772">
        <v>-0.19470058721697109</v>
      </c>
      <c r="E24" s="773">
        <v>0.77023109612123153</v>
      </c>
      <c r="F24" s="771">
        <v>0.5987584213801338</v>
      </c>
      <c r="G24" s="774">
        <v>0.21961878652395964</v>
      </c>
      <c r="H24" s="773">
        <v>0.26600000000000001</v>
      </c>
      <c r="I24" s="771">
        <v>0.52</v>
      </c>
      <c r="J24" s="601">
        <v>3.1030000000000002</v>
      </c>
      <c r="K24" s="426" t="str">
        <f t="shared" si="82"/>
        <v>1313</v>
      </c>
      <c r="L24" s="327"/>
      <c r="M24" s="173">
        <f t="shared" si="1"/>
        <v>3.1030000000000002</v>
      </c>
      <c r="N24" s="21">
        <f t="shared" si="2"/>
        <v>0.4087888427935229</v>
      </c>
      <c r="O24" s="5">
        <f t="shared" si="3"/>
        <v>-0.58381164421691256</v>
      </c>
      <c r="P24" s="10">
        <f t="shared" si="4"/>
        <v>-0.19470058721697109</v>
      </c>
      <c r="Q24" s="624">
        <f t="shared" si="116"/>
        <v>304.99996895784517</v>
      </c>
      <c r="R24" s="5">
        <f t="shared" si="83"/>
        <v>0.71270214950968291</v>
      </c>
      <c r="S24" s="6">
        <f t="shared" si="84"/>
        <v>-0.19470058721697109</v>
      </c>
      <c r="T24" s="4">
        <f t="shared" si="85"/>
        <v>-0.56845727280709779</v>
      </c>
      <c r="U24" s="5">
        <f t="shared" si="86"/>
        <v>-0.42988449949775948</v>
      </c>
      <c r="V24" s="8">
        <f t="shared" si="117"/>
        <v>-0.19470058721697109</v>
      </c>
      <c r="W24" s="624">
        <f t="shared" si="226"/>
        <v>217.0976686549748</v>
      </c>
      <c r="X24" s="5">
        <f t="shared" si="87"/>
        <v>0.71270214950968291</v>
      </c>
      <c r="Y24" s="7">
        <f t="shared" si="225"/>
        <v>-0.19470058721697109</v>
      </c>
      <c r="Z24" s="21">
        <f t="shared" si="6"/>
        <v>-0.77023109612123153</v>
      </c>
      <c r="AA24" s="5">
        <f t="shared" si="7"/>
        <v>-0.5987584213801338</v>
      </c>
      <c r="AB24" s="5">
        <f t="shared" si="8"/>
        <v>-0.21961878652395964</v>
      </c>
      <c r="AC24" s="8">
        <f t="shared" si="88"/>
        <v>1</v>
      </c>
      <c r="AD24" s="9">
        <f t="shared" si="118"/>
        <v>-0.77023109612123153</v>
      </c>
      <c r="AE24" s="5">
        <f t="shared" si="89"/>
        <v>-0.5987584213801338</v>
      </c>
      <c r="AF24" s="10">
        <f t="shared" si="90"/>
        <v>-0.21961878652395964</v>
      </c>
      <c r="AG24" s="622">
        <f t="shared" si="91"/>
        <v>-69.857452182101014</v>
      </c>
      <c r="AH24" s="623">
        <f t="shared" si="92"/>
        <v>140.37464561922309</v>
      </c>
      <c r="AI24" s="624">
        <f t="shared" si="93"/>
        <v>-77.313356512819013</v>
      </c>
      <c r="AJ24" s="625">
        <f t="shared" si="94"/>
        <v>-52.139397124823695</v>
      </c>
      <c r="AK24" s="4">
        <f>IF(M24="","",(COS(RADIANS((90-$Q$8)-W24))*AD24)+(-SIN(RADIANS((90-$Q$8)-W24))*AE24))</f>
        <v>0.97437007215446547</v>
      </c>
      <c r="AL24" s="5">
        <f t="shared" si="95"/>
        <v>4.8688305530643627E-2</v>
      </c>
      <c r="AM24" s="6">
        <f t="shared" si="96"/>
        <v>-0.21961878652395964</v>
      </c>
      <c r="AN24" s="612">
        <f t="shared" si="97"/>
        <v>12.499998195223569</v>
      </c>
      <c r="AO24" s="613">
        <f t="shared" si="98"/>
        <v>12.999998123032478</v>
      </c>
      <c r="AP24" s="624">
        <f t="shared" si="99"/>
        <v>2.8606339173311399</v>
      </c>
      <c r="AQ24" s="625">
        <f t="shared" si="9"/>
        <v>16.89376257657727</v>
      </c>
      <c r="AS24" s="56">
        <f t="shared" si="119"/>
        <v>-142.9023313450252</v>
      </c>
      <c r="AT24" s="77">
        <f t="shared" si="10"/>
        <v>0.35307730783116936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3.1030000000000002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0.77455049086144678</v>
      </c>
      <c r="C25" s="771">
        <v>-1.1175270820084737</v>
      </c>
      <c r="D25" s="772">
        <v>-5.4700164975697574E-2</v>
      </c>
      <c r="E25" s="773">
        <v>0.80638067723593831</v>
      </c>
      <c r="F25" s="771">
        <v>0.54956593690309763</v>
      </c>
      <c r="G25" s="774">
        <v>0.21846620877456141</v>
      </c>
      <c r="H25" s="773">
        <v>0.26600000000000001</v>
      </c>
      <c r="I25" s="771">
        <v>0.52</v>
      </c>
      <c r="J25" s="601">
        <v>3.1059999999999999</v>
      </c>
      <c r="K25" s="426" t="str">
        <f t="shared" si="82"/>
        <v>1313</v>
      </c>
      <c r="L25" s="327"/>
      <c r="M25" s="173">
        <f t="shared" si="1"/>
        <v>3.1059999999999999</v>
      </c>
      <c r="N25" s="21">
        <f t="shared" si="2"/>
        <v>0.77455049086144678</v>
      </c>
      <c r="O25" s="5">
        <f t="shared" si="3"/>
        <v>-1.1175270820084737</v>
      </c>
      <c r="P25" s="10">
        <f t="shared" si="4"/>
        <v>-5.4700164975697574E-2</v>
      </c>
      <c r="Q25" s="624">
        <f t="shared" si="116"/>
        <v>304.7255689974636</v>
      </c>
      <c r="R25" s="5">
        <f>IF(M25="","",SQRT(N25^2+O25^2))</f>
        <v>1.3597041008675683</v>
      </c>
      <c r="S25" s="6">
        <f>IF(M25="","",P25)</f>
        <v>-5.4700164975697574E-2</v>
      </c>
      <c r="T25" s="4">
        <f>IF(M25="","",X25*COS(RADIANS(W25)))</f>
        <v>-1.0884268601523734</v>
      </c>
      <c r="U25" s="5">
        <f>IF(M25="","",X25*SIN(RADIANS(W25)))</f>
        <v>-0.81493693744665163</v>
      </c>
      <c r="V25" s="8">
        <f>IF(M25="","",Y25)</f>
        <v>-5.4700164975697574E-2</v>
      </c>
      <c r="W25" s="624">
        <f t="shared" si="226"/>
        <v>216.82326869459322</v>
      </c>
      <c r="X25" s="5">
        <f>IF(M25="","",R25)</f>
        <v>1.3597041008675683</v>
      </c>
      <c r="Y25" s="7">
        <f t="shared" si="225"/>
        <v>-5.4700164975697574E-2</v>
      </c>
      <c r="Z25" s="21">
        <f t="shared" si="6"/>
        <v>-0.80638067723593831</v>
      </c>
      <c r="AA25" s="5">
        <f t="shared" si="7"/>
        <v>-0.54956593690309763</v>
      </c>
      <c r="AB25" s="5">
        <f t="shared" si="8"/>
        <v>-0.21846620877456141</v>
      </c>
      <c r="AC25" s="8">
        <f>IF(M25="","",SQRT(Z25^2+AA25^2+AB25^2))</f>
        <v>1</v>
      </c>
      <c r="AD25" s="9">
        <f>IF(M25="","",Z25*(1/SQRT(Z25^2+AA25^2+AB25^2)))</f>
        <v>-0.80638067723593831</v>
      </c>
      <c r="AE25" s="5">
        <f>IF(M25="","",AA25*(1/SQRT(Z25^2+AA25^2+AB25^2)))</f>
        <v>-0.54956593690309763</v>
      </c>
      <c r="AF25" s="10">
        <f>IF(M25="","",AB25*(1/SQRT(Z25^2+AA25^2+AB25^2)))</f>
        <v>-0.21846620877456141</v>
      </c>
      <c r="AG25" s="622">
        <f>IF(M25="","",DEGREES(ATAN2(-AF25,AE25)))</f>
        <v>-68.320941335340692</v>
      </c>
      <c r="AH25" s="623">
        <f>IF(M25="","",DEGREES(ACOS(AD25)))</f>
        <v>143.74380615700269</v>
      </c>
      <c r="AI25" s="624">
        <f>IF(M25="","",DEGREES(-ACOS(-AF25)))</f>
        <v>-77.381037980679778</v>
      </c>
      <c r="AJ25" s="625">
        <f>IF(M25="","",DEGREES(ATAN2(-AE25,AD25)))</f>
        <v>-55.724720598225879</v>
      </c>
      <c r="AK25" s="4">
        <f>IF(M25="","",(COS(RADIANS((90-$Q$8)-W25))*AD25)+(-SIN(RADIANS((90-$Q$8)-W25))*AE25))</f>
        <v>0.97581437796792314</v>
      </c>
      <c r="AL25" s="5">
        <f>IF(M25="","",(SIN(RADIANS((90-$Q$8)-W25))*AD25)+(COS(RADIANS((90-$Q$8)-W25))*AE25))</f>
        <v>-7.6691182508432099E-3</v>
      </c>
      <c r="AM25" s="6">
        <f>IF(M25="","",AF25)</f>
        <v>-0.21846620877456141</v>
      </c>
      <c r="AN25" s="612">
        <f>IF(M25="","",DEGREES(ATAN2(-AM25,AL25)))</f>
        <v>-2.0105065562214461</v>
      </c>
      <c r="AO25" s="613">
        <f>IF(ROUND(IF(M25="",0,DEGREES(ACOS(AK25))),4)=90,0,IF(M25="","",DEGREES(ACOS(AK25))))</f>
        <v>12.626863192451641</v>
      </c>
      <c r="AP25" s="624">
        <f>IF(M25="","",DEGREES(ATAN2(AK25,AL25)))</f>
        <v>-0.45028959568948096</v>
      </c>
      <c r="AQ25" s="625">
        <f t="shared" si="9"/>
        <v>9.0449965021528396</v>
      </c>
      <c r="AS25" s="56">
        <f t="shared" si="119"/>
        <v>-143.17673130540678</v>
      </c>
      <c r="AT25" s="77">
        <f t="shared" si="10"/>
        <v>0.49411435214499549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3.1059999999999999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1.1206150037514193</v>
      </c>
      <c r="C26" s="771">
        <v>-1.6937537314481039</v>
      </c>
      <c r="D26" s="772">
        <v>-9.8000295568891449E-2</v>
      </c>
      <c r="E26" s="773">
        <v>0.87896877171011334</v>
      </c>
      <c r="F26" s="771">
        <v>0.43552811764986399</v>
      </c>
      <c r="G26" s="774">
        <v>0.19423994721678872</v>
      </c>
      <c r="H26" s="773">
        <v>0.26600000000000001</v>
      </c>
      <c r="I26" s="771">
        <v>0.52</v>
      </c>
      <c r="J26" s="601">
        <v>3.11</v>
      </c>
      <c r="K26" s="426" t="str">
        <f t="shared" si="82"/>
        <v>1313</v>
      </c>
      <c r="L26" s="327"/>
      <c r="M26" s="173">
        <f t="shared" si="1"/>
        <v>3.11</v>
      </c>
      <c r="N26" s="21">
        <f t="shared" si="2"/>
        <v>1.1206150037514193</v>
      </c>
      <c r="O26" s="5">
        <f t="shared" si="3"/>
        <v>-1.6937537314481039</v>
      </c>
      <c r="P26" s="10">
        <f t="shared" si="4"/>
        <v>-9.8000295568891449E-2</v>
      </c>
      <c r="Q26" s="624">
        <f t="shared" si="116"/>
        <v>303.48926917596322</v>
      </c>
      <c r="R26" s="5">
        <f>IF(M26="","",SQRT(N26^2+O26^2))</f>
        <v>2.0309061252128737</v>
      </c>
      <c r="S26" s="6">
        <f>IF(M26="","",P26)</f>
        <v>-9.8000295568891449E-2</v>
      </c>
      <c r="T26" s="4">
        <f>IF(M26="","",X26*COS(RADIANS(W26)))</f>
        <v>-1.6516001566748628</v>
      </c>
      <c r="U26" s="5">
        <f>IF(M26="","",X26*SIN(RADIANS(W26)))</f>
        <v>-1.1818615028414869</v>
      </c>
      <c r="V26" s="8">
        <f>IF(M26="","",Y26)</f>
        <v>-9.8000295568891449E-2</v>
      </c>
      <c r="W26" s="624">
        <f t="shared" si="226"/>
        <v>215.58696887309284</v>
      </c>
      <c r="X26" s="5">
        <f>IF(M26="","",R26)</f>
        <v>2.0309061252128737</v>
      </c>
      <c r="Y26" s="7">
        <f t="shared" si="225"/>
        <v>-9.8000295568891449E-2</v>
      </c>
      <c r="Z26" s="21">
        <f t="shared" si="6"/>
        <v>-0.87896877171011334</v>
      </c>
      <c r="AA26" s="5">
        <f t="shared" si="7"/>
        <v>-0.43552811764986399</v>
      </c>
      <c r="AB26" s="5">
        <f t="shared" si="8"/>
        <v>-0.19423994721678872</v>
      </c>
      <c r="AC26" s="8">
        <f>IF(M26="","",SQRT(Z26^2+AA26^2+AB26^2))</f>
        <v>1</v>
      </c>
      <c r="AD26" s="9">
        <f>IF(M26="","",Z26*(1/SQRT(Z26^2+AA26^2+AB26^2)))</f>
        <v>-0.87896877171011334</v>
      </c>
      <c r="AE26" s="5">
        <f>IF(M26="","",AA26*(1/SQRT(Z26^2+AA26^2+AB26^2)))</f>
        <v>-0.43552811764986399</v>
      </c>
      <c r="AF26" s="10">
        <f>IF(M26="","",AB26*(1/SQRT(Z26^2+AA26^2+AB26^2)))</f>
        <v>-0.19423994721678872</v>
      </c>
      <c r="AG26" s="622">
        <f>IF(M26="","",DEGREES(ATAN2(-AF26,AE26)))</f>
        <v>-65.96374230405776</v>
      </c>
      <c r="AH26" s="623">
        <f>IF(M26="","",DEGREES(ACOS(AD26)))</f>
        <v>151.51821609298611</v>
      </c>
      <c r="AI26" s="624">
        <f>IF(M26="","",DEGREES(-ACOS(-AF26)))</f>
        <v>-78.799673147973067</v>
      </c>
      <c r="AJ26" s="625">
        <f>IF(M26="","",DEGREES(ATAN2(-AE26,AD26)))</f>
        <v>-63.641632238647311</v>
      </c>
      <c r="AK26" s="4">
        <f>IF(M26="","",(COS(RADIANS((90-$Q$8)-W26))*AD26)+(-SIN(RADIANS((90-$Q$8)-W26))*AE26))</f>
        <v>0.97336649664061059</v>
      </c>
      <c r="AL26" s="5">
        <f>IF(M26="","",(SIN(RADIANS((90-$Q$8)-W26))*AD26)+(COS(RADIANS((90-$Q$8)-W26))*AE26))</f>
        <v>-0.12177235368836165</v>
      </c>
      <c r="AM26" s="6">
        <f>IF(M26="","",AF26)</f>
        <v>-0.19423994721678872</v>
      </c>
      <c r="AN26" s="612">
        <f>IF(M26="","",DEGREES(ATAN2(-AM26,AL26)))</f>
        <v>-32.084304441735078</v>
      </c>
      <c r="AO26" s="613">
        <f t="shared" si="98"/>
        <v>13.253189837428474</v>
      </c>
      <c r="AP26" s="624">
        <f>IF(M26="","",DEGREES(ATAN2(AK26,AL26)))</f>
        <v>-7.1309014146105119</v>
      </c>
      <c r="AQ26" s="625">
        <f t="shared" si="9"/>
        <v>6.0835276165030008</v>
      </c>
      <c r="AS26" s="56">
        <f t="shared" si="119"/>
        <v>-144.41303112690716</v>
      </c>
      <c r="AT26" s="77">
        <f t="shared" si="10"/>
        <v>0.4554846875441364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3.11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1.3984127076556938</v>
      </c>
      <c r="C27" s="771">
        <v>-2.2319019204821458</v>
      </c>
      <c r="D27" s="772">
        <v>-0.43000129688391142</v>
      </c>
      <c r="E27" s="773">
        <v>0.93542134923759546</v>
      </c>
      <c r="F27" s="771">
        <v>0.33035773010844482</v>
      </c>
      <c r="G27" s="774">
        <v>0.12589944220731283</v>
      </c>
      <c r="H27" s="773">
        <v>0.26600000000000001</v>
      </c>
      <c r="I27" s="771">
        <v>0.52</v>
      </c>
      <c r="J27" s="601">
        <v>3.1150000000000002</v>
      </c>
      <c r="K27" s="426" t="str">
        <f t="shared" si="82"/>
        <v>1313</v>
      </c>
      <c r="L27" s="327"/>
      <c r="M27" s="173">
        <f t="shared" si="1"/>
        <v>3.1150000000000002</v>
      </c>
      <c r="N27" s="21">
        <f t="shared" si="2"/>
        <v>1.3984127076556938</v>
      </c>
      <c r="O27" s="5">
        <f t="shared" si="3"/>
        <v>-2.2319019204821458</v>
      </c>
      <c r="P27" s="10">
        <f t="shared" si="4"/>
        <v>-0.43000129688391142</v>
      </c>
      <c r="Q27" s="624">
        <f t="shared" si="116"/>
        <v>302.06946938095695</v>
      </c>
      <c r="R27" s="5">
        <f t="shared" si="83"/>
        <v>2.6338079435647583</v>
      </c>
      <c r="S27" s="6">
        <f t="shared" si="84"/>
        <v>-0.43000129688391142</v>
      </c>
      <c r="T27" s="4">
        <f t="shared" si="85"/>
        <v>-2.1792193206688708</v>
      </c>
      <c r="U27" s="5">
        <f t="shared" si="86"/>
        <v>-1.479171199019345</v>
      </c>
      <c r="V27" s="8">
        <f t="shared" si="117"/>
        <v>-0.43000129688391142</v>
      </c>
      <c r="W27" s="624">
        <f t="shared" si="226"/>
        <v>214.16716907808657</v>
      </c>
      <c r="X27" s="5">
        <f t="shared" si="87"/>
        <v>2.6338079435647583</v>
      </c>
      <c r="Y27" s="7">
        <f t="shared" si="225"/>
        <v>-0.43000129688391142</v>
      </c>
      <c r="Z27" s="21">
        <f t="shared" si="6"/>
        <v>-0.93542134923759546</v>
      </c>
      <c r="AA27" s="5">
        <f t="shared" si="7"/>
        <v>-0.33035773010844482</v>
      </c>
      <c r="AB27" s="5">
        <f t="shared" si="8"/>
        <v>-0.12589944220731283</v>
      </c>
      <c r="AC27" s="8">
        <f t="shared" si="88"/>
        <v>1</v>
      </c>
      <c r="AD27" s="9">
        <f t="shared" si="118"/>
        <v>-0.93542134923759546</v>
      </c>
      <c r="AE27" s="5">
        <f t="shared" si="89"/>
        <v>-0.33035773010844482</v>
      </c>
      <c r="AF27" s="10">
        <f t="shared" si="90"/>
        <v>-0.12589944220731283</v>
      </c>
      <c r="AG27" s="622">
        <f t="shared" si="91"/>
        <v>-69.138139423426679</v>
      </c>
      <c r="AH27" s="623">
        <f t="shared" si="92"/>
        <v>159.2963237859486</v>
      </c>
      <c r="AI27" s="624">
        <f t="shared" si="93"/>
        <v>-82.767299610782644</v>
      </c>
      <c r="AJ27" s="625">
        <f t="shared" si="94"/>
        <v>-70.548581448374961</v>
      </c>
      <c r="AK27" s="4">
        <f t="shared" si="213"/>
        <v>0.96808317398737365</v>
      </c>
      <c r="AL27" s="5">
        <f t="shared" si="95"/>
        <v>-0.21671247932322635</v>
      </c>
      <c r="AM27" s="6">
        <f t="shared" si="96"/>
        <v>-0.12589944220731283</v>
      </c>
      <c r="AN27" s="612">
        <f t="shared" si="97"/>
        <v>-59.845489370293144</v>
      </c>
      <c r="AO27" s="613">
        <f t="shared" si="98"/>
        <v>14.514744848860675</v>
      </c>
      <c r="AP27" s="624">
        <f t="shared" si="99"/>
        <v>-12.618050829331883</v>
      </c>
      <c r="AQ27" s="625">
        <f t="shared" si="9"/>
        <v>4.6981048231649973</v>
      </c>
      <c r="AS27" s="56">
        <f t="shared" si="119"/>
        <v>-145.83283092191343</v>
      </c>
      <c r="AT27" s="77">
        <f t="shared" si="10"/>
        <v>0.12884737434358462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3.1150000000000002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1.5655897330148782</v>
      </c>
      <c r="C28" s="771">
        <v>-2.6006238902516601</v>
      </c>
      <c r="D28" s="772">
        <v>-0.98880298222979446</v>
      </c>
      <c r="E28" s="773">
        <v>0.98261724977486553</v>
      </c>
      <c r="F28" s="771">
        <v>0.14872798566289422</v>
      </c>
      <c r="G28" s="774">
        <v>0.11110052531620937</v>
      </c>
      <c r="H28" s="773">
        <v>0.26600000000000001</v>
      </c>
      <c r="I28" s="771">
        <v>0.52</v>
      </c>
      <c r="J28" s="601">
        <v>3.12</v>
      </c>
      <c r="K28" s="426" t="str">
        <f t="shared" si="82"/>
        <v>1313</v>
      </c>
      <c r="L28" s="327"/>
      <c r="M28" s="173">
        <f t="shared" si="1"/>
        <v>3.12</v>
      </c>
      <c r="N28" s="21">
        <f t="shared" si="2"/>
        <v>1.5655897330148782</v>
      </c>
      <c r="O28" s="5">
        <f t="shared" si="3"/>
        <v>-2.6006238902516601</v>
      </c>
      <c r="P28" s="10">
        <f t="shared" si="4"/>
        <v>-0.98880298222979446</v>
      </c>
      <c r="Q28" s="624">
        <f t="shared" si="116"/>
        <v>301.04816952841441</v>
      </c>
      <c r="R28" s="5">
        <f t="shared" si="83"/>
        <v>3.0355091550956121</v>
      </c>
      <c r="S28" s="6">
        <f t="shared" si="84"/>
        <v>-0.98880298222979446</v>
      </c>
      <c r="T28" s="4">
        <f t="shared" si="85"/>
        <v>-2.5415749177011491</v>
      </c>
      <c r="U28" s="5">
        <f t="shared" si="86"/>
        <v>-1.6597327400463227</v>
      </c>
      <c r="V28" s="8">
        <f t="shared" si="117"/>
        <v>-0.98880298222979446</v>
      </c>
      <c r="W28" s="624">
        <f t="shared" si="226"/>
        <v>213.14586922554403</v>
      </c>
      <c r="X28" s="5">
        <f t="shared" si="87"/>
        <v>3.0355091550956121</v>
      </c>
      <c r="Y28" s="7">
        <f t="shared" si="225"/>
        <v>-0.98880298222979446</v>
      </c>
      <c r="Z28" s="21">
        <f t="shared" si="6"/>
        <v>-0.98261724977486553</v>
      </c>
      <c r="AA28" s="5">
        <f t="shared" si="7"/>
        <v>-0.14872798566289422</v>
      </c>
      <c r="AB28" s="5">
        <f t="shared" si="8"/>
        <v>-0.11110052531620937</v>
      </c>
      <c r="AC28" s="8">
        <f t="shared" si="88"/>
        <v>1</v>
      </c>
      <c r="AD28" s="9">
        <f t="shared" si="118"/>
        <v>-0.98261724977486553</v>
      </c>
      <c r="AE28" s="5">
        <f t="shared" si="89"/>
        <v>-0.14872798566289422</v>
      </c>
      <c r="AF28" s="10">
        <f t="shared" si="90"/>
        <v>-0.11110052531620937</v>
      </c>
      <c r="AG28" s="622">
        <f t="shared" si="91"/>
        <v>-53.240090719143794</v>
      </c>
      <c r="AH28" s="623">
        <f t="shared" si="92"/>
        <v>169.30137433189876</v>
      </c>
      <c r="AI28" s="624">
        <f t="shared" si="93"/>
        <v>-83.621240091550376</v>
      </c>
      <c r="AJ28" s="625">
        <f t="shared" si="94"/>
        <v>-81.39309684209239</v>
      </c>
      <c r="AK28" s="4">
        <f t="shared" si="213"/>
        <v>0.91854933048814513</v>
      </c>
      <c r="AL28" s="5">
        <f t="shared" si="95"/>
        <v>-0.37937290458629619</v>
      </c>
      <c r="AM28" s="6">
        <f t="shared" si="96"/>
        <v>-0.11110052531620937</v>
      </c>
      <c r="AN28" s="612">
        <f t="shared" si="97"/>
        <v>-73.677167925971517</v>
      </c>
      <c r="AO28" s="613">
        <f t="shared" si="98"/>
        <v>23.285083043549911</v>
      </c>
      <c r="AP28" s="624">
        <f t="shared" si="99"/>
        <v>-22.441266370506799</v>
      </c>
      <c r="AQ28" s="625">
        <f t="shared" si="9"/>
        <v>4.0786428157922092</v>
      </c>
      <c r="AS28" s="56">
        <f t="shared" si="119"/>
        <v>-146.85413077445597</v>
      </c>
      <c r="AT28" s="77">
        <f t="shared" si="10"/>
        <v>-0.42609606711491554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3.12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1.6251848731008489</v>
      </c>
      <c r="C29" s="771">
        <v>-2.7425429513439843</v>
      </c>
      <c r="D29" s="772">
        <v>-1.6605050080831045</v>
      </c>
      <c r="E29" s="773">
        <v>0.99711968611046031</v>
      </c>
      <c r="F29" s="771">
        <v>-7.5844126805971371E-2</v>
      </c>
      <c r="G29" s="774">
        <v>1.300841921663709E-7</v>
      </c>
      <c r="H29" s="773">
        <v>0.26600000000000001</v>
      </c>
      <c r="I29" s="771">
        <v>0.52</v>
      </c>
      <c r="J29" s="601">
        <v>3.125</v>
      </c>
      <c r="K29" s="426" t="str">
        <f t="shared" si="82"/>
        <v>1313</v>
      </c>
      <c r="L29" s="327"/>
      <c r="M29" s="173">
        <f t="shared" si="1"/>
        <v>3.125</v>
      </c>
      <c r="N29" s="21">
        <f t="shared" si="2"/>
        <v>1.6251848731008489</v>
      </c>
      <c r="O29" s="5">
        <f t="shared" si="3"/>
        <v>-2.7425429513439843</v>
      </c>
      <c r="P29" s="10">
        <f t="shared" si="4"/>
        <v>-1.6605050080831045</v>
      </c>
      <c r="Q29" s="624">
        <f t="shared" si="116"/>
        <v>300.65026958586407</v>
      </c>
      <c r="R29" s="5">
        <f>IF(M29="","",SQRT(N29^2+O29^2))</f>
        <v>3.1879096147353985</v>
      </c>
      <c r="S29" s="6">
        <f>IF(M29="","",P29)</f>
        <v>-1.6605050080831045</v>
      </c>
      <c r="T29" s="4">
        <f>IF(M29="","",X29*COS(RADIANS(W29)))</f>
        <v>-2.6812174777998776</v>
      </c>
      <c r="U29" s="5">
        <f>IF(M29="","",X29*SIN(RADIANS(W29)))</f>
        <v>-1.7244826901024146</v>
      </c>
      <c r="V29" s="8">
        <f>IF(M29="","",Y29)</f>
        <v>-1.6605050080831045</v>
      </c>
      <c r="W29" s="624">
        <f t="shared" si="226"/>
        <v>212.74796928299369</v>
      </c>
      <c r="X29" s="5">
        <f>IF(M29="","",R29)</f>
        <v>3.1879096147353985</v>
      </c>
      <c r="Y29" s="7">
        <f t="shared" si="225"/>
        <v>-1.6605050080831045</v>
      </c>
      <c r="Z29" s="21">
        <f t="shared" si="6"/>
        <v>-0.99711968611046031</v>
      </c>
      <c r="AA29" s="5">
        <f t="shared" si="7"/>
        <v>7.5844126805971371E-2</v>
      </c>
      <c r="AB29" s="5">
        <f t="shared" si="8"/>
        <v>-1.300841921663709E-7</v>
      </c>
      <c r="AC29" s="8">
        <f>IF(M29="","",SQRT(Z29^2+AA29^2+AB29^2))</f>
        <v>1</v>
      </c>
      <c r="AD29" s="9">
        <f>IF(M29="","",Z29*(1/SQRT(Z29^2+AA29^2+AB29^2)))</f>
        <v>-0.99711968611046031</v>
      </c>
      <c r="AE29" s="5">
        <f>IF(M29="","",AA29*(1/SQRT(Z29^2+AA29^2+AB29^2)))</f>
        <v>7.5844126805971371E-2</v>
      </c>
      <c r="AF29" s="10">
        <f>IF(M29="","",AB29*(1/SQRT(Z29^2+AA29^2+AB29^2)))</f>
        <v>-1.300841921663709E-7</v>
      </c>
      <c r="AG29" s="622">
        <f>IF(M29="","",DEGREES(ATAN2(-AF29,AE29)))</f>
        <v>89.999901729039465</v>
      </c>
      <c r="AH29" s="623">
        <f>IF(M29="","",DEGREES(ACOS(AD29)))</f>
        <v>175.65027463923244</v>
      </c>
      <c r="AI29" s="624">
        <f>IF(M29="","",DEGREES(-ACOS(-AF29)))</f>
        <v>-89.999992546724812</v>
      </c>
      <c r="AJ29" s="625">
        <f>IF(M29="","",DEGREES(ATAN2(-AE29,AD29)))</f>
        <v>-94.349725360761227</v>
      </c>
      <c r="AK29" s="4">
        <f>IF(M29="","",(COS(RADIANS((90-$Q$8)-W29))*AD29)+(-SIN(RADIANS((90-$Q$8)-W29))*AE29))</f>
        <v>0.81915209487729179</v>
      </c>
      <c r="AL29" s="5">
        <f>IF(M29="","",(SIN(RADIANS((90-$Q$8)-W29))*AD29)+(COS(RADIANS((90-$Q$8)-W29))*AE29))</f>
        <v>-0.57357636410344492</v>
      </c>
      <c r="AM29" s="6">
        <f>IF(M29="","",AF29)</f>
        <v>-1.300841921663709E-7</v>
      </c>
      <c r="AN29" s="612">
        <f>IF(M29="","",DEGREES(ATAN2(-AM29,AL29)))</f>
        <v>-89.999987005609626</v>
      </c>
      <c r="AO29" s="613">
        <f t="shared" si="98"/>
        <v>34.999994946625968</v>
      </c>
      <c r="AP29" s="624">
        <f>IF(M29="","",DEGREES(ATAN2(AK29,AL29)))</f>
        <v>-34.999994946625293</v>
      </c>
      <c r="AQ29" s="625">
        <f t="shared" si="9"/>
        <v>3.8842719493504529</v>
      </c>
      <c r="AS29" s="56">
        <f t="shared" si="119"/>
        <v>-147.25203071700631</v>
      </c>
      <c r="AT29" s="77">
        <f t="shared" si="10"/>
        <v>-1.0962949154074799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3.125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</v>
      </c>
      <c r="B30" s="770">
        <v>-7.8775980178783137E-2</v>
      </c>
      <c r="C30" s="771">
        <v>-1.3537964030733955</v>
      </c>
      <c r="D30" s="772">
        <v>-6.4321072514524902E-2</v>
      </c>
      <c r="E30" s="773">
        <v>2.2641191058242821E-7</v>
      </c>
      <c r="F30" s="771">
        <v>-1.3174669499631419E-8</v>
      </c>
      <c r="G30" s="774">
        <v>0.99999999999997435</v>
      </c>
      <c r="H30" s="773">
        <v>0.19500000000000001</v>
      </c>
      <c r="I30" s="771">
        <v>0.21199999999999999</v>
      </c>
      <c r="J30" s="601">
        <v>3.206</v>
      </c>
      <c r="K30" s="426" t="str">
        <f t="shared" si="82"/>
        <v>Knuckle</v>
      </c>
      <c r="L30" s="327"/>
      <c r="M30" s="173">
        <f t="shared" si="1"/>
        <v>3.206</v>
      </c>
      <c r="N30" s="21">
        <f t="shared" si="2"/>
        <v>-7.8775980178783137E-2</v>
      </c>
      <c r="O30" s="5">
        <f t="shared" si="3"/>
        <v>-1.3537964030733955</v>
      </c>
      <c r="P30" s="10">
        <f t="shared" si="4"/>
        <v>-6.4321072514524902E-2</v>
      </c>
      <c r="Q30" s="624">
        <f t="shared" si="116"/>
        <v>266.66977449204052</v>
      </c>
      <c r="R30" s="5">
        <f>IF(M30="","",SQRT(N30^2+O30^2))</f>
        <v>1.3560864117111386</v>
      </c>
      <c r="S30" s="6">
        <f>IF(M30="","",P30)</f>
        <v>-6.4321072514524902E-2</v>
      </c>
      <c r="T30" s="4">
        <f>IF(M30="","",X30*COS(RADIANS(W30)))</f>
        <v>-1.3557726590617392</v>
      </c>
      <c r="U30" s="5">
        <f>IF(M30="","",X30*SIN(RADIANS(W30)))</f>
        <v>2.9169384091082474E-2</v>
      </c>
      <c r="V30" s="8">
        <f>IF(M30="","",Y30)</f>
        <v>-6.4321072514524902E-2</v>
      </c>
      <c r="W30" s="624">
        <f t="shared" si="226"/>
        <v>178.76747418917014</v>
      </c>
      <c r="X30" s="5">
        <f>IF(M30="","",R30)</f>
        <v>1.3560864117111386</v>
      </c>
      <c r="Y30" s="7">
        <f t="shared" si="225"/>
        <v>-6.4321072514524902E-2</v>
      </c>
      <c r="Z30" s="21">
        <f t="shared" si="6"/>
        <v>-2.2641191058242821E-7</v>
      </c>
      <c r="AA30" s="5">
        <f t="shared" si="7"/>
        <v>1.3174669499631419E-8</v>
      </c>
      <c r="AB30" s="5">
        <f t="shared" si="8"/>
        <v>-0.99999999999997435</v>
      </c>
      <c r="AC30" s="8">
        <f>IF(M30="","",SQRT(Z30^2+AA30^2+AB30^2))</f>
        <v>1</v>
      </c>
      <c r="AD30" s="9">
        <f>IF(M30="","",Z30*(1/SQRT(Z30^2+AA30^2+AB30^2)))</f>
        <v>-2.2641191058242821E-7</v>
      </c>
      <c r="AE30" s="5">
        <f>IF(M30="","",AA30*(1/SQRT(Z30^2+AA30^2+AB30^2)))</f>
        <v>1.3174669499631419E-8</v>
      </c>
      <c r="AF30" s="10">
        <f>IF(M30="","",AB30*(1/SQRT(Z30^2+AA30^2+AB30^2)))</f>
        <v>-0.99999999999997435</v>
      </c>
      <c r="AG30" s="622">
        <f>IF(M30="","",DEGREES(ATAN2(-AF30,AE30)))</f>
        <v>7.5485295880863175E-7</v>
      </c>
      <c r="AH30" s="623">
        <f>IF(M30="","",DEGREES(ACOS(AD30)))</f>
        <v>90.00001297244691</v>
      </c>
      <c r="AI30" s="624">
        <f>IF(M30="","",DEGREES(-ACOS(-AF30)))</f>
        <v>-1.2976235990044085E-5</v>
      </c>
      <c r="AJ30" s="625">
        <f>IF(M30="","",DEGREES(ATAN2(-AE30,AD30)))</f>
        <v>-93.330225507959469</v>
      </c>
      <c r="AK30" s="4">
        <f>IF(M30="","",(COS(RADIANS((90-$Q$8)-W30))*AD30)+(-SIN(RADIANS((90-$Q$8)-W30))*AE30))</f>
        <v>2.2679489670186583E-7</v>
      </c>
      <c r="AL30" s="5">
        <f>IF(M30="","",(SIN(RADIANS((90-$Q$8)-W30))*AD30)+(COS(RADIANS((90-$Q$8)-W30))*AE30))</f>
        <v>8.9335506155726989E-23</v>
      </c>
      <c r="AM30" s="6">
        <f>IF(M30="","",AF30)</f>
        <v>-0.99999999999997435</v>
      </c>
      <c r="AN30" s="612">
        <f>IF(M30="","",DEGREES(ATAN2(-AM30,AL30)))</f>
        <v>5.1185474633882736E-21</v>
      </c>
      <c r="AO30" s="613">
        <f>IF(ROUND(IF(M30="",0,DEGREES(ACOS(AK30))),4)=90,0,IF(M30="","",DEGREES(ACOS(AK30))))</f>
        <v>0</v>
      </c>
      <c r="AP30" s="624">
        <f>IF(M30="","",DEGREES(ATAN2(AK30,AL30)))</f>
        <v>2.256905925937456E-14</v>
      </c>
      <c r="AQ30" s="625">
        <f t="shared" si="9"/>
        <v>9.0687257531707957</v>
      </c>
      <c r="AS30" s="56">
        <f t="shared" si="119"/>
        <v>-181.23252581082986</v>
      </c>
      <c r="AT30" s="77">
        <f t="shared" si="10"/>
        <v>0.62825977940443312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>
        <f>IFERROR(IF($IU30="","",IF($IU30&lt;(((Settings!$C$19/2)*-1)*$IE$8),"",1)),"")</f>
        <v>1</v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3.206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3.1059999999999999</v>
      </c>
      <c r="II30" s="800" cm="1">
        <f t="array" ref="II30">IFERROR(IF($IH30&lt;1,$IH30+LARGE((IF($M$9:$M$150="",0,$M$9:$M$150)-MOD(IF($M$9:$M$150="",0,$M$9:$M$150),1)),1),$IH30),"")</f>
        <v>3.1059999999999999</v>
      </c>
      <c r="IJ30" s="839" t="str">
        <f t="shared" si="67"/>
        <v>1313</v>
      </c>
      <c r="IK30" s="839" t="str">
        <f t="shared" si="68"/>
        <v>Knuckle</v>
      </c>
      <c r="IL30" s="791">
        <f t="shared" si="227"/>
        <v>38.05579450542308</v>
      </c>
      <c r="IM30" s="830">
        <v>7.1524221076291805E-2</v>
      </c>
      <c r="IN30" s="5">
        <f t="shared" si="228"/>
        <v>0.7</v>
      </c>
      <c r="IO30" s="852">
        <v>350</v>
      </c>
      <c r="IP30" s="9">
        <f t="shared" si="229"/>
        <v>-1.3597041008675683</v>
      </c>
      <c r="IQ30" s="5">
        <f t="shared" si="230"/>
        <v>-5.4700164975697574E-2</v>
      </c>
      <c r="IR30" s="5">
        <f t="shared" si="73"/>
        <v>0.26600000000000001</v>
      </c>
      <c r="IS30" s="5">
        <f t="shared" si="231"/>
        <v>0.25956662453946755</v>
      </c>
      <c r="IT30" s="791">
        <f t="shared" si="232"/>
        <v>2.0105065562214461</v>
      </c>
      <c r="IU30" s="9">
        <f t="shared" si="233"/>
        <v>-1.3560864117111386</v>
      </c>
      <c r="IV30" s="5">
        <f t="shared" si="234"/>
        <v>-6.4321072514524902E-2</v>
      </c>
      <c r="IW30" s="5">
        <f t="shared" si="78"/>
        <v>0.19500000000000001</v>
      </c>
      <c r="IX30" s="5">
        <f t="shared" si="235"/>
        <v>0.19500000000000001</v>
      </c>
      <c r="IY30" s="833">
        <f t="shared" si="236"/>
        <v>-5.1185474633882736E-21</v>
      </c>
    </row>
    <row r="31" spans="1:259" ht="15" customHeight="1" x14ac:dyDescent="0.25">
      <c r="A31" s="84">
        <f t="shared" si="81"/>
        <v>0</v>
      </c>
      <c r="B31" s="770">
        <v>0.27858372073582133</v>
      </c>
      <c r="C31" s="771">
        <v>-2.0188834285048745</v>
      </c>
      <c r="D31" s="772">
        <v>-0.10242971208366647</v>
      </c>
      <c r="E31" s="773">
        <v>2.9236682172189041E-2</v>
      </c>
      <c r="F31" s="771">
        <v>-0.21187523368172362</v>
      </c>
      <c r="G31" s="774">
        <v>0.97685930500143037</v>
      </c>
      <c r="H31" s="773">
        <v>0.19500000000000001</v>
      </c>
      <c r="I31" s="771">
        <v>0.21199999999999999</v>
      </c>
      <c r="J31" s="601">
        <v>3.21</v>
      </c>
      <c r="K31" s="426" t="str">
        <f t="shared" si="82"/>
        <v>Knuckle</v>
      </c>
      <c r="L31" s="327"/>
      <c r="M31" s="173">
        <f t="shared" si="1"/>
        <v>3.21</v>
      </c>
      <c r="N31" s="21">
        <f t="shared" si="2"/>
        <v>0.27858372073582133</v>
      </c>
      <c r="O31" s="5">
        <f t="shared" si="3"/>
        <v>-2.0188834285048745</v>
      </c>
      <c r="P31" s="10">
        <f t="shared" si="4"/>
        <v>-0.10242971208366647</v>
      </c>
      <c r="Q31" s="624">
        <f t="shared" si="116"/>
        <v>277.85657287686666</v>
      </c>
      <c r="R31" s="5">
        <f>IF(M31="","",SQRT(N31^2+O31^2))</f>
        <v>2.0380135395405525</v>
      </c>
      <c r="S31" s="6">
        <f>IF(M31="","",P31)</f>
        <v>-0.10242971208366647</v>
      </c>
      <c r="T31" s="4">
        <f>IF(M31="","",X31*COS(RADIANS(W31)))</f>
        <v>-2.0073333386451964</v>
      </c>
      <c r="U31" s="5">
        <f>IF(M31="","",X31*SIN(RADIANS(W31)))</f>
        <v>-0.3522954085907738</v>
      </c>
      <c r="V31" s="8">
        <f>IF(M31="","",Y31)</f>
        <v>-0.10242971208366647</v>
      </c>
      <c r="W31" s="624">
        <f t="shared" si="226"/>
        <v>189.95427257399629</v>
      </c>
      <c r="X31" s="5">
        <f>IF(M31="","",R31)</f>
        <v>2.0380135395405525</v>
      </c>
      <c r="Y31" s="7">
        <f t="shared" si="225"/>
        <v>-0.10242971208366647</v>
      </c>
      <c r="Z31" s="21">
        <f t="shared" si="6"/>
        <v>-2.9236682172189041E-2</v>
      </c>
      <c r="AA31" s="5">
        <f t="shared" si="7"/>
        <v>0.21187523368172362</v>
      </c>
      <c r="AB31" s="5">
        <f t="shared" si="8"/>
        <v>-0.97685930500143037</v>
      </c>
      <c r="AC31" s="8">
        <f>IF(M31="","",SQRT(Z31^2+AA31^2+AB31^2))</f>
        <v>1</v>
      </c>
      <c r="AD31" s="9">
        <f>IF(M31="","",Z31*(1/SQRT(Z31^2+AA31^2+AB31^2)))</f>
        <v>-2.9236682172189041E-2</v>
      </c>
      <c r="AE31" s="5">
        <f>IF(M31="","",AA31*(1/SQRT(Z31^2+AA31^2+AB31^2)))</f>
        <v>0.21187523368172362</v>
      </c>
      <c r="AF31" s="10">
        <f>IF(M31="","",AB31*(1/SQRT(Z31^2+AA31^2+AB31^2)))</f>
        <v>-0.97685930500143037</v>
      </c>
      <c r="AG31" s="622">
        <f>IF(M31="","",DEGREES(ATAN2(-AF31,AE31)))</f>
        <v>12.23758073995805</v>
      </c>
      <c r="AH31" s="623">
        <f>IF(M31="","",DEGREES(ACOS(AD31)))</f>
        <v>91.675377234089254</v>
      </c>
      <c r="AI31" s="624">
        <f>IF(M31="","",DEGREES(-ACOS(-AF31)))</f>
        <v>-12.349998216887583</v>
      </c>
      <c r="AJ31" s="625">
        <f>IF(M31="","",DEGREES(ATAN2(-AE31,AD31)))</f>
        <v>-172.14336636844033</v>
      </c>
      <c r="AK31" s="4">
        <f>IF(M31="","",(COS(RADIANS((90-$Q$8)-W31))*AD31)+(-SIN(RADIANS((90-$Q$8)-W31))*AE31))</f>
        <v>2.267948967932254E-7</v>
      </c>
      <c r="AL31" s="5">
        <f>IF(M31="","",(SIN(RADIANS((90-$Q$8)-W31))*AD31)+(COS(RADIANS((90-$Q$8)-W31))*AE31))</f>
        <v>-0.21388290776046401</v>
      </c>
      <c r="AM31" s="6">
        <f>IF(M31="","",AF31)</f>
        <v>-0.97685930500143037</v>
      </c>
      <c r="AN31" s="612">
        <f>IF(M31="","",DEGREES(ATAN2(-AM31,AL31)))</f>
        <v>-12.34999821688087</v>
      </c>
      <c r="AO31" s="613">
        <f t="shared" si="98"/>
        <v>0</v>
      </c>
      <c r="AP31" s="624">
        <f>IF(M31="","",DEGREES(ATAN2(AK31,AL31)))</f>
        <v>-89.99993924530699</v>
      </c>
      <c r="AQ31" s="625">
        <f t="shared" si="9"/>
        <v>6.0624700559259974</v>
      </c>
      <c r="AS31" s="56">
        <f t="shared" si="119"/>
        <v>-170.04572742600371</v>
      </c>
      <c r="AT31" s="77">
        <f t="shared" si="10"/>
        <v>0.54788990149261507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>
        <f>IFERROR(IF($IU31="","",IF($IU31&lt;(((Settings!$C$19/2)*-1)*$IE$8),"",1)),"")</f>
        <v>1</v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3.21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</v>
      </c>
      <c r="II31" s="800" cm="1">
        <f t="array" ref="II31">IFERROR(IF($IH31&lt;1,$IH31+LARGE((IF($M$9:$M$150="",0,$M$9:$M$150)-MOD(IF($M$9:$M$150="",0,$M$9:$M$150),1)),1),$IH31),"")</f>
        <v>3.11</v>
      </c>
      <c r="IJ31" s="839" t="str">
        <f t="shared" si="67"/>
        <v>1313</v>
      </c>
      <c r="IK31" s="839" t="str">
        <f t="shared" si="68"/>
        <v>Knuckle</v>
      </c>
      <c r="IL31" s="791">
        <f t="shared" si="227"/>
        <v>25.632696299096551</v>
      </c>
      <c r="IM31" s="830">
        <v>6.1444370909459901E-2</v>
      </c>
      <c r="IN31" s="5">
        <f t="shared" si="228"/>
        <v>0.96</v>
      </c>
      <c r="IO31" s="852">
        <v>480</v>
      </c>
      <c r="IP31" s="9">
        <f t="shared" si="229"/>
        <v>-2.0309061252128737</v>
      </c>
      <c r="IQ31" s="5">
        <f t="shared" si="230"/>
        <v>-9.8000295568891449E-2</v>
      </c>
      <c r="IR31" s="5">
        <f t="shared" si="73"/>
        <v>0.26600000000000001</v>
      </c>
      <c r="IS31" s="5">
        <f t="shared" si="231"/>
        <v>0.25891548810640241</v>
      </c>
      <c r="IT31" s="791">
        <f t="shared" si="232"/>
        <v>32.084304441735078</v>
      </c>
      <c r="IU31" s="9">
        <f t="shared" si="233"/>
        <v>-2.0380135395405525</v>
      </c>
      <c r="IV31" s="5">
        <f t="shared" si="234"/>
        <v>-0.10242971208366647</v>
      </c>
      <c r="IW31" s="5">
        <f t="shared" si="78"/>
        <v>0.19500000000000001</v>
      </c>
      <c r="IX31" s="5">
        <f t="shared" si="235"/>
        <v>0.19500000000000001</v>
      </c>
      <c r="IY31" s="833">
        <f t="shared" si="236"/>
        <v>12.34999821688087</v>
      </c>
    </row>
    <row r="32" spans="1:259" ht="15" customHeight="1" x14ac:dyDescent="0.25">
      <c r="A32" s="84">
        <f t="shared" si="81"/>
        <v>0.02</v>
      </c>
      <c r="B32" s="770">
        <v>0.44359776824935976</v>
      </c>
      <c r="C32" s="771">
        <v>-2.6279029595369447</v>
      </c>
      <c r="D32" s="772">
        <v>-0.39216754061692366</v>
      </c>
      <c r="E32" s="773">
        <v>0.94302828152535245</v>
      </c>
      <c r="F32" s="771">
        <v>-5.6283896976699506E-2</v>
      </c>
      <c r="G32" s="774">
        <v>0.32791734200017081</v>
      </c>
      <c r="H32" s="773">
        <v>0.219</v>
      </c>
      <c r="I32" s="771">
        <v>0.42</v>
      </c>
      <c r="J32" s="601">
        <v>3.2149999999999999</v>
      </c>
      <c r="K32" s="426" t="str">
        <f t="shared" si="82"/>
        <v>1111</v>
      </c>
      <c r="L32" s="327"/>
      <c r="M32" s="173">
        <f t="shared" si="1"/>
        <v>3.2149999999999999</v>
      </c>
      <c r="N32" s="21">
        <f t="shared" si="2"/>
        <v>0.44359776824935976</v>
      </c>
      <c r="O32" s="5">
        <f t="shared" si="3"/>
        <v>-2.6279029595369447</v>
      </c>
      <c r="P32" s="10">
        <f t="shared" si="4"/>
        <v>-0.39216754061692366</v>
      </c>
      <c r="Q32" s="624">
        <f t="shared" si="116"/>
        <v>279.5813726278364</v>
      </c>
      <c r="R32" s="5">
        <f t="shared" si="83"/>
        <v>2.6650802886102412</v>
      </c>
      <c r="S32" s="6">
        <f t="shared" si="84"/>
        <v>-0.39216754061692366</v>
      </c>
      <c r="T32" s="4">
        <f t="shared" si="85"/>
        <v>-2.6099046376765336</v>
      </c>
      <c r="U32" s="5">
        <f t="shared" si="86"/>
        <v>-0.53949117413852898</v>
      </c>
      <c r="V32" s="8">
        <f t="shared" si="117"/>
        <v>-0.39216754061692366</v>
      </c>
      <c r="W32" s="624">
        <f t="shared" si="226"/>
        <v>191.67907232496603</v>
      </c>
      <c r="X32" s="5">
        <f t="shared" si="87"/>
        <v>2.6650802886102412</v>
      </c>
      <c r="Y32" s="7">
        <f t="shared" si="225"/>
        <v>-0.39216754061692366</v>
      </c>
      <c r="Z32" s="21">
        <f t="shared" si="6"/>
        <v>-0.94302828152535245</v>
      </c>
      <c r="AA32" s="5">
        <f t="shared" si="7"/>
        <v>5.6283896976699506E-2</v>
      </c>
      <c r="AB32" s="5">
        <f t="shared" si="8"/>
        <v>-0.32791734200017081</v>
      </c>
      <c r="AC32" s="8">
        <f t="shared" si="88"/>
        <v>1</v>
      </c>
      <c r="AD32" s="9">
        <f t="shared" si="118"/>
        <v>-0.94302828152535245</v>
      </c>
      <c r="AE32" s="5">
        <f t="shared" si="89"/>
        <v>5.6283896976699506E-2</v>
      </c>
      <c r="AF32" s="10">
        <f t="shared" si="90"/>
        <v>-0.32791734200017081</v>
      </c>
      <c r="AG32" s="622">
        <f t="shared" si="91"/>
        <v>9.7393741651545476</v>
      </c>
      <c r="AH32" s="623">
        <f t="shared" si="92"/>
        <v>160.56649905649257</v>
      </c>
      <c r="AI32" s="624">
        <f t="shared" si="93"/>
        <v>-70.857584718609289</v>
      </c>
      <c r="AJ32" s="625">
        <f t="shared" si="94"/>
        <v>-93.415601429794648</v>
      </c>
      <c r="AK32" s="4">
        <f t="shared" si="213"/>
        <v>0.92050487609870557</v>
      </c>
      <c r="AL32" s="5">
        <f t="shared" si="95"/>
        <v>-0.21246409083431017</v>
      </c>
      <c r="AM32" s="6">
        <f t="shared" si="96"/>
        <v>-0.32791734200017081</v>
      </c>
      <c r="AN32" s="612">
        <f t="shared" si="97"/>
        <v>-32.93999524405308</v>
      </c>
      <c r="AO32" s="613">
        <f t="shared" si="98"/>
        <v>22.999996679211311</v>
      </c>
      <c r="AP32" s="624">
        <f t="shared" si="99"/>
        <v>-12.996974057631048</v>
      </c>
      <c r="AQ32" s="625">
        <f t="shared" si="9"/>
        <v>4.6432192140830617</v>
      </c>
      <c r="AS32" s="56">
        <f t="shared" si="119"/>
        <v>-168.32092767503397</v>
      </c>
      <c r="AT32" s="77">
        <f t="shared" si="10"/>
        <v>0.25163616278902773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>
        <f>IFERROR(IF($IU32="","",IF($IU32&lt;(((Settings!$C$19/2)*-1)*$IE$8),"",1)),"")</f>
        <v>1</v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3.2149999999999999</v>
      </c>
      <c r="IH32" s="797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3.1150000000000002</v>
      </c>
      <c r="II32" s="800" cm="1">
        <f t="array" ref="II32">IFERROR(IF($IH32&lt;1,$IH32+LARGE((IF($M$9:$M$150="",0,$M$9:$M$150)-MOD(IF($M$9:$M$150="",0,$M$9:$M$150),1)),1),$IH32),"")</f>
        <v>3.1150000000000002</v>
      </c>
      <c r="IJ32" s="839" t="str">
        <f t="shared" si="67"/>
        <v>1313</v>
      </c>
      <c r="IK32" s="839" t="str">
        <f t="shared" si="68"/>
        <v>1111</v>
      </c>
      <c r="IL32" s="791">
        <f t="shared" si="227"/>
        <v>22.488096753120544</v>
      </c>
      <c r="IM32" s="830">
        <v>6.1163144213848301E-3</v>
      </c>
      <c r="IN32" s="5">
        <f t="shared" si="228"/>
        <v>0.12</v>
      </c>
      <c r="IO32" s="852">
        <v>60</v>
      </c>
      <c r="IP32" s="9">
        <f t="shared" si="229"/>
        <v>-2.6338079435647583</v>
      </c>
      <c r="IQ32" s="5">
        <f t="shared" si="230"/>
        <v>-0.43000129688391142</v>
      </c>
      <c r="IR32" s="5">
        <f t="shared" si="73"/>
        <v>0.26600000000000001</v>
      </c>
      <c r="IS32" s="5">
        <f t="shared" si="231"/>
        <v>0.25751012428064141</v>
      </c>
      <c r="IT32" s="791">
        <f t="shared" si="232"/>
        <v>59.845489370293144</v>
      </c>
      <c r="IU32" s="9">
        <f t="shared" si="233"/>
        <v>-2.6650802886102412</v>
      </c>
      <c r="IV32" s="5">
        <f t="shared" si="234"/>
        <v>-0.39216754061692366</v>
      </c>
      <c r="IW32" s="5">
        <f t="shared" si="78"/>
        <v>0.219</v>
      </c>
      <c r="IX32" s="5">
        <f t="shared" si="235"/>
        <v>0.20159056786561655</v>
      </c>
      <c r="IY32" s="833">
        <f t="shared" si="236"/>
        <v>32.93999524405308</v>
      </c>
    </row>
    <row r="33" spans="1:259" ht="15" customHeight="1" x14ac:dyDescent="0.25">
      <c r="A33" s="84">
        <f t="shared" si="81"/>
        <v>0.02</v>
      </c>
      <c r="B33" s="770">
        <v>-0.35638301380753529</v>
      </c>
      <c r="C33" s="771">
        <v>-0.3563827713300714</v>
      </c>
      <c r="D33" s="772">
        <v>-0.24100072685819221</v>
      </c>
      <c r="E33" s="773">
        <v>0.72312762130389852</v>
      </c>
      <c r="F33" s="771">
        <v>-0.64907779156957934</v>
      </c>
      <c r="G33" s="774">
        <v>0.23618734893834467</v>
      </c>
      <c r="H33" s="773">
        <v>0.26600000000000001</v>
      </c>
      <c r="I33" s="771">
        <v>0.52</v>
      </c>
      <c r="J33" s="601">
        <v>4.1020000000000003</v>
      </c>
      <c r="K33" s="426" t="str">
        <f t="shared" si="82"/>
        <v>1313</v>
      </c>
      <c r="L33" s="327"/>
      <c r="M33" s="173">
        <f t="shared" si="1"/>
        <v>4.1020000000000003</v>
      </c>
      <c r="N33" s="21">
        <f t="shared" si="2"/>
        <v>-0.35638301380753529</v>
      </c>
      <c r="O33" s="5">
        <f t="shared" si="3"/>
        <v>-0.3563827713300714</v>
      </c>
      <c r="P33" s="10">
        <f t="shared" si="4"/>
        <v>-0.24100072685819221</v>
      </c>
      <c r="Q33" s="624">
        <f t="shared" si="116"/>
        <v>224.99998050841441</v>
      </c>
      <c r="R33" s="5">
        <f t="shared" si="83"/>
        <v>0.50400152006858456</v>
      </c>
      <c r="S33" s="6">
        <f t="shared" si="84"/>
        <v>-0.24100072685819221</v>
      </c>
      <c r="T33" s="4">
        <f t="shared" si="85"/>
        <v>-0.36918884338482938</v>
      </c>
      <c r="U33" s="5">
        <f t="shared" si="86"/>
        <v>0.34309930071571959</v>
      </c>
      <c r="V33" s="8">
        <f t="shared" si="117"/>
        <v>-0.24100072685819221</v>
      </c>
      <c r="W33" s="624">
        <f t="shared" si="226"/>
        <v>137.09768020554404</v>
      </c>
      <c r="X33" s="5">
        <f t="shared" si="87"/>
        <v>0.50400152006858456</v>
      </c>
      <c r="Y33" s="7">
        <f t="shared" si="225"/>
        <v>-0.24100072685819221</v>
      </c>
      <c r="Z33" s="21">
        <f t="shared" si="6"/>
        <v>-0.72312762130389852</v>
      </c>
      <c r="AA33" s="5">
        <f t="shared" si="7"/>
        <v>0.64907779156957934</v>
      </c>
      <c r="AB33" s="5">
        <f t="shared" si="8"/>
        <v>-0.23618734893834467</v>
      </c>
      <c r="AC33" s="8">
        <f t="shared" si="88"/>
        <v>1</v>
      </c>
      <c r="AD33" s="9">
        <f t="shared" si="118"/>
        <v>-0.72312762130389852</v>
      </c>
      <c r="AE33" s="5">
        <f t="shared" si="89"/>
        <v>0.64907779156957934</v>
      </c>
      <c r="AF33" s="10">
        <f t="shared" si="90"/>
        <v>-0.23618734893834467</v>
      </c>
      <c r="AG33" s="622">
        <f t="shared" si="91"/>
        <v>70.004493512884594</v>
      </c>
      <c r="AH33" s="623">
        <f t="shared" si="92"/>
        <v>136.31331005167669</v>
      </c>
      <c r="AI33" s="624">
        <f t="shared" si="93"/>
        <v>-76.338376739579061</v>
      </c>
      <c r="AJ33" s="625">
        <f t="shared" si="94"/>
        <v>-131.91108095446486</v>
      </c>
      <c r="AK33" s="4">
        <f t="shared" si="213"/>
        <v>0.97029573481080833</v>
      </c>
      <c r="AL33" s="5">
        <f t="shared" si="95"/>
        <v>5.2361466838030724E-2</v>
      </c>
      <c r="AM33" s="6">
        <f t="shared" si="96"/>
        <v>-0.23618734893834467</v>
      </c>
      <c r="AN33" s="612">
        <f t="shared" si="97"/>
        <v>12.499998195223567</v>
      </c>
      <c r="AO33" s="613">
        <f t="shared" si="98"/>
        <v>13.999997978650374</v>
      </c>
      <c r="AP33" s="624">
        <f t="shared" si="99"/>
        <v>3.0889385371207498</v>
      </c>
      <c r="AQ33" s="625">
        <f t="shared" si="9"/>
        <v>23.241802035962795</v>
      </c>
      <c r="AS33" s="56">
        <f t="shared" si="119"/>
        <v>-222.90231979445596</v>
      </c>
      <c r="AT33" s="77">
        <f t="shared" si="10"/>
        <v>0.60899934677668677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4.1020000000000003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-0.80708786522193465</v>
      </c>
      <c r="C34" s="771">
        <v>-0.80568553576214785</v>
      </c>
      <c r="D34" s="772">
        <v>-9.9900301299308727E-2</v>
      </c>
      <c r="E34" s="773">
        <v>0.71367672548626415</v>
      </c>
      <c r="F34" s="771">
        <v>-0.66693420083961663</v>
      </c>
      <c r="G34" s="774">
        <v>0.21415952757144743</v>
      </c>
      <c r="H34" s="773">
        <v>0.26600000000000001</v>
      </c>
      <c r="I34" s="771">
        <v>0.52</v>
      </c>
      <c r="J34" s="601">
        <v>4.1050000000000004</v>
      </c>
      <c r="K34" s="426" t="str">
        <f t="shared" si="82"/>
        <v>1313</v>
      </c>
      <c r="L34" s="327"/>
      <c r="M34" s="173">
        <f t="shared" si="1"/>
        <v>4.1050000000000004</v>
      </c>
      <c r="N34" s="21">
        <f t="shared" si="2"/>
        <v>-0.80708786522193465</v>
      </c>
      <c r="O34" s="5">
        <f t="shared" si="3"/>
        <v>-0.80568553576214785</v>
      </c>
      <c r="P34" s="10">
        <f t="shared" si="4"/>
        <v>-9.9900301299308727E-2</v>
      </c>
      <c r="Q34" s="624">
        <f t="shared" si="116"/>
        <v>224.95018051560464</v>
      </c>
      <c r="R34" s="5">
        <f>IF(M34="","",SQRT(N34^2+O34^2))</f>
        <v>1.1404034394567735</v>
      </c>
      <c r="S34" s="6">
        <f>IF(M34="","",P34)</f>
        <v>-9.9900301299308727E-2</v>
      </c>
      <c r="T34" s="4">
        <f>IF(M34="","",X34*COS(RADIANS(W34)))</f>
        <v>-0.83468792851472351</v>
      </c>
      <c r="U34" s="5">
        <f>IF(M34="","",X34*SIN(RADIANS(W34)))</f>
        <v>0.77705602546833041</v>
      </c>
      <c r="V34" s="8">
        <f>IF(M34="","",Y34)</f>
        <v>-9.9900301299308727E-2</v>
      </c>
      <c r="W34" s="624">
        <f t="shared" si="226"/>
        <v>137.04788021273427</v>
      </c>
      <c r="X34" s="5">
        <f>IF(M34="","",R34)</f>
        <v>1.1404034394567735</v>
      </c>
      <c r="Y34" s="7">
        <f t="shared" si="225"/>
        <v>-9.9900301299308727E-2</v>
      </c>
      <c r="Z34" s="21">
        <f t="shared" si="6"/>
        <v>-0.71367672548626415</v>
      </c>
      <c r="AA34" s="5">
        <f t="shared" si="7"/>
        <v>0.66693420083961663</v>
      </c>
      <c r="AB34" s="5">
        <f t="shared" si="8"/>
        <v>-0.21415952757144743</v>
      </c>
      <c r="AC34" s="8">
        <f>IF(M34="","",SQRT(Z34^2+AA34^2+AB34^2))</f>
        <v>1</v>
      </c>
      <c r="AD34" s="9">
        <f>IF(M34="","",Z34*(1/SQRT(Z34^2+AA34^2+AB34^2)))</f>
        <v>-0.71367672548626415</v>
      </c>
      <c r="AE34" s="5">
        <f>IF(M34="","",AA34*(1/SQRT(Z34^2+AA34^2+AB34^2)))</f>
        <v>0.66693420083961663</v>
      </c>
      <c r="AF34" s="10">
        <f>IF(M34="","",AB34*(1/SQRT(Z34^2+AA34^2+AB34^2)))</f>
        <v>-0.21415952757144743</v>
      </c>
      <c r="AG34" s="622">
        <f>IF(M34="","",DEGREES(ATAN2(-AF34,AE34)))</f>
        <v>72.197633897461742</v>
      </c>
      <c r="AH34" s="623">
        <f>IF(M34="","",DEGREES(ACOS(AD34)))</f>
        <v>135.53485672102698</v>
      </c>
      <c r="AI34" s="624">
        <f>IF(M34="","",DEGREES(-ACOS(-AF34)))</f>
        <v>-77.633776683775153</v>
      </c>
      <c r="AJ34" s="625">
        <f>IF(M34="","",DEGREES(ATAN2(-AE34,AD34)))</f>
        <v>-133.06091147306509</v>
      </c>
      <c r="AK34" s="4">
        <f>IF(M34="","",(COS(RADIANS((90-$Q$8)-W34))*AD34)+(-SIN(RADIANS((90-$Q$8)-W34))*AE34))</f>
        <v>0.97621024000403089</v>
      </c>
      <c r="AL34" s="5">
        <f>IF(M34="","",(SIN(RADIANS((90-$Q$8)-W34))*AD34)+(COS(RADIANS((90-$Q$8)-W34))*AE34))</f>
        <v>3.3900797360045254E-2</v>
      </c>
      <c r="AM34" s="6">
        <f>IF(M34="","",AF34)</f>
        <v>-0.21415952757144743</v>
      </c>
      <c r="AN34" s="612">
        <f>IF(M34="","",DEGREES(ATAN2(-AM34,AL34)))</f>
        <v>8.9951090838234187</v>
      </c>
      <c r="AO34" s="613">
        <f t="shared" si="98"/>
        <v>12.522683970999918</v>
      </c>
      <c r="AP34" s="624">
        <f>IF(M34="","",DEGREES(ATAN2(AK34,AL34)))</f>
        <v>1.9889080113302462</v>
      </c>
      <c r="AQ34" s="625">
        <f t="shared" si="9"/>
        <v>10.747011042822248</v>
      </c>
      <c r="AS34" s="56">
        <f t="shared" si="119"/>
        <v>-222.95211978726573</v>
      </c>
      <c r="AT34" s="77">
        <f t="shared" si="10"/>
        <v>0.75028790564174042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4.1050000000000004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-1.3689680404436684</v>
      </c>
      <c r="C35" s="771">
        <v>-1.3117790165542496</v>
      </c>
      <c r="D35" s="772">
        <v>-6.5400197246994904E-2</v>
      </c>
      <c r="E35" s="773">
        <v>0.60231033102853038</v>
      </c>
      <c r="F35" s="771">
        <v>-0.77180090346870256</v>
      </c>
      <c r="G35" s="774">
        <v>0.20382745286441764</v>
      </c>
      <c r="H35" s="773">
        <v>0.26600000000000001</v>
      </c>
      <c r="I35" s="771">
        <v>0.52</v>
      </c>
      <c r="J35" s="601">
        <v>4.109</v>
      </c>
      <c r="K35" s="426" t="str">
        <f t="shared" si="82"/>
        <v>1313</v>
      </c>
      <c r="L35" s="327"/>
      <c r="M35" s="173">
        <f t="shared" si="1"/>
        <v>4.109</v>
      </c>
      <c r="N35" s="21">
        <f t="shared" si="2"/>
        <v>-1.3689680404436684</v>
      </c>
      <c r="O35" s="5">
        <f t="shared" si="3"/>
        <v>-1.3117790165542496</v>
      </c>
      <c r="P35" s="10">
        <f t="shared" si="4"/>
        <v>-6.5400197246994904E-2</v>
      </c>
      <c r="Q35" s="624">
        <f t="shared" si="116"/>
        <v>223.77788068486379</v>
      </c>
      <c r="R35" s="5">
        <f>IF(M35="","",SQRT(N35^2+O35^2))</f>
        <v>1.8960057183532468</v>
      </c>
      <c r="S35" s="6">
        <f>IF(M35="","",P35)</f>
        <v>-6.5400197246994904E-2</v>
      </c>
      <c r="T35" s="4">
        <f>IF(M35="","",X35*COS(RADIANS(W35)))</f>
        <v>-1.3610090882332204</v>
      </c>
      <c r="U35" s="5">
        <f>IF(M35="","",X35*SIN(RADIANS(W35)))</f>
        <v>1.320034827485544</v>
      </c>
      <c r="V35" s="8">
        <f>IF(M35="","",Y35)</f>
        <v>-6.5400197246994904E-2</v>
      </c>
      <c r="W35" s="624">
        <f t="shared" si="226"/>
        <v>135.87558038199342</v>
      </c>
      <c r="X35" s="5">
        <f>IF(M35="","",R35)</f>
        <v>1.8960057183532468</v>
      </c>
      <c r="Y35" s="7">
        <f t="shared" si="225"/>
        <v>-6.5400197246994904E-2</v>
      </c>
      <c r="Z35" s="21">
        <f t="shared" si="6"/>
        <v>-0.60231033102853038</v>
      </c>
      <c r="AA35" s="5">
        <f t="shared" si="7"/>
        <v>0.77180090346870256</v>
      </c>
      <c r="AB35" s="5">
        <f t="shared" si="8"/>
        <v>-0.20382745286441764</v>
      </c>
      <c r="AC35" s="8">
        <f>IF(M35="","",SQRT(Z35^2+AA35^2+AB35^2))</f>
        <v>1</v>
      </c>
      <c r="AD35" s="9">
        <f>IF(M35="","",Z35*(1/SQRT(Z35^2+AA35^2+AB35^2)))</f>
        <v>-0.60231033102853038</v>
      </c>
      <c r="AE35" s="5">
        <f>IF(M35="","",AA35*(1/SQRT(Z35^2+AA35^2+AB35^2)))</f>
        <v>0.77180090346870256</v>
      </c>
      <c r="AF35" s="10">
        <f>IF(M35="","",AB35*(1/SQRT(Z35^2+AA35^2+AB35^2)))</f>
        <v>-0.20382745286441764</v>
      </c>
      <c r="AG35" s="622">
        <f>IF(M35="","",DEGREES(ATAN2(-AF35,AE35)))</f>
        <v>75.206324733818334</v>
      </c>
      <c r="AH35" s="623">
        <f>IF(M35="","",DEGREES(ACOS(AD35)))</f>
        <v>127.0355427311999</v>
      </c>
      <c r="AI35" s="624">
        <f>IF(M35="","",DEGREES(-ACOS(-AF35)))</f>
        <v>-78.239132133996407</v>
      </c>
      <c r="AJ35" s="625">
        <f>IF(M35="","",DEGREES(ATAN2(-AE35,AD35)))</f>
        <v>-142.0316655035009</v>
      </c>
      <c r="AK35" s="4">
        <f>IF(M35="","",(COS(RADIANS((90-$Q$8)-W35))*AD35)+(-SIN(RADIANS((90-$Q$8)-W35))*AE35))</f>
        <v>0.97397850979857536</v>
      </c>
      <c r="AL35" s="5">
        <f>IF(M35="","",(SIN(RADIANS((90-$Q$8)-W35))*AD35)+(COS(RADIANS((90-$Q$8)-W35))*AE35))</f>
        <v>-9.9097083253493423E-2</v>
      </c>
      <c r="AM35" s="6">
        <f>IF(M35="","",AF35)</f>
        <v>-0.20382745286441764</v>
      </c>
      <c r="AN35" s="612">
        <f>IF(M35="","",DEGREES(ATAN2(-AM35,AL35)))</f>
        <v>-25.928151380254921</v>
      </c>
      <c r="AO35" s="613">
        <f t="shared" si="98"/>
        <v>13.09935725431704</v>
      </c>
      <c r="AP35" s="624">
        <f>IF(M35="","",DEGREES(ATAN2(AK35,AL35)))</f>
        <v>-5.809546188364699</v>
      </c>
      <c r="AQ35" s="625">
        <f t="shared" si="9"/>
        <v>6.5127724530258115</v>
      </c>
      <c r="AS35" s="56">
        <f t="shared" si="119"/>
        <v>-224.12441961800658</v>
      </c>
      <c r="AT35" s="77">
        <f t="shared" si="10"/>
        <v>0.78921669794351978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4.109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-1.8672695691747052</v>
      </c>
      <c r="C36" s="771">
        <v>-1.7011816024298712</v>
      </c>
      <c r="D36" s="772">
        <v>-0.34270103358631737</v>
      </c>
      <c r="E36" s="773">
        <v>0.50761952531043952</v>
      </c>
      <c r="F36" s="771">
        <v>-0.85063971157809271</v>
      </c>
      <c r="G36" s="774">
        <v>0.1368740245990579</v>
      </c>
      <c r="H36" s="773">
        <v>0.26600000000000001</v>
      </c>
      <c r="I36" s="771">
        <v>0.52</v>
      </c>
      <c r="J36" s="601">
        <v>4.1139999999999999</v>
      </c>
      <c r="K36" s="426" t="str">
        <f t="shared" si="82"/>
        <v>1313</v>
      </c>
      <c r="L36" s="327"/>
      <c r="M36" s="173">
        <f t="shared" si="1"/>
        <v>4.1139999999999999</v>
      </c>
      <c r="N36" s="21">
        <f t="shared" si="2"/>
        <v>-1.8672695691747052</v>
      </c>
      <c r="O36" s="5">
        <f t="shared" si="3"/>
        <v>-1.7011816024298712</v>
      </c>
      <c r="P36" s="10">
        <f t="shared" si="4"/>
        <v>-0.34270103358631737</v>
      </c>
      <c r="Q36" s="624">
        <f t="shared" si="116"/>
        <v>222.33518089316385</v>
      </c>
      <c r="R36" s="5">
        <f>IF(M36="","",SQRT(N36^2+O36^2))</f>
        <v>2.5260076184389773</v>
      </c>
      <c r="S36" s="6">
        <f>IF(M36="","",P36)</f>
        <v>-0.34270103358631737</v>
      </c>
      <c r="T36" s="4">
        <f>IF(M36="","",X36*COS(RADIANS(W36)))</f>
        <v>-1.7683903452206247</v>
      </c>
      <c r="U36" s="5">
        <f>IF(M36="","",X36*SIN(RADIANS(W36)))</f>
        <v>1.8037488947584233</v>
      </c>
      <c r="V36" s="8">
        <f>IF(M36="","",Y36)</f>
        <v>-0.34270103358631737</v>
      </c>
      <c r="W36" s="624">
        <f t="shared" si="226"/>
        <v>134.43288059029348</v>
      </c>
      <c r="X36" s="5">
        <f>IF(M36="","",R36)</f>
        <v>2.5260076184389773</v>
      </c>
      <c r="Y36" s="7">
        <f t="shared" si="225"/>
        <v>-0.34270103358631737</v>
      </c>
      <c r="Z36" s="21">
        <f t="shared" si="6"/>
        <v>-0.50761952531043952</v>
      </c>
      <c r="AA36" s="5">
        <f t="shared" si="7"/>
        <v>0.85063971157809271</v>
      </c>
      <c r="AB36" s="5">
        <f t="shared" si="8"/>
        <v>-0.1368740245990579</v>
      </c>
      <c r="AC36" s="8">
        <f>IF(M36="","",SQRT(Z36^2+AA36^2+AB36^2))</f>
        <v>1</v>
      </c>
      <c r="AD36" s="9">
        <f>IF(M36="","",Z36*(1/SQRT(Z36^2+AA36^2+AB36^2)))</f>
        <v>-0.50761952531043952</v>
      </c>
      <c r="AE36" s="5">
        <f>IF(M36="","",AA36*(1/SQRT(Z36^2+AA36^2+AB36^2)))</f>
        <v>0.85063971157809271</v>
      </c>
      <c r="AF36" s="10">
        <f>IF(M36="","",AB36*(1/SQRT(Z36^2+AA36^2+AB36^2)))</f>
        <v>-0.1368740245990579</v>
      </c>
      <c r="AG36" s="622">
        <f>IF(M36="","",DEGREES(ATAN2(-AF36,AE36)))</f>
        <v>80.859050917503069</v>
      </c>
      <c r="AH36" s="623">
        <f>IF(M36="","",DEGREES(ACOS(AD36)))</f>
        <v>120.5053972048936</v>
      </c>
      <c r="AI36" s="624">
        <f>IF(M36="","",DEGREES(-ACOS(-AF36)))</f>
        <v>-82.133000357227445</v>
      </c>
      <c r="AJ36" s="625">
        <f>IF(M36="","",DEGREES(ATAN2(-AE36,AD36)))</f>
        <v>-149.17334608923173</v>
      </c>
      <c r="AK36" s="4">
        <f>IF(M36="","",(COS(RADIANS((90-$Q$8)-W36))*AD36)+(-SIN(RADIANS((90-$Q$8)-W36))*AE36))</f>
        <v>0.97067270397579675</v>
      </c>
      <c r="AL36" s="5">
        <f>IF(M36="","",(SIN(RADIANS((90-$Q$8)-W36))*AD36)+(COS(RADIANS((90-$Q$8)-W36))*AE36))</f>
        <v>-0.19763603706402294</v>
      </c>
      <c r="AM36" s="6">
        <f>IF(M36="","",AF36)</f>
        <v>-0.1368740245990579</v>
      </c>
      <c r="AN36" s="612">
        <f>IF(M36="","",DEGREES(ATAN2(-AM36,AL36)))</f>
        <v>-55.29522988850254</v>
      </c>
      <c r="AO36" s="613">
        <f t="shared" si="98"/>
        <v>13.910437370308022</v>
      </c>
      <c r="AP36" s="624">
        <f>IF(M36="","",DEGREES(ATAN2(AK36,AL36)))</f>
        <v>-11.508526982395585</v>
      </c>
      <c r="AQ36" s="625">
        <f t="shared" si="9"/>
        <v>4.8976465017249655</v>
      </c>
      <c r="AS36" s="56">
        <f t="shared" si="119"/>
        <v>-225.56711940970652</v>
      </c>
      <c r="AT36" s="77">
        <f t="shared" si="10"/>
        <v>0.51736606081728587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4.1139999999999999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0.02</v>
      </c>
      <c r="B37" s="770">
        <v>-2.2388658132155248</v>
      </c>
      <c r="C37" s="771">
        <v>-1.9601846272105743</v>
      </c>
      <c r="D37" s="772">
        <v>-0.86360260462545535</v>
      </c>
      <c r="E37" s="773">
        <v>0.35482171748575747</v>
      </c>
      <c r="F37" s="771">
        <v>-0.92723909468997134</v>
      </c>
      <c r="G37" s="774">
        <v>0.11970467860104593</v>
      </c>
      <c r="H37" s="773">
        <v>0.26600000000000001</v>
      </c>
      <c r="I37" s="771">
        <v>0.52</v>
      </c>
      <c r="J37" s="601">
        <v>4.1189999999999998</v>
      </c>
      <c r="K37" s="426" t="str">
        <f t="shared" si="82"/>
        <v>1313</v>
      </c>
      <c r="L37" s="327"/>
      <c r="M37" s="173">
        <f t="shared" si="1"/>
        <v>4.1189999999999998</v>
      </c>
      <c r="N37" s="21">
        <f t="shared" si="2"/>
        <v>-2.2388658132155248</v>
      </c>
      <c r="O37" s="5">
        <f t="shared" si="3"/>
        <v>-1.9601846272105743</v>
      </c>
      <c r="P37" s="10">
        <f t="shared" si="4"/>
        <v>-0.86360260462545535</v>
      </c>
      <c r="Q37" s="624">
        <f t="shared" si="116"/>
        <v>221.20298105663329</v>
      </c>
      <c r="R37" s="5">
        <f t="shared" si="83"/>
        <v>2.9757089747382675</v>
      </c>
      <c r="S37" s="6">
        <f t="shared" si="84"/>
        <v>-0.86360260462545535</v>
      </c>
      <c r="T37" s="4">
        <f t="shared" si="85"/>
        <v>-2.040821558524601</v>
      </c>
      <c r="U37" s="5">
        <f t="shared" si="86"/>
        <v>2.1656156788772769</v>
      </c>
      <c r="V37" s="8">
        <f t="shared" si="117"/>
        <v>-0.86360260462545535</v>
      </c>
      <c r="W37" s="624">
        <f t="shared" si="226"/>
        <v>133.30068075376292</v>
      </c>
      <c r="X37" s="5">
        <f t="shared" si="87"/>
        <v>2.9757089747382675</v>
      </c>
      <c r="Y37" s="7">
        <f t="shared" si="225"/>
        <v>-0.86360260462545535</v>
      </c>
      <c r="Z37" s="21">
        <f t="shared" si="6"/>
        <v>-0.35482171748575747</v>
      </c>
      <c r="AA37" s="5">
        <f t="shared" si="7"/>
        <v>0.92723909468997134</v>
      </c>
      <c r="AB37" s="5">
        <f t="shared" si="8"/>
        <v>-0.11970467860104593</v>
      </c>
      <c r="AC37" s="8">
        <f t="shared" si="88"/>
        <v>1</v>
      </c>
      <c r="AD37" s="9">
        <f t="shared" si="118"/>
        <v>-0.35482171748575747</v>
      </c>
      <c r="AE37" s="5">
        <f t="shared" si="89"/>
        <v>0.92723909468997134</v>
      </c>
      <c r="AF37" s="10">
        <f t="shared" si="90"/>
        <v>-0.11970467860104593</v>
      </c>
      <c r="AG37" s="622">
        <f t="shared" si="91"/>
        <v>82.643917691375293</v>
      </c>
      <c r="AH37" s="623">
        <f t="shared" si="92"/>
        <v>110.7825182557677</v>
      </c>
      <c r="AI37" s="624">
        <f t="shared" si="93"/>
        <v>-83.124940944823194</v>
      </c>
      <c r="AJ37" s="625">
        <f t="shared" si="94"/>
        <v>-159.05991315847163</v>
      </c>
      <c r="AK37" s="4">
        <f t="shared" si="213"/>
        <v>0.93136795611475898</v>
      </c>
      <c r="AL37" s="5">
        <f t="shared" si="95"/>
        <v>-0.34383792729080492</v>
      </c>
      <c r="AM37" s="6">
        <f t="shared" si="96"/>
        <v>-0.11970467860104593</v>
      </c>
      <c r="AN37" s="612">
        <f t="shared" si="97"/>
        <v>-70.804808695829863</v>
      </c>
      <c r="AO37" s="613">
        <f t="shared" si="98"/>
        <v>21.350931699248701</v>
      </c>
      <c r="AP37" s="624">
        <f t="shared" si="99"/>
        <v>-20.262894215104946</v>
      </c>
      <c r="AQ37" s="625">
        <f t="shared" si="9"/>
        <v>4.1603226995465841</v>
      </c>
      <c r="AS37" s="56">
        <f t="shared" si="119"/>
        <v>-226.69931924623708</v>
      </c>
      <c r="AT37" s="77">
        <f t="shared" si="10"/>
        <v>7.4168916059669243E-4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4.1189999999999998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0.02</v>
      </c>
      <c r="B38" s="770">
        <v>-2.3931571010202042</v>
      </c>
      <c r="C38" s="771">
        <v>-2.0605395524055279</v>
      </c>
      <c r="D38" s="772">
        <v>-1.527304606350693</v>
      </c>
      <c r="E38" s="773">
        <v>0.16981300547269951</v>
      </c>
      <c r="F38" s="771">
        <v>-0.98485755240905881</v>
      </c>
      <c r="G38" s="774">
        <v>3.4916251734213248E-2</v>
      </c>
      <c r="H38" s="773">
        <v>0.26600000000000001</v>
      </c>
      <c r="I38" s="771">
        <v>0.52</v>
      </c>
      <c r="J38" s="601">
        <v>4.1239999999999997</v>
      </c>
      <c r="K38" s="426" t="str">
        <f t="shared" si="82"/>
        <v>1313</v>
      </c>
      <c r="L38" s="327"/>
      <c r="M38" s="173">
        <f t="shared" si="1"/>
        <v>4.1239999999999997</v>
      </c>
      <c r="N38" s="21">
        <f t="shared" si="2"/>
        <v>-2.3931571010202042</v>
      </c>
      <c r="O38" s="5">
        <f t="shared" si="3"/>
        <v>-2.0605395524055279</v>
      </c>
      <c r="P38" s="10">
        <f t="shared" si="4"/>
        <v>-1.527304606350693</v>
      </c>
      <c r="Q38" s="624">
        <f t="shared" si="116"/>
        <v>220.72888112508488</v>
      </c>
      <c r="R38" s="5">
        <f t="shared" si="83"/>
        <v>3.1580095245567263</v>
      </c>
      <c r="S38" s="6">
        <f t="shared" si="84"/>
        <v>-1.527304606350693</v>
      </c>
      <c r="T38" s="4">
        <f t="shared" si="85"/>
        <v>-2.1467568469825378</v>
      </c>
      <c r="U38" s="5">
        <f t="shared" si="86"/>
        <v>2.3161302202433682</v>
      </c>
      <c r="V38" s="8">
        <f t="shared" si="117"/>
        <v>-1.527304606350693</v>
      </c>
      <c r="W38" s="624">
        <f t="shared" si="226"/>
        <v>132.82658082221451</v>
      </c>
      <c r="X38" s="5">
        <f t="shared" si="87"/>
        <v>3.1580095245567263</v>
      </c>
      <c r="Y38" s="7">
        <f t="shared" si="225"/>
        <v>-1.527304606350693</v>
      </c>
      <c r="Z38" s="21">
        <f t="shared" si="6"/>
        <v>-0.16981300547269951</v>
      </c>
      <c r="AA38" s="5">
        <f t="shared" si="7"/>
        <v>0.98485755240905881</v>
      </c>
      <c r="AB38" s="5">
        <f t="shared" si="8"/>
        <v>-3.4916251734213248E-2</v>
      </c>
      <c r="AC38" s="8">
        <f t="shared" si="88"/>
        <v>1</v>
      </c>
      <c r="AD38" s="9">
        <f t="shared" si="118"/>
        <v>-0.16981300547269951</v>
      </c>
      <c r="AE38" s="5">
        <f t="shared" si="89"/>
        <v>0.98485755240905881</v>
      </c>
      <c r="AF38" s="10">
        <f t="shared" si="90"/>
        <v>-3.4916251734213248E-2</v>
      </c>
      <c r="AG38" s="622">
        <f t="shared" si="91"/>
        <v>87.969537516094235</v>
      </c>
      <c r="AH38" s="623">
        <f t="shared" si="92"/>
        <v>99.776946981551234</v>
      </c>
      <c r="AI38" s="624">
        <f t="shared" si="93"/>
        <v>-87.999039421958031</v>
      </c>
      <c r="AJ38" s="625">
        <f t="shared" si="94"/>
        <v>-170.21702917204928</v>
      </c>
      <c r="AK38" s="4">
        <f t="shared" si="213"/>
        <v>0.85713017591687379</v>
      </c>
      <c r="AL38" s="5">
        <f t="shared" si="95"/>
        <v>-0.51391508724451951</v>
      </c>
      <c r="AM38" s="6">
        <f t="shared" si="96"/>
        <v>-3.4916251734213248E-2</v>
      </c>
      <c r="AN38" s="612">
        <f t="shared" si="97"/>
        <v>-86.113202015358937</v>
      </c>
      <c r="AO38" s="613">
        <f t="shared" si="98"/>
        <v>31.004129725631842</v>
      </c>
      <c r="AP38" s="624">
        <f t="shared" si="99"/>
        <v>-30.94591029713418</v>
      </c>
      <c r="AQ38" s="625">
        <f t="shared" si="9"/>
        <v>3.9209341294912545</v>
      </c>
      <c r="AS38" s="56">
        <f t="shared" si="119"/>
        <v>-227.17341917778549</v>
      </c>
      <c r="AT38" s="77">
        <f t="shared" si="10"/>
        <v>-0.66116926837879142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4.1239999999999997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0.02</v>
      </c>
      <c r="B39" s="770">
        <v>-2.4186667512068651</v>
      </c>
      <c r="C39" s="771">
        <v>-2.0767327363743324</v>
      </c>
      <c r="D39" s="772">
        <v>-2.15580650191241</v>
      </c>
      <c r="E39" s="773">
        <v>9.8456332925929896E-2</v>
      </c>
      <c r="F39" s="771">
        <v>-0.99514137212094733</v>
      </c>
      <c r="G39" s="774">
        <v>1.3008419224361226E-7</v>
      </c>
      <c r="H39" s="773">
        <v>0.26600000000000001</v>
      </c>
      <c r="I39" s="771">
        <v>0.52</v>
      </c>
      <c r="J39" s="601">
        <v>4.1289999999999996</v>
      </c>
      <c r="K39" s="426" t="str">
        <f t="shared" si="82"/>
        <v>1313</v>
      </c>
      <c r="L39" s="327"/>
      <c r="M39" s="173">
        <f t="shared" si="1"/>
        <v>4.1289999999999996</v>
      </c>
      <c r="N39" s="21">
        <f t="shared" si="2"/>
        <v>-2.4186667512068651</v>
      </c>
      <c r="O39" s="5">
        <f t="shared" si="3"/>
        <v>-2.0767327363743324</v>
      </c>
      <c r="P39" s="10">
        <f t="shared" si="4"/>
        <v>-2.15580650191241</v>
      </c>
      <c r="Q39" s="624">
        <f t="shared" si="116"/>
        <v>220.65028113643328</v>
      </c>
      <c r="R39" s="5">
        <f t="shared" si="83"/>
        <v>3.187909614735398</v>
      </c>
      <c r="S39" s="6">
        <f t="shared" si="84"/>
        <v>-2.15580650191241</v>
      </c>
      <c r="T39" s="4">
        <f t="shared" si="85"/>
        <v>-2.1638729240379595</v>
      </c>
      <c r="U39" s="5">
        <f t="shared" si="86"/>
        <v>2.3410300468677896</v>
      </c>
      <c r="V39" s="8">
        <f t="shared" si="117"/>
        <v>-2.15580650191241</v>
      </c>
      <c r="W39" s="624">
        <f t="shared" si="226"/>
        <v>132.74798083356291</v>
      </c>
      <c r="X39" s="5">
        <f t="shared" si="87"/>
        <v>3.187909614735398</v>
      </c>
      <c r="Y39" s="7">
        <f t="shared" si="225"/>
        <v>-2.15580650191241</v>
      </c>
      <c r="Z39" s="21">
        <f t="shared" si="6"/>
        <v>-9.8456332925929896E-2</v>
      </c>
      <c r="AA39" s="5">
        <f t="shared" si="7"/>
        <v>0.99514137212094733</v>
      </c>
      <c r="AB39" s="5">
        <f t="shared" si="8"/>
        <v>-1.3008419224361226E-7</v>
      </c>
      <c r="AC39" s="8">
        <f t="shared" si="88"/>
        <v>1</v>
      </c>
      <c r="AD39" s="9">
        <f t="shared" si="118"/>
        <v>-9.8456332925929896E-2</v>
      </c>
      <c r="AE39" s="5">
        <f t="shared" si="89"/>
        <v>0.99514137212094733</v>
      </c>
      <c r="AF39" s="10">
        <f t="shared" si="90"/>
        <v>-1.3008419224361226E-7</v>
      </c>
      <c r="AG39" s="622">
        <f t="shared" si="91"/>
        <v>89.999992510335304</v>
      </c>
      <c r="AH39" s="623">
        <f t="shared" si="92"/>
        <v>95.650286189807971</v>
      </c>
      <c r="AI39" s="624">
        <f t="shared" si="93"/>
        <v>-89.999992546724798</v>
      </c>
      <c r="AJ39" s="625">
        <f t="shared" si="94"/>
        <v>-174.34971381019199</v>
      </c>
      <c r="AK39" s="4">
        <f t="shared" si="213"/>
        <v>0.81915209487729213</v>
      </c>
      <c r="AL39" s="5">
        <f t="shared" si="95"/>
        <v>-0.57357636410344448</v>
      </c>
      <c r="AM39" s="6">
        <f t="shared" si="96"/>
        <v>-1.3008419224361226E-7</v>
      </c>
      <c r="AN39" s="612">
        <f t="shared" si="97"/>
        <v>-89.999987005609611</v>
      </c>
      <c r="AO39" s="613">
        <f t="shared" si="98"/>
        <v>34.999994946625939</v>
      </c>
      <c r="AP39" s="624">
        <f t="shared" si="99"/>
        <v>-34.999994946625257</v>
      </c>
      <c r="AQ39" s="625">
        <f t="shared" si="9"/>
        <v>3.8842719493504538</v>
      </c>
      <c r="AS39" s="56">
        <f t="shared" si="119"/>
        <v>-227.25201916643709</v>
      </c>
      <c r="AT39" s="77">
        <f t="shared" si="10"/>
        <v>-1.2893742306500466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4.1289999999999996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</v>
      </c>
      <c r="B40" s="770">
        <v>-1.1328950217838931</v>
      </c>
      <c r="C40" s="771">
        <v>2.6761712124712175E-2</v>
      </c>
      <c r="D40" s="772">
        <v>-0.11393737317928336</v>
      </c>
      <c r="E40" s="773">
        <v>-5.3559481725358593E-9</v>
      </c>
      <c r="F40" s="771">
        <v>-2.2673164531933603E-7</v>
      </c>
      <c r="G40" s="774">
        <v>0.99999999999997435</v>
      </c>
      <c r="H40" s="773">
        <v>0.19500000000000001</v>
      </c>
      <c r="I40" s="771">
        <v>0.21199999999999999</v>
      </c>
      <c r="J40" s="601">
        <v>4.2050000000000001</v>
      </c>
      <c r="K40" s="426" t="str">
        <f t="shared" si="82"/>
        <v>Knuckle</v>
      </c>
      <c r="L40" s="327"/>
      <c r="M40" s="173">
        <f t="shared" si="1"/>
        <v>4.2050000000000001</v>
      </c>
      <c r="N40" s="21">
        <f t="shared" si="2"/>
        <v>-1.1328950217838931</v>
      </c>
      <c r="O40" s="5">
        <f t="shared" si="3"/>
        <v>2.6761712124712175E-2</v>
      </c>
      <c r="P40" s="10">
        <f t="shared" si="4"/>
        <v>-0.11393737317928336</v>
      </c>
      <c r="Q40" s="624">
        <f t="shared" si="116"/>
        <v>178.64678720098746</v>
      </c>
      <c r="R40" s="5">
        <f t="shared" si="83"/>
        <v>1.1332110657854404</v>
      </c>
      <c r="S40" s="6">
        <f t="shared" si="84"/>
        <v>-0.11393737317928336</v>
      </c>
      <c r="T40" s="4">
        <f t="shared" si="85"/>
        <v>-1.4724244235588773E-2</v>
      </c>
      <c r="U40" s="5">
        <f t="shared" si="86"/>
        <v>1.1331154028828063</v>
      </c>
      <c r="V40" s="8">
        <f t="shared" si="117"/>
        <v>-0.11393737317928336</v>
      </c>
      <c r="W40" s="624">
        <f t="shared" si="226"/>
        <v>90.744486898117088</v>
      </c>
      <c r="X40" s="5">
        <f t="shared" si="87"/>
        <v>1.1332110657854404</v>
      </c>
      <c r="Y40" s="7">
        <f t="shared" si="225"/>
        <v>-0.11393737317928336</v>
      </c>
      <c r="Z40" s="21">
        <f t="shared" si="6"/>
        <v>5.3559481725358593E-9</v>
      </c>
      <c r="AA40" s="5">
        <f t="shared" si="7"/>
        <v>2.2673164531933603E-7</v>
      </c>
      <c r="AB40" s="5">
        <f t="shared" si="8"/>
        <v>-0.99999999999997435</v>
      </c>
      <c r="AC40" s="8">
        <f t="shared" si="88"/>
        <v>1</v>
      </c>
      <c r="AD40" s="9">
        <f t="shared" si="118"/>
        <v>5.3559481725358593E-9</v>
      </c>
      <c r="AE40" s="5">
        <f t="shared" si="89"/>
        <v>2.2673164531933603E-7</v>
      </c>
      <c r="AF40" s="10">
        <f t="shared" si="90"/>
        <v>-0.99999999999997435</v>
      </c>
      <c r="AG40" s="622">
        <f t="shared" si="91"/>
        <v>1.2990766358855172E-5</v>
      </c>
      <c r="AH40" s="623">
        <f t="shared" si="92"/>
        <v>89.999999693126782</v>
      </c>
      <c r="AI40" s="624">
        <f t="shared" si="93"/>
        <v>-1.2976235990044085E-5</v>
      </c>
      <c r="AJ40" s="625">
        <f t="shared" si="94"/>
        <v>178.64678720098746</v>
      </c>
      <c r="AK40" s="4">
        <f t="shared" si="213"/>
        <v>2.2679489670193216E-7</v>
      </c>
      <c r="AL40" s="5">
        <f t="shared" si="95"/>
        <v>5.8729823491264965E-23</v>
      </c>
      <c r="AM40" s="6">
        <f t="shared" si="96"/>
        <v>-0.99999999999997435</v>
      </c>
      <c r="AN40" s="612">
        <f t="shared" si="97"/>
        <v>3.3649710175978462E-21</v>
      </c>
      <c r="AO40" s="613">
        <f t="shared" si="98"/>
        <v>0</v>
      </c>
      <c r="AP40" s="624">
        <f t="shared" si="99"/>
        <v>1.4837066735325233E-14</v>
      </c>
      <c r="AQ40" s="625">
        <f t="shared" si="9"/>
        <v>10.81361782072613</v>
      </c>
      <c r="AS40" s="56">
        <f t="shared" si="119"/>
        <v>-269.25551310188291</v>
      </c>
      <c r="AT40" s="77">
        <f t="shared" si="10"/>
        <v>0.91117476406143083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>
        <f>IFERROR(IF($IU40="","",IF($IU40&lt;(((Settings!$C$19/2)*-1)*$IE$8),"",1)),"")</f>
        <v>1</v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4.2050000000000001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4.1050000000000004</v>
      </c>
      <c r="II40" s="800" cm="1">
        <f t="array" ref="II40">IFERROR(IF($IH40&lt;1,$IH40+LARGE((IF($M$9:$M$150="",0,$M$9:$M$150)-MOD(IF($M$9:$M$150="",0,$M$9:$M$150),1)),1),$IH40),"")</f>
        <v>4.1050000000000004</v>
      </c>
      <c r="IJ40" s="839" t="str">
        <f t="shared" si="67"/>
        <v>1313</v>
      </c>
      <c r="IK40" s="839" t="str">
        <f t="shared" si="68"/>
        <v>Knuckle</v>
      </c>
      <c r="IL40" s="791">
        <f t="shared" si="227"/>
        <v>46.303393314617182</v>
      </c>
      <c r="IM40" s="830">
        <v>6.9062486044458707E-2</v>
      </c>
      <c r="IN40" s="5">
        <f t="shared" si="228"/>
        <v>0.6</v>
      </c>
      <c r="IO40" s="852">
        <v>300</v>
      </c>
      <c r="IP40" s="9">
        <f t="shared" si="229"/>
        <v>-1.1404034394567735</v>
      </c>
      <c r="IQ40" s="5">
        <f t="shared" si="230"/>
        <v>-9.9900301299308727E-2</v>
      </c>
      <c r="IR40" s="5">
        <f t="shared" si="73"/>
        <v>0.26600000000000001</v>
      </c>
      <c r="IS40" s="5">
        <f t="shared" si="231"/>
        <v>0.25967192384107224</v>
      </c>
      <c r="IT40" s="791">
        <f t="shared" si="232"/>
        <v>-8.9951090838234187</v>
      </c>
      <c r="IU40" s="9">
        <f t="shared" si="233"/>
        <v>-1.1332110657854404</v>
      </c>
      <c r="IV40" s="5">
        <f t="shared" si="234"/>
        <v>-0.11393737317928336</v>
      </c>
      <c r="IW40" s="5">
        <f t="shared" si="78"/>
        <v>0.19500000000000001</v>
      </c>
      <c r="IX40" s="5">
        <f t="shared" si="235"/>
        <v>0.19500000000000001</v>
      </c>
      <c r="IY40" s="833">
        <f t="shared" si="236"/>
        <v>-3.3649710175978462E-21</v>
      </c>
    </row>
    <row r="41" spans="1:259" ht="15" customHeight="1" x14ac:dyDescent="0.25">
      <c r="A41" s="84">
        <f t="shared" si="81"/>
        <v>0</v>
      </c>
      <c r="B41" s="770">
        <v>-1.8228688574362486</v>
      </c>
      <c r="C41" s="771">
        <v>-0.53858076406458211</v>
      </c>
      <c r="D41" s="772">
        <v>-7.0185351028259207E-2</v>
      </c>
      <c r="E41" s="773">
        <v>-0.13744611102639631</v>
      </c>
      <c r="F41" s="771">
        <v>-4.0609757677776276E-2</v>
      </c>
      <c r="G41" s="774">
        <v>0.9896764189092675</v>
      </c>
      <c r="H41" s="773">
        <v>0.19500000000000001</v>
      </c>
      <c r="I41" s="771">
        <v>0.21199999999999999</v>
      </c>
      <c r="J41" s="601">
        <v>4.2089999999999996</v>
      </c>
      <c r="K41" s="426" t="str">
        <f t="shared" si="82"/>
        <v>Knuckle</v>
      </c>
      <c r="L41" s="327"/>
      <c r="M41" s="173">
        <f t="shared" ref="M41:M72" si="241">IF(J41="","",VALUE(J41))</f>
        <v>4.2089999999999996</v>
      </c>
      <c r="N41" s="21">
        <f t="shared" ref="N41:N72" si="242">IF(M41="","",B41)</f>
        <v>-1.8228688574362486</v>
      </c>
      <c r="O41" s="5">
        <f t="shared" ref="O41:O72" si="243">IF(M41="","",C41)</f>
        <v>-0.53858076406458211</v>
      </c>
      <c r="P41" s="10">
        <f t="shared" ref="P41:P72" si="244">IF(M41="","",D41)</f>
        <v>-7.0185351028259207E-2</v>
      </c>
      <c r="Q41" s="624">
        <f t="shared" si="116"/>
        <v>196.4601846290511</v>
      </c>
      <c r="R41" s="5">
        <f t="shared" si="83"/>
        <v>1.9007682948827096</v>
      </c>
      <c r="S41" s="6">
        <f t="shared" si="84"/>
        <v>-7.0185351028259207E-2</v>
      </c>
      <c r="T41" s="4">
        <f t="shared" si="85"/>
        <v>-0.60494338201862907</v>
      </c>
      <c r="U41" s="5">
        <f t="shared" si="86"/>
        <v>1.8019332993713131</v>
      </c>
      <c r="V41" s="8">
        <f t="shared" si="117"/>
        <v>-7.0185351028259207E-2</v>
      </c>
      <c r="W41" s="624">
        <f t="shared" si="226"/>
        <v>108.55788432618073</v>
      </c>
      <c r="X41" s="5">
        <f t="shared" si="87"/>
        <v>1.9007682948827096</v>
      </c>
      <c r="Y41" s="7">
        <f t="shared" si="225"/>
        <v>-7.0185351028259207E-2</v>
      </c>
      <c r="Z41" s="21">
        <f t="shared" ref="Z41:Z72" si="245">IF(M41="","",-E41)</f>
        <v>0.13744611102639631</v>
      </c>
      <c r="AA41" s="5">
        <f t="shared" ref="AA41:AA72" si="246">IF(M41="","",-F41)</f>
        <v>4.0609757677776276E-2</v>
      </c>
      <c r="AB41" s="5">
        <f t="shared" ref="AB41:AB72" si="247">IF(M41="","",-G41)</f>
        <v>-0.9896764189092675</v>
      </c>
      <c r="AC41" s="8">
        <f t="shared" si="88"/>
        <v>1</v>
      </c>
      <c r="AD41" s="9">
        <f t="shared" si="118"/>
        <v>0.13744611102639631</v>
      </c>
      <c r="AE41" s="5">
        <f t="shared" si="89"/>
        <v>4.0609757677776276E-2</v>
      </c>
      <c r="AF41" s="10">
        <f t="shared" si="90"/>
        <v>-0.9896764189092675</v>
      </c>
      <c r="AG41" s="622">
        <f t="shared" si="91"/>
        <v>2.3497206830887074</v>
      </c>
      <c r="AH41" s="623">
        <f t="shared" si="92"/>
        <v>82.09990947356674</v>
      </c>
      <c r="AI41" s="624">
        <f t="shared" si="93"/>
        <v>-8.23999881030152</v>
      </c>
      <c r="AJ41" s="625">
        <f t="shared" si="94"/>
        <v>106.46027529610353</v>
      </c>
      <c r="AK41" s="4">
        <f t="shared" si="213"/>
        <v>2.2679489669608088E-7</v>
      </c>
      <c r="AL41" s="5">
        <f t="shared" si="95"/>
        <v>-0.14331987250509517</v>
      </c>
      <c r="AM41" s="6">
        <f t="shared" si="96"/>
        <v>-0.9896764189092675</v>
      </c>
      <c r="AN41" s="612">
        <f t="shared" si="97"/>
        <v>-8.2399988102913682</v>
      </c>
      <c r="AO41" s="613">
        <f t="shared" si="98"/>
        <v>0</v>
      </c>
      <c r="AP41" s="624">
        <f t="shared" si="99"/>
        <v>-89.999909332947567</v>
      </c>
      <c r="AQ41" s="625">
        <f t="shared" ref="AQ41:AQ72" si="248">IF(M41="","",DEGREES(ATAN(($AS$5*SIN(RADIANS(90)))/(($X41*2*PI())-($AS$5*COS(RADIANS(90)))))))</f>
        <v>6.4965936910737616</v>
      </c>
      <c r="AS41" s="56">
        <f t="shared" si="119"/>
        <v>-251.44211567381927</v>
      </c>
      <c r="AT41" s="77">
        <f t="shared" ref="AT41:AT72" si="249">IF(M41="","",Y41+(((AS41-$AS$9)*$AS$6)*-1))</f>
        <v>0.8876317292619923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>
        <f>IFERROR(IF($IU41="","",IF($IU41&lt;(((Settings!$C$19/2)*-1)*$IE$8),"",1)),"")</f>
        <v>1</v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4.2089999999999996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4.109</v>
      </c>
      <c r="II41" s="800" cm="1">
        <f t="array" ref="II41">IFERROR(IF($IH41&lt;1,$IH41+LARGE((IF($M$9:$M$150="",0,$M$9:$M$150)-MOD(IF($M$9:$M$150="",0,$M$9:$M$150),1)),1),$IH41),"")</f>
        <v>4.109</v>
      </c>
      <c r="IJ41" s="839" t="str">
        <f t="shared" ref="IJ41:IJ72" si="385">IF(ISNUMBER($II41),INDEX($K$9:$K$150,MATCH($II41,$M$9:$M$150,0)),"")</f>
        <v>1313</v>
      </c>
      <c r="IK41" s="839" t="str">
        <f t="shared" ref="IK41:IK72" si="386">IF(ISNUMBER($II41),INDEX($K$9:$K$150,MATCH($IG41,$M$9:$M$150,0)),"")</f>
        <v>Knuckle</v>
      </c>
      <c r="IL41" s="791">
        <f t="shared" si="227"/>
        <v>27.317696055812689</v>
      </c>
      <c r="IM41" s="830">
        <v>6.45382384768457E-2</v>
      </c>
      <c r="IN41" s="5">
        <f t="shared" si="228"/>
        <v>0.9</v>
      </c>
      <c r="IO41" s="852">
        <v>450</v>
      </c>
      <c r="IP41" s="9">
        <f t="shared" si="229"/>
        <v>-1.8960057183532468</v>
      </c>
      <c r="IQ41" s="5">
        <f t="shared" si="230"/>
        <v>-6.5400197246994904E-2</v>
      </c>
      <c r="IR41" s="5">
        <f t="shared" ref="IR41:IR72" si="387">IF(ISNUMBER($II41),INDEX($H$9:$H$150,MATCH($II41,$M$9:$M$150,0)),"")</f>
        <v>0.26600000000000001</v>
      </c>
      <c r="IS41" s="5">
        <f t="shared" si="231"/>
        <v>0.25907828360642104</v>
      </c>
      <c r="IT41" s="791">
        <f t="shared" si="232"/>
        <v>25.928151380254921</v>
      </c>
      <c r="IU41" s="9">
        <f t="shared" si="233"/>
        <v>-1.9007682948827096</v>
      </c>
      <c r="IV41" s="5">
        <f t="shared" si="234"/>
        <v>-7.0185351028259207E-2</v>
      </c>
      <c r="IW41" s="5">
        <f t="shared" ref="IW41:IW72" si="388">IF(ISNUMBER($II41),$H41,"")</f>
        <v>0.19500000000000001</v>
      </c>
      <c r="IX41" s="5">
        <f t="shared" si="235"/>
        <v>0.19500000000000001</v>
      </c>
      <c r="IY41" s="833">
        <f t="shared" si="236"/>
        <v>8.2399988102913682</v>
      </c>
    </row>
    <row r="42" spans="1:259" ht="15" customHeight="1" x14ac:dyDescent="0.25">
      <c r="A42" s="84">
        <f t="shared" si="81"/>
        <v>0.02</v>
      </c>
      <c r="B42" s="770">
        <v>-2.4074993510248692</v>
      </c>
      <c r="C42" s="771">
        <v>-0.85143310834474117</v>
      </c>
      <c r="D42" s="772">
        <v>-0.30311386258012007</v>
      </c>
      <c r="E42" s="773">
        <v>0.1341213673658429</v>
      </c>
      <c r="F42" s="771">
        <v>-0.93252149488089719</v>
      </c>
      <c r="G42" s="774">
        <v>0.33528364171401759</v>
      </c>
      <c r="H42" s="773">
        <v>0.219</v>
      </c>
      <c r="I42" s="771">
        <v>0.42</v>
      </c>
      <c r="J42" s="601">
        <v>4.2140000000000004</v>
      </c>
      <c r="K42" s="426" t="str">
        <f t="shared" si="82"/>
        <v>1111</v>
      </c>
      <c r="L42" s="327"/>
      <c r="M42" s="173">
        <f t="shared" si="241"/>
        <v>4.2140000000000004</v>
      </c>
      <c r="N42" s="21">
        <f t="shared" si="242"/>
        <v>-2.4074993510248692</v>
      </c>
      <c r="O42" s="5">
        <f t="shared" si="243"/>
        <v>-0.85143310834474117</v>
      </c>
      <c r="P42" s="10">
        <f t="shared" si="244"/>
        <v>-0.30311386258012007</v>
      </c>
      <c r="Q42" s="624">
        <f t="shared" si="116"/>
        <v>199.47658419353689</v>
      </c>
      <c r="R42" s="5">
        <f t="shared" ref="R42:R47" si="389">IF(M42="","",SQRT(N42^2+O42^2))</f>
        <v>2.5536232030530179</v>
      </c>
      <c r="S42" s="6">
        <f t="shared" ref="S42:S47" si="390">IF(M42="","",P42)</f>
        <v>-0.30311386258012007</v>
      </c>
      <c r="T42" s="4">
        <f t="shared" ref="T42:T47" si="391">IF(M42="","",X42*COS(RADIANS(W42)))</f>
        <v>-0.93898564631584591</v>
      </c>
      <c r="U42" s="5">
        <f t="shared" ref="U42:U47" si="392">IF(M42="","",X42*SIN(RADIANS(W42)))</f>
        <v>2.3747204928545944</v>
      </c>
      <c r="V42" s="8">
        <f t="shared" ref="V42:V47" si="393">IF(M42="","",Y42)</f>
        <v>-0.30311386258012007</v>
      </c>
      <c r="W42" s="624">
        <f t="shared" si="226"/>
        <v>111.57428389066652</v>
      </c>
      <c r="X42" s="5">
        <f t="shared" ref="X42:X47" si="394">IF(M42="","",R42)</f>
        <v>2.5536232030530179</v>
      </c>
      <c r="Y42" s="7">
        <f t="shared" si="225"/>
        <v>-0.30311386258012007</v>
      </c>
      <c r="Z42" s="21">
        <f t="shared" si="245"/>
        <v>-0.1341213673658429</v>
      </c>
      <c r="AA42" s="5">
        <f t="shared" si="246"/>
        <v>0.93252149488089719</v>
      </c>
      <c r="AB42" s="5">
        <f t="shared" si="247"/>
        <v>-0.33528364171401759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-0.1341213673658429</v>
      </c>
      <c r="AE42" s="5">
        <f t="shared" ref="AE42:AE47" si="397">IF(M42="","",AA42*(1/SQRT(Z42^2+AA42^2+AB42^2)))</f>
        <v>0.93252149488089719</v>
      </c>
      <c r="AF42" s="10">
        <f t="shared" ref="AF42:AF47" si="398">IF(M42="","",AB42*(1/SQRT(Z42^2+AA42^2+AB42^2)))</f>
        <v>-0.33528364171401759</v>
      </c>
      <c r="AG42" s="622">
        <f t="shared" ref="AG42:AG47" si="399">IF(M42="","",DEGREES(ATAN2(-AF42,AE42)))</f>
        <v>70.224194657980973</v>
      </c>
      <c r="AH42" s="623">
        <f t="shared" ref="AH42:AH47" si="400">IF(M42="","",DEGREES(ACOS(AD42)))</f>
        <v>97.707815900930285</v>
      </c>
      <c r="AI42" s="624">
        <f t="shared" ref="AI42:AI47" si="401">IF(M42="","",DEGREES(-ACOS(-AF42)))</f>
        <v>-70.410213031507595</v>
      </c>
      <c r="AJ42" s="625">
        <f t="shared" ref="AJ42:AJ47" si="402">IF(M42="","",DEGREES(ATAN2(-AE42,AD42)))</f>
        <v>-171.81547188850567</v>
      </c>
      <c r="AK42" s="4">
        <f t="shared" ref="AK42:AK47" si="403">IF(M42="","",(COS(RADIANS((90-$Q$8)-W42))*AD42)+(-SIN(RADIANS((90-$Q$8)-W42))*AE42))</f>
        <v>0.92387955420894785</v>
      </c>
      <c r="AL42" s="5">
        <f t="shared" ref="AL42:AL47" si="404">IF(M42="","",(SIN(RADIANS((90-$Q$8)-W42))*AD42)+(COS(RADIANS((90-$Q$8)-W42))*AE42))</f>
        <v>-0.18447614727563674</v>
      </c>
      <c r="AM42" s="6">
        <f t="shared" ref="AM42:AM47" si="405">IF(M42="","",AF42)</f>
        <v>-0.33528364171401759</v>
      </c>
      <c r="AN42" s="612">
        <f t="shared" ref="AN42:AN47" si="406">IF(M42="","",DEGREES(ATAN2(-AM42,AL42)))</f>
        <v>-28.81999583890741</v>
      </c>
      <c r="AO42" s="613">
        <f t="shared" si="98"/>
        <v>22.499996751402364</v>
      </c>
      <c r="AP42" s="624">
        <f t="shared" ref="AP42:AP47" si="407">IF(M42="","",DEGREES(ATAN2(AK42,AL42)))</f>
        <v>-11.292056082042544</v>
      </c>
      <c r="AQ42" s="625">
        <f t="shared" si="248"/>
        <v>4.8449354887725251</v>
      </c>
      <c r="AS42" s="56">
        <f t="shared" si="119"/>
        <v>-248.42571610933348</v>
      </c>
      <c r="AT42" s="77">
        <f t="shared" si="249"/>
        <v>0.64330793046651835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>
        <f>IFERROR(IF($IU42="","",IF($IU42&lt;(((Settings!$C$19/2)*-1)*$IE$8),"",1)),"")</f>
        <v>1</v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4.2140000000000004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4.1139999999999999</v>
      </c>
      <c r="II42" s="800" cm="1">
        <f t="array" ref="II42">IFERROR(IF($IH42&lt;1,$IH42+LARGE((IF($M$9:$M$150="",0,$M$9:$M$150)-MOD(IF($M$9:$M$150="",0,$M$9:$M$150),1)),1),$IH42),"")</f>
        <v>4.1139999999999999</v>
      </c>
      <c r="IJ42" s="839" t="str">
        <f t="shared" si="385"/>
        <v>1313</v>
      </c>
      <c r="IK42" s="839" t="str">
        <f t="shared" si="386"/>
        <v>1111</v>
      </c>
      <c r="IL42" s="791">
        <f t="shared" si="227"/>
        <v>22.858596699626958</v>
      </c>
      <c r="IM42" s="830">
        <v>7.0898236141573E-3</v>
      </c>
      <c r="IN42" s="5">
        <f t="shared" si="228"/>
        <v>0.14000000000000001</v>
      </c>
      <c r="IO42" s="852">
        <v>70</v>
      </c>
      <c r="IP42" s="9">
        <f t="shared" si="229"/>
        <v>-2.5260076184389773</v>
      </c>
      <c r="IQ42" s="5">
        <f t="shared" si="230"/>
        <v>-0.34270103358631737</v>
      </c>
      <c r="IR42" s="5">
        <f t="shared" si="387"/>
        <v>0.26600000000000001</v>
      </c>
      <c r="IS42" s="5">
        <f t="shared" si="231"/>
        <v>0.25819893925756193</v>
      </c>
      <c r="IT42" s="791">
        <f t="shared" si="232"/>
        <v>55.29522988850254</v>
      </c>
      <c r="IU42" s="9">
        <f t="shared" si="233"/>
        <v>-2.5536232030530179</v>
      </c>
      <c r="IV42" s="5">
        <f t="shared" si="234"/>
        <v>-0.30311386258012007</v>
      </c>
      <c r="IW42" s="5">
        <f t="shared" si="388"/>
        <v>0.219</v>
      </c>
      <c r="IX42" s="5">
        <f t="shared" si="235"/>
        <v>0.20232962237175958</v>
      </c>
      <c r="IY42" s="833">
        <f t="shared" si="236"/>
        <v>28.81999583890741</v>
      </c>
    </row>
    <row r="43" spans="1:259" ht="15" customHeight="1" x14ac:dyDescent="0.25">
      <c r="A43" s="84">
        <f t="shared" si="81"/>
        <v>0.02</v>
      </c>
      <c r="B43" s="770">
        <v>-1.581548371699032</v>
      </c>
      <c r="C43" s="771">
        <v>0.76948089470322389</v>
      </c>
      <c r="D43" s="772">
        <v>-4.5000135720409333E-2</v>
      </c>
      <c r="E43" s="773">
        <v>-0.49403465783209394</v>
      </c>
      <c r="F43" s="771">
        <v>-0.84340290138537999</v>
      </c>
      <c r="G43" s="774">
        <v>0.211190205254526</v>
      </c>
      <c r="H43" s="773">
        <v>0.26600000000000001</v>
      </c>
      <c r="I43" s="771">
        <v>0.52</v>
      </c>
      <c r="J43" s="601">
        <v>5.1079999999999997</v>
      </c>
      <c r="K43" s="426" t="str">
        <f t="shared" si="82"/>
        <v>1313</v>
      </c>
      <c r="L43" s="327"/>
      <c r="M43" s="173">
        <f t="shared" si="241"/>
        <v>5.1079999999999997</v>
      </c>
      <c r="N43" s="21">
        <f t="shared" si="242"/>
        <v>-1.581548371699032</v>
      </c>
      <c r="O43" s="5">
        <f t="shared" si="243"/>
        <v>0.76948089470322389</v>
      </c>
      <c r="P43" s="10">
        <f t="shared" si="244"/>
        <v>-4.5000135720409333E-2</v>
      </c>
      <c r="Q43" s="624">
        <f t="shared" si="116"/>
        <v>154.05539075154584</v>
      </c>
      <c r="R43" s="5">
        <f t="shared" si="389"/>
        <v>1.7588053045567986</v>
      </c>
      <c r="S43" s="6">
        <f t="shared" si="390"/>
        <v>-4.5000135720409333E-2</v>
      </c>
      <c r="T43" s="4">
        <f t="shared" si="391"/>
        <v>0.71107489330738216</v>
      </c>
      <c r="U43" s="5">
        <f t="shared" si="392"/>
        <v>1.6086542808960005</v>
      </c>
      <c r="V43" s="8">
        <f t="shared" si="393"/>
        <v>-4.5000135720409333E-2</v>
      </c>
      <c r="W43" s="624">
        <f t="shared" si="226"/>
        <v>66.153090448675471</v>
      </c>
      <c r="X43" s="5">
        <f t="shared" si="394"/>
        <v>1.7588053045567986</v>
      </c>
      <c r="Y43" s="7">
        <f t="shared" si="225"/>
        <v>-4.5000135720409333E-2</v>
      </c>
      <c r="Z43" s="21">
        <f t="shared" si="245"/>
        <v>0.49403465783209394</v>
      </c>
      <c r="AA43" s="5">
        <f t="shared" si="246"/>
        <v>0.84340290138537999</v>
      </c>
      <c r="AB43" s="5">
        <f t="shared" si="247"/>
        <v>-0.211190205254526</v>
      </c>
      <c r="AC43" s="8">
        <f t="shared" si="395"/>
        <v>1</v>
      </c>
      <c r="AD43" s="9">
        <f t="shared" si="396"/>
        <v>0.49403465783209394</v>
      </c>
      <c r="AE43" s="5">
        <f t="shared" si="397"/>
        <v>0.84340290138537999</v>
      </c>
      <c r="AF43" s="10">
        <f t="shared" si="398"/>
        <v>-0.211190205254526</v>
      </c>
      <c r="AG43" s="622">
        <f t="shared" si="399"/>
        <v>75.94205294446725</v>
      </c>
      <c r="AH43" s="623">
        <f t="shared" si="400"/>
        <v>60.393885291478462</v>
      </c>
      <c r="AI43" s="624">
        <f t="shared" si="401"/>
        <v>-77.807889571929735</v>
      </c>
      <c r="AJ43" s="625">
        <f t="shared" si="402"/>
        <v>149.63978394269978</v>
      </c>
      <c r="AK43" s="4">
        <f t="shared" si="403"/>
        <v>0.97454374935902677</v>
      </c>
      <c r="AL43" s="5">
        <f t="shared" si="404"/>
        <v>-7.5254088193276336E-2</v>
      </c>
      <c r="AM43" s="6">
        <f t="shared" si="405"/>
        <v>-0.211190205254526</v>
      </c>
      <c r="AN43" s="612">
        <f t="shared" si="406"/>
        <v>-19.612672880612077</v>
      </c>
      <c r="AO43" s="613">
        <f t="shared" si="98"/>
        <v>12.955687736937028</v>
      </c>
      <c r="AP43" s="624">
        <f t="shared" si="407"/>
        <v>-4.4156068088460563</v>
      </c>
      <c r="AQ43" s="625">
        <f t="shared" si="248"/>
        <v>7.0159362281520421</v>
      </c>
      <c r="AS43" s="56">
        <f t="shared" ref="AS43:AS74" si="410">IF(G43="","",IF(AND(W43&lt;(AS42+180),W43&gt;(AS42-180)),W43,IF(W43&gt;(AS42+180),W43-360,IF(W43&lt;(AS42-180),W43+360,"Error"))))</f>
        <v>-293.84690955132453</v>
      </c>
      <c r="AT43" s="77">
        <f t="shared" si="249"/>
        <v>1.0730128325515287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5.1079999999999997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-2.1407133659909099</v>
      </c>
      <c r="C44" s="771">
        <v>1.1089725674954209</v>
      </c>
      <c r="D44" s="772">
        <v>-0.26520079984561234</v>
      </c>
      <c r="E44" s="773">
        <v>-0.60775032688755648</v>
      </c>
      <c r="F44" s="771">
        <v>-0.77912332794064898</v>
      </c>
      <c r="G44" s="774">
        <v>0.15364367877253024</v>
      </c>
      <c r="H44" s="773">
        <v>0.26600000000000001</v>
      </c>
      <c r="I44" s="771">
        <v>0.52</v>
      </c>
      <c r="J44" s="601">
        <v>5.1130000000000004</v>
      </c>
      <c r="K44" s="426" t="str">
        <f t="shared" si="82"/>
        <v>1313</v>
      </c>
      <c r="L44" s="327"/>
      <c r="M44" s="173">
        <f t="shared" si="241"/>
        <v>5.1130000000000004</v>
      </c>
      <c r="N44" s="21">
        <f t="shared" si="242"/>
        <v>-2.1407133659909099</v>
      </c>
      <c r="O44" s="5">
        <f t="shared" si="243"/>
        <v>1.1089725674954209</v>
      </c>
      <c r="P44" s="10">
        <f t="shared" si="244"/>
        <v>-0.26520079984561234</v>
      </c>
      <c r="Q44" s="624">
        <f t="shared" si="116"/>
        <v>152.61409095964376</v>
      </c>
      <c r="R44" s="5">
        <f t="shared" si="389"/>
        <v>2.4109072712963302</v>
      </c>
      <c r="S44" s="6">
        <f t="shared" si="390"/>
        <v>-0.26520079984561234</v>
      </c>
      <c r="T44" s="4">
        <f t="shared" si="391"/>
        <v>1.0298716156023551</v>
      </c>
      <c r="U44" s="5">
        <f t="shared" si="392"/>
        <v>2.1798711719195958</v>
      </c>
      <c r="V44" s="8">
        <f t="shared" si="393"/>
        <v>-0.26520079984561234</v>
      </c>
      <c r="W44" s="624">
        <f t="shared" si="226"/>
        <v>64.711790656773388</v>
      </c>
      <c r="X44" s="5">
        <f t="shared" si="394"/>
        <v>2.4109072712963302</v>
      </c>
      <c r="Y44" s="7">
        <f t="shared" si="225"/>
        <v>-0.26520079984561234</v>
      </c>
      <c r="Z44" s="21">
        <f t="shared" si="245"/>
        <v>0.60775032688755648</v>
      </c>
      <c r="AA44" s="5">
        <f t="shared" si="246"/>
        <v>0.77912332794064898</v>
      </c>
      <c r="AB44" s="5">
        <f t="shared" si="247"/>
        <v>-0.15364367877253024</v>
      </c>
      <c r="AC44" s="8">
        <f t="shared" si="395"/>
        <v>1</v>
      </c>
      <c r="AD44" s="9">
        <f t="shared" si="396"/>
        <v>0.60775032688755648</v>
      </c>
      <c r="AE44" s="5">
        <f t="shared" si="397"/>
        <v>0.77912332794064898</v>
      </c>
      <c r="AF44" s="10">
        <f t="shared" si="398"/>
        <v>-0.15364367877253024</v>
      </c>
      <c r="AG44" s="622">
        <f t="shared" si="399"/>
        <v>78.844368593065795</v>
      </c>
      <c r="AH44" s="623">
        <f t="shared" si="400"/>
        <v>52.57298589145757</v>
      </c>
      <c r="AI44" s="624">
        <f t="shared" si="401"/>
        <v>-81.161857457270258</v>
      </c>
      <c r="AJ44" s="625">
        <f t="shared" si="402"/>
        <v>142.04420862642061</v>
      </c>
      <c r="AK44" s="4">
        <f t="shared" si="403"/>
        <v>0.97135969938127809</v>
      </c>
      <c r="AL44" s="5">
        <f t="shared" si="404"/>
        <v>-0.18125659820033202</v>
      </c>
      <c r="AM44" s="6">
        <f t="shared" si="405"/>
        <v>-0.15364367877253024</v>
      </c>
      <c r="AN44" s="612">
        <f t="shared" si="406"/>
        <v>-49.713442342672444</v>
      </c>
      <c r="AO44" s="613">
        <f t="shared" si="98"/>
        <v>13.74574963003681</v>
      </c>
      <c r="AP44" s="624">
        <f t="shared" si="407"/>
        <v>-10.569882333223147</v>
      </c>
      <c r="AQ44" s="625">
        <f t="shared" si="248"/>
        <v>5.1302479746951137</v>
      </c>
      <c r="AS44" s="56">
        <f t="shared" si="410"/>
        <v>-295.28820934322664</v>
      </c>
      <c r="AT44" s="77">
        <f t="shared" si="249"/>
        <v>0.85825707875128932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5.1130000000000004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-2.5502643752233278</v>
      </c>
      <c r="C45" s="771">
        <v>1.3913333656606284</v>
      </c>
      <c r="D45" s="772">
        <v>-0.74430224481557039</v>
      </c>
      <c r="E45" s="773">
        <v>-0.72244279832966263</v>
      </c>
      <c r="F45" s="771">
        <v>-0.68021729966228595</v>
      </c>
      <c r="G45" s="774">
        <v>0.12401946775306866</v>
      </c>
      <c r="H45" s="773">
        <v>0.26600000000000001</v>
      </c>
      <c r="I45" s="771">
        <v>0.52</v>
      </c>
      <c r="J45" s="601">
        <v>5.1180000000000003</v>
      </c>
      <c r="K45" s="426" t="str">
        <f t="shared" si="82"/>
        <v>1313</v>
      </c>
      <c r="L45" s="327"/>
      <c r="M45" s="173">
        <f t="shared" si="241"/>
        <v>5.1180000000000003</v>
      </c>
      <c r="N45" s="21">
        <f t="shared" si="242"/>
        <v>-2.5502643752233278</v>
      </c>
      <c r="O45" s="5">
        <f t="shared" si="243"/>
        <v>1.3913333656606284</v>
      </c>
      <c r="P45" s="10">
        <f t="shared" si="244"/>
        <v>-0.74430224481557039</v>
      </c>
      <c r="Q45" s="624">
        <f t="shared" si="116"/>
        <v>151.38469113714714</v>
      </c>
      <c r="R45" s="5">
        <f t="shared" si="389"/>
        <v>2.9051087618080262</v>
      </c>
      <c r="S45" s="6">
        <f t="shared" si="390"/>
        <v>-0.74430224481557039</v>
      </c>
      <c r="T45" s="4">
        <f t="shared" si="391"/>
        <v>1.2970521573536486</v>
      </c>
      <c r="U45" s="5">
        <f t="shared" si="392"/>
        <v>2.5994831445958653</v>
      </c>
      <c r="V45" s="8">
        <f t="shared" si="393"/>
        <v>-0.74430224481557039</v>
      </c>
      <c r="W45" s="624">
        <f t="shared" si="226"/>
        <v>63.482390834276771</v>
      </c>
      <c r="X45" s="5">
        <f t="shared" si="394"/>
        <v>2.9051087618080262</v>
      </c>
      <c r="Y45" s="7">
        <f t="shared" si="225"/>
        <v>-0.74430224481557039</v>
      </c>
      <c r="Z45" s="21">
        <f t="shared" si="245"/>
        <v>0.72244279832966263</v>
      </c>
      <c r="AA45" s="5">
        <f t="shared" si="246"/>
        <v>0.68021729966228595</v>
      </c>
      <c r="AB45" s="5">
        <f t="shared" si="247"/>
        <v>-0.12401946775306866</v>
      </c>
      <c r="AC45" s="8">
        <f t="shared" si="395"/>
        <v>1</v>
      </c>
      <c r="AD45" s="9">
        <f t="shared" si="396"/>
        <v>0.72244279832966263</v>
      </c>
      <c r="AE45" s="5">
        <f t="shared" si="397"/>
        <v>0.68021729966228595</v>
      </c>
      <c r="AF45" s="10">
        <f t="shared" si="398"/>
        <v>-0.12401946775306866</v>
      </c>
      <c r="AG45" s="622">
        <f t="shared" si="399"/>
        <v>79.667140595834283</v>
      </c>
      <c r="AH45" s="623">
        <f t="shared" si="400"/>
        <v>43.743467578797038</v>
      </c>
      <c r="AI45" s="624">
        <f t="shared" si="401"/>
        <v>-82.875865182831149</v>
      </c>
      <c r="AJ45" s="625">
        <f t="shared" si="402"/>
        <v>133.27569599754071</v>
      </c>
      <c r="AK45" s="4">
        <f t="shared" si="403"/>
        <v>0.94312913611242177</v>
      </c>
      <c r="AL45" s="5">
        <f t="shared" si="404"/>
        <v>-0.30842601095575994</v>
      </c>
      <c r="AM45" s="6">
        <f t="shared" si="405"/>
        <v>-0.12401946775306866</v>
      </c>
      <c r="AN45" s="612">
        <f t="shared" si="406"/>
        <v>-68.094721685498868</v>
      </c>
      <c r="AO45" s="613">
        <f t="shared" si="98"/>
        <v>19.416125505477766</v>
      </c>
      <c r="AP45" s="624">
        <f t="shared" si="407"/>
        <v>-18.108995139606435</v>
      </c>
      <c r="AQ45" s="625">
        <f t="shared" si="248"/>
        <v>4.2610592437873001</v>
      </c>
      <c r="AS45" s="56">
        <f t="shared" si="410"/>
        <v>-296.51760916572323</v>
      </c>
      <c r="AT45" s="77">
        <f t="shared" si="249"/>
        <v>0.38380003311076283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5.1180000000000003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-2.7447580282291484</v>
      </c>
      <c r="C46" s="771">
        <v>1.5364027136062297</v>
      </c>
      <c r="D46" s="772">
        <v>-1.3892041898398366</v>
      </c>
      <c r="E46" s="773">
        <v>-0.84770218108287554</v>
      </c>
      <c r="F46" s="771">
        <v>-0.52706231999351005</v>
      </c>
      <c r="G46" s="774">
        <v>6.0052668803264653E-2</v>
      </c>
      <c r="H46" s="773">
        <v>0.26600000000000001</v>
      </c>
      <c r="I46" s="771">
        <v>0.52</v>
      </c>
      <c r="J46" s="601">
        <v>5.1230000000000002</v>
      </c>
      <c r="K46" s="426" t="str">
        <f t="shared" si="82"/>
        <v>1313</v>
      </c>
      <c r="L46" s="327"/>
      <c r="M46" s="173">
        <f t="shared" si="241"/>
        <v>5.1230000000000002</v>
      </c>
      <c r="N46" s="21">
        <f t="shared" si="242"/>
        <v>-2.7447580282291484</v>
      </c>
      <c r="O46" s="5">
        <f t="shared" si="243"/>
        <v>1.5364027136062297</v>
      </c>
      <c r="P46" s="10">
        <f t="shared" si="244"/>
        <v>-1.3892041898398366</v>
      </c>
      <c r="Q46" s="624">
        <f t="shared" si="116"/>
        <v>150.7616912270972</v>
      </c>
      <c r="R46" s="5">
        <f t="shared" si="389"/>
        <v>3.1455094868566125</v>
      </c>
      <c r="S46" s="6">
        <f t="shared" si="390"/>
        <v>-1.3892041898398366</v>
      </c>
      <c r="T46" s="4">
        <f t="shared" si="391"/>
        <v>1.4349051236261812</v>
      </c>
      <c r="U46" s="5">
        <f t="shared" si="392"/>
        <v>2.7991565190421706</v>
      </c>
      <c r="V46" s="8">
        <f t="shared" si="393"/>
        <v>-1.3892041898398366</v>
      </c>
      <c r="W46" s="624">
        <f t="shared" si="226"/>
        <v>62.85939092422683</v>
      </c>
      <c r="X46" s="5">
        <f t="shared" si="394"/>
        <v>3.1455094868566125</v>
      </c>
      <c r="Y46" s="7">
        <f t="shared" si="225"/>
        <v>-1.3892041898398366</v>
      </c>
      <c r="Z46" s="21">
        <f t="shared" si="245"/>
        <v>0.84770218108287554</v>
      </c>
      <c r="AA46" s="5">
        <f t="shared" si="246"/>
        <v>0.52706231999351005</v>
      </c>
      <c r="AB46" s="5">
        <f t="shared" si="247"/>
        <v>-6.0052668803264653E-2</v>
      </c>
      <c r="AC46" s="8">
        <f t="shared" si="395"/>
        <v>1</v>
      </c>
      <c r="AD46" s="9">
        <f t="shared" si="396"/>
        <v>0.84770218108287554</v>
      </c>
      <c r="AE46" s="5">
        <f t="shared" si="397"/>
        <v>0.52706231999351005</v>
      </c>
      <c r="AF46" s="10">
        <f t="shared" si="398"/>
        <v>-6.0052668803264653E-2</v>
      </c>
      <c r="AG46" s="622">
        <f t="shared" si="399"/>
        <v>83.499838731602864</v>
      </c>
      <c r="AH46" s="623">
        <f t="shared" si="400"/>
        <v>32.037381418501575</v>
      </c>
      <c r="AI46" s="624">
        <f t="shared" si="401"/>
        <v>-86.557164080979874</v>
      </c>
      <c r="AJ46" s="625">
        <f t="shared" si="402"/>
        <v>121.87145290142115</v>
      </c>
      <c r="AK46" s="4">
        <f t="shared" si="403"/>
        <v>0.87396667440101505</v>
      </c>
      <c r="AL46" s="5">
        <f t="shared" si="404"/>
        <v>-0.48226126633396099</v>
      </c>
      <c r="AM46" s="6">
        <f t="shared" si="405"/>
        <v>-6.0052668803264653E-2</v>
      </c>
      <c r="AN46" s="612">
        <f t="shared" si="406"/>
        <v>-82.901889104478769</v>
      </c>
      <c r="AO46" s="613">
        <f t="shared" si="98"/>
        <v>29.077083206654379</v>
      </c>
      <c r="AP46" s="624">
        <f t="shared" si="407"/>
        <v>-28.890238325676048</v>
      </c>
      <c r="AQ46" s="625">
        <f t="shared" si="248"/>
        <v>3.9364667611787034</v>
      </c>
      <c r="AS46" s="56">
        <f t="shared" si="410"/>
        <v>-297.14060907577317</v>
      </c>
      <c r="AT46" s="77">
        <f t="shared" si="249"/>
        <v>-0.25874835669775953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5.1230000000000002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-2.7787234522423727</v>
      </c>
      <c r="C47" s="771">
        <v>1.5625183799496962</v>
      </c>
      <c r="D47" s="772">
        <v>-2.0320061285304836</v>
      </c>
      <c r="E47" s="773">
        <v>-0.90145287856435807</v>
      </c>
      <c r="F47" s="771">
        <v>-0.43287724325496241</v>
      </c>
      <c r="G47" s="774">
        <v>1.300841922710724E-7</v>
      </c>
      <c r="H47" s="773">
        <v>0.26600000000000001</v>
      </c>
      <c r="I47" s="771">
        <v>0.52</v>
      </c>
      <c r="J47" s="601">
        <v>5.1280000000000001</v>
      </c>
      <c r="K47" s="426" t="str">
        <f t="shared" si="82"/>
        <v>1313</v>
      </c>
      <c r="L47" s="327"/>
      <c r="M47" s="173">
        <f t="shared" si="241"/>
        <v>5.1280000000000001</v>
      </c>
      <c r="N47" s="21">
        <f t="shared" si="242"/>
        <v>-2.7787234522423727</v>
      </c>
      <c r="O47" s="5">
        <f t="shared" si="243"/>
        <v>1.5625183799496962</v>
      </c>
      <c r="P47" s="10">
        <f t="shared" si="244"/>
        <v>-2.0320061285304836</v>
      </c>
      <c r="Q47" s="624">
        <f t="shared" si="116"/>
        <v>150.65029124318139</v>
      </c>
      <c r="R47" s="5">
        <f t="shared" si="389"/>
        <v>3.1879096147353976</v>
      </c>
      <c r="S47" s="6">
        <f t="shared" si="390"/>
        <v>-2.0320061285304836</v>
      </c>
      <c r="T47" s="4">
        <f t="shared" si="391"/>
        <v>1.4597600325457043</v>
      </c>
      <c r="U47" s="5">
        <f t="shared" si="392"/>
        <v>2.834055108692235</v>
      </c>
      <c r="V47" s="8">
        <f t="shared" si="393"/>
        <v>-2.0320061285304836</v>
      </c>
      <c r="W47" s="624">
        <f t="shared" si="226"/>
        <v>62.747990940311013</v>
      </c>
      <c r="X47" s="5">
        <f t="shared" si="394"/>
        <v>3.1879096147353976</v>
      </c>
      <c r="Y47" s="7">
        <f t="shared" si="225"/>
        <v>-2.0320061285304836</v>
      </c>
      <c r="Z47" s="21">
        <f t="shared" si="245"/>
        <v>0.90145287856435807</v>
      </c>
      <c r="AA47" s="5">
        <f t="shared" si="246"/>
        <v>0.43287724325496241</v>
      </c>
      <c r="AB47" s="5">
        <f t="shared" si="247"/>
        <v>-1.300841922710724E-7</v>
      </c>
      <c r="AC47" s="8">
        <f t="shared" si="395"/>
        <v>1</v>
      </c>
      <c r="AD47" s="9">
        <f t="shared" si="396"/>
        <v>0.90145287856435807</v>
      </c>
      <c r="AE47" s="5">
        <f t="shared" si="397"/>
        <v>0.43287724325496241</v>
      </c>
      <c r="AF47" s="10">
        <f t="shared" si="398"/>
        <v>-1.300841922710724E-7</v>
      </c>
      <c r="AG47" s="622">
        <f t="shared" si="399"/>
        <v>89.999982782011969</v>
      </c>
      <c r="AH47" s="623">
        <f t="shared" si="400"/>
        <v>25.650296296557102</v>
      </c>
      <c r="AI47" s="624">
        <f t="shared" si="401"/>
        <v>-89.999992546724798</v>
      </c>
      <c r="AJ47" s="625">
        <f t="shared" si="402"/>
        <v>115.65029629655609</v>
      </c>
      <c r="AK47" s="4">
        <f t="shared" si="403"/>
        <v>0.8191520948772919</v>
      </c>
      <c r="AL47" s="5">
        <f t="shared" si="404"/>
        <v>-0.5735763641034447</v>
      </c>
      <c r="AM47" s="6">
        <f t="shared" si="405"/>
        <v>-1.300841922710724E-7</v>
      </c>
      <c r="AN47" s="612">
        <f t="shared" si="406"/>
        <v>-89.999987005609611</v>
      </c>
      <c r="AO47" s="613">
        <f t="shared" si="98"/>
        <v>34.999994946625968</v>
      </c>
      <c r="AP47" s="624">
        <f t="shared" si="407"/>
        <v>-34.999994946625279</v>
      </c>
      <c r="AQ47" s="625">
        <f t="shared" si="248"/>
        <v>3.8842719493504547</v>
      </c>
      <c r="AS47" s="56">
        <f t="shared" si="410"/>
        <v>-297.25200905968899</v>
      </c>
      <c r="AT47" s="77">
        <f t="shared" si="249"/>
        <v>-0.90112945100472452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5.1280000000000001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-1.5428575983425383</v>
      </c>
      <c r="C48" s="771">
        <v>1.8836420025708045</v>
      </c>
      <c r="D48" s="772">
        <v>-0.22396533958584128</v>
      </c>
      <c r="E48" s="773">
        <v>-0.81609452673604754</v>
      </c>
      <c r="F48" s="771">
        <v>-0.46166439734499587</v>
      </c>
      <c r="G48" s="774">
        <v>0.34764307508642917</v>
      </c>
      <c r="H48" s="773">
        <v>0.219</v>
      </c>
      <c r="I48" s="771">
        <v>0.42</v>
      </c>
      <c r="J48" s="601">
        <v>5.2130000000000001</v>
      </c>
      <c r="K48" s="426" t="str">
        <f t="shared" si="82"/>
        <v>1111</v>
      </c>
      <c r="L48" s="327"/>
      <c r="M48" s="173">
        <f t="shared" si="241"/>
        <v>5.2130000000000001</v>
      </c>
      <c r="N48" s="21">
        <f t="shared" si="242"/>
        <v>-1.5428575983425383</v>
      </c>
      <c r="O48" s="5">
        <f t="shared" si="243"/>
        <v>1.8836420025708045</v>
      </c>
      <c r="P48" s="10">
        <f t="shared" si="244"/>
        <v>-0.22396533958584128</v>
      </c>
      <c r="Q48" s="624">
        <f t="shared" si="116"/>
        <v>129.32029432285188</v>
      </c>
      <c r="R48" s="5">
        <f t="shared" si="83"/>
        <v>2.4348545670352175</v>
      </c>
      <c r="S48" s="6">
        <f t="shared" si="84"/>
        <v>-0.22396533958584128</v>
      </c>
      <c r="T48" s="4">
        <f t="shared" si="85"/>
        <v>1.8259055829813464</v>
      </c>
      <c r="U48" s="5">
        <f t="shared" si="86"/>
        <v>1.6107717295289878</v>
      </c>
      <c r="V48" s="8">
        <f t="shared" si="117"/>
        <v>-0.22396533958584128</v>
      </c>
      <c r="W48" s="624">
        <f t="shared" si="226"/>
        <v>41.417994019981506</v>
      </c>
      <c r="X48" s="5">
        <f t="shared" si="87"/>
        <v>2.4348545670352175</v>
      </c>
      <c r="Y48" s="7">
        <f t="shared" si="225"/>
        <v>-0.22396533958584128</v>
      </c>
      <c r="Z48" s="21">
        <f t="shared" si="245"/>
        <v>0.81609452673604754</v>
      </c>
      <c r="AA48" s="5">
        <f t="shared" si="246"/>
        <v>0.46166439734499587</v>
      </c>
      <c r="AB48" s="5">
        <f t="shared" si="247"/>
        <v>-0.34764307508642917</v>
      </c>
      <c r="AC48" s="8">
        <f t="shared" si="88"/>
        <v>1</v>
      </c>
      <c r="AD48" s="9">
        <f t="shared" si="118"/>
        <v>0.81609452673604754</v>
      </c>
      <c r="AE48" s="5">
        <f t="shared" si="89"/>
        <v>0.46166439734499587</v>
      </c>
      <c r="AF48" s="10">
        <f t="shared" si="90"/>
        <v>-0.34764307508642917</v>
      </c>
      <c r="AG48" s="622">
        <f t="shared" si="91"/>
        <v>53.019477900577073</v>
      </c>
      <c r="AH48" s="623">
        <f t="shared" si="92"/>
        <v>35.304269595026248</v>
      </c>
      <c r="AI48" s="624">
        <f t="shared" si="93"/>
        <v>-69.656777353792222</v>
      </c>
      <c r="AJ48" s="625">
        <f t="shared" si="94"/>
        <v>119.49682643334535</v>
      </c>
      <c r="AK48" s="4">
        <f t="shared" si="213"/>
        <v>0.92387955420894774</v>
      </c>
      <c r="AL48" s="5">
        <f t="shared" si="95"/>
        <v>-0.15997144013581754</v>
      </c>
      <c r="AM48" s="6">
        <f t="shared" si="96"/>
        <v>-0.34764307508642917</v>
      </c>
      <c r="AN48" s="612">
        <f t="shared" si="97"/>
        <v>-24.709996432317844</v>
      </c>
      <c r="AO48" s="613">
        <f t="shared" si="98"/>
        <v>22.499996751402389</v>
      </c>
      <c r="AP48" s="624">
        <f t="shared" si="99"/>
        <v>-9.8234678895065333</v>
      </c>
      <c r="AQ48" s="625">
        <f t="shared" si="248"/>
        <v>5.080056251896079</v>
      </c>
      <c r="AS48" s="56">
        <f t="shared" si="410"/>
        <v>-318.58200598001849</v>
      </c>
      <c r="AT48" s="77">
        <f t="shared" si="249"/>
        <v>0.98749132630560721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>
        <f>IFERROR(IF($IU48="","",IF($IU48&lt;(((Settings!$C$19/2)*-1)*$IE$8),"",1)),"")</f>
        <v>1</v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5.2130000000000001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0.113</v>
      </c>
      <c r="II48" s="800" cm="1">
        <f t="array" ref="II48">IFERROR(IF($IH48&lt;1,$IH48+LARGE((IF($M$9:$M$150="",0,$M$9:$M$150)-MOD(IF($M$9:$M$150="",0,$M$9:$M$150),1)),1),$IH48),"")</f>
        <v>5.1130000000000004</v>
      </c>
      <c r="IJ48" s="839" t="str">
        <f t="shared" si="385"/>
        <v>1313</v>
      </c>
      <c r="IK48" s="839" t="str">
        <f t="shared" si="386"/>
        <v>1111</v>
      </c>
      <c r="IL48" s="791">
        <f t="shared" si="227"/>
        <v>23.293796636791882</v>
      </c>
      <c r="IM48" s="830">
        <v>7.9420422015080601E-3</v>
      </c>
      <c r="IN48" s="5">
        <f t="shared" si="228"/>
        <v>0.14000000000000001</v>
      </c>
      <c r="IO48" s="852">
        <v>70</v>
      </c>
      <c r="IP48" s="9">
        <f t="shared" si="229"/>
        <v>-2.4109072712963302</v>
      </c>
      <c r="IQ48" s="5">
        <f t="shared" si="230"/>
        <v>-0.26520079984561234</v>
      </c>
      <c r="IR48" s="5">
        <f t="shared" si="387"/>
        <v>0.26600000000000001</v>
      </c>
      <c r="IS48" s="5">
        <f t="shared" si="231"/>
        <v>0.25838168003542</v>
      </c>
      <c r="IT48" s="791">
        <f t="shared" si="232"/>
        <v>49.713442342672444</v>
      </c>
      <c r="IU48" s="9">
        <f t="shared" si="233"/>
        <v>-2.4348545670352175</v>
      </c>
      <c r="IV48" s="5">
        <f t="shared" si="234"/>
        <v>-0.22396533958584128</v>
      </c>
      <c r="IW48" s="5">
        <f t="shared" si="388"/>
        <v>0.219</v>
      </c>
      <c r="IX48" s="5">
        <f t="shared" si="235"/>
        <v>0.20232962237175955</v>
      </c>
      <c r="IY48" s="833">
        <f t="shared" si="236"/>
        <v>24.709996432317844</v>
      </c>
    </row>
    <row r="49" spans="1:259" ht="15" customHeight="1" x14ac:dyDescent="0.25">
      <c r="A49" s="84">
        <f t="shared" si="81"/>
        <v>0</v>
      </c>
      <c r="B49" s="770"/>
      <c r="C49" s="771"/>
      <c r="D49" s="772"/>
      <c r="E49" s="773"/>
      <c r="F49" s="771"/>
      <c r="G49" s="774"/>
      <c r="H49" s="773"/>
      <c r="I49" s="771"/>
      <c r="J49" s="601"/>
      <c r="K49" s="426" t="str">
        <f t="shared" si="82"/>
        <v/>
      </c>
      <c r="L49" s="327"/>
      <c r="M49" s="173" t="str">
        <f t="shared" si="241"/>
        <v/>
      </c>
      <c r="N49" s="21" t="str">
        <f t="shared" si="242"/>
        <v/>
      </c>
      <c r="O49" s="5" t="str">
        <f t="shared" si="243"/>
        <v/>
      </c>
      <c r="P49" s="10" t="str">
        <f t="shared" si="244"/>
        <v/>
      </c>
      <c r="Q49" s="624" t="str">
        <f t="shared" si="116"/>
        <v/>
      </c>
      <c r="R49" s="5" t="str">
        <f t="shared" si="83"/>
        <v/>
      </c>
      <c r="S49" s="6" t="str">
        <f t="shared" si="84"/>
        <v/>
      </c>
      <c r="T49" s="4" t="str">
        <f t="shared" si="85"/>
        <v/>
      </c>
      <c r="U49" s="5" t="str">
        <f t="shared" si="86"/>
        <v/>
      </c>
      <c r="V49" s="8" t="str">
        <f t="shared" si="117"/>
        <v/>
      </c>
      <c r="W49" s="624" t="str">
        <f t="shared" si="226"/>
        <v/>
      </c>
      <c r="X49" s="5" t="str">
        <f t="shared" si="87"/>
        <v/>
      </c>
      <c r="Y49" s="7" t="str">
        <f t="shared" si="225"/>
        <v/>
      </c>
      <c r="Z49" s="21" t="str">
        <f t="shared" si="245"/>
        <v/>
      </c>
      <c r="AA49" s="5" t="str">
        <f t="shared" si="246"/>
        <v/>
      </c>
      <c r="AB49" s="5" t="str">
        <f t="shared" si="247"/>
        <v/>
      </c>
      <c r="AC49" s="8" t="str">
        <f t="shared" si="88"/>
        <v/>
      </c>
      <c r="AD49" s="9" t="str">
        <f t="shared" si="118"/>
        <v/>
      </c>
      <c r="AE49" s="5" t="str">
        <f t="shared" si="89"/>
        <v/>
      </c>
      <c r="AF49" s="10" t="str">
        <f t="shared" si="90"/>
        <v/>
      </c>
      <c r="AG49" s="622" t="str">
        <f t="shared" si="91"/>
        <v/>
      </c>
      <c r="AH49" s="623" t="str">
        <f t="shared" si="92"/>
        <v/>
      </c>
      <c r="AI49" s="624" t="str">
        <f t="shared" si="93"/>
        <v/>
      </c>
      <c r="AJ49" s="625" t="str">
        <f t="shared" si="94"/>
        <v/>
      </c>
      <c r="AK49" s="4" t="str">
        <f t="shared" si="213"/>
        <v/>
      </c>
      <c r="AL49" s="5" t="str">
        <f t="shared" si="95"/>
        <v/>
      </c>
      <c r="AM49" s="6" t="str">
        <f t="shared" si="96"/>
        <v/>
      </c>
      <c r="AN49" s="612" t="str">
        <f t="shared" si="97"/>
        <v/>
      </c>
      <c r="AO49" s="613" t="str">
        <f t="shared" si="98"/>
        <v/>
      </c>
      <c r="AP49" s="624" t="str">
        <f t="shared" si="99"/>
        <v/>
      </c>
      <c r="AQ49" s="625" t="str">
        <f t="shared" si="248"/>
        <v/>
      </c>
      <c r="AS49" s="56" t="str">
        <f t="shared" si="410"/>
        <v/>
      </c>
      <c r="AT49" s="77" t="str">
        <f t="shared" si="249"/>
        <v/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 t="str">
        <f t="shared" si="384"/>
        <v/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</v>
      </c>
      <c r="B50" s="770"/>
      <c r="C50" s="771"/>
      <c r="D50" s="772"/>
      <c r="E50" s="773"/>
      <c r="F50" s="771"/>
      <c r="G50" s="774"/>
      <c r="H50" s="773"/>
      <c r="I50" s="771"/>
      <c r="J50" s="601"/>
      <c r="K50" s="426" t="str">
        <f t="shared" si="82"/>
        <v/>
      </c>
      <c r="L50" s="327"/>
      <c r="M50" s="173" t="str">
        <f t="shared" si="241"/>
        <v/>
      </c>
      <c r="N50" s="21" t="str">
        <f t="shared" si="242"/>
        <v/>
      </c>
      <c r="O50" s="5" t="str">
        <f t="shared" si="243"/>
        <v/>
      </c>
      <c r="P50" s="10" t="str">
        <f t="shared" si="244"/>
        <v/>
      </c>
      <c r="Q50" s="624" t="str">
        <f t="shared" si="116"/>
        <v/>
      </c>
      <c r="R50" s="5" t="str">
        <f t="shared" si="83"/>
        <v/>
      </c>
      <c r="S50" s="6" t="str">
        <f t="shared" si="84"/>
        <v/>
      </c>
      <c r="T50" s="4" t="str">
        <f t="shared" si="85"/>
        <v/>
      </c>
      <c r="U50" s="5" t="str">
        <f t="shared" si="86"/>
        <v/>
      </c>
      <c r="V50" s="8" t="str">
        <f t="shared" si="117"/>
        <v/>
      </c>
      <c r="W50" s="624" t="str">
        <f t="shared" si="226"/>
        <v/>
      </c>
      <c r="X50" s="5" t="str">
        <f t="shared" si="87"/>
        <v/>
      </c>
      <c r="Y50" s="7" t="str">
        <f t="shared" si="225"/>
        <v/>
      </c>
      <c r="Z50" s="21" t="str">
        <f t="shared" si="245"/>
        <v/>
      </c>
      <c r="AA50" s="5" t="str">
        <f t="shared" si="246"/>
        <v/>
      </c>
      <c r="AB50" s="5" t="str">
        <f t="shared" si="247"/>
        <v/>
      </c>
      <c r="AC50" s="8" t="str">
        <f t="shared" si="88"/>
        <v/>
      </c>
      <c r="AD50" s="9" t="str">
        <f t="shared" si="118"/>
        <v/>
      </c>
      <c r="AE50" s="5" t="str">
        <f t="shared" si="89"/>
        <v/>
      </c>
      <c r="AF50" s="10" t="str">
        <f t="shared" si="90"/>
        <v/>
      </c>
      <c r="AG50" s="622" t="str">
        <f t="shared" si="91"/>
        <v/>
      </c>
      <c r="AH50" s="623" t="str">
        <f t="shared" si="92"/>
        <v/>
      </c>
      <c r="AI50" s="624" t="str">
        <f t="shared" si="93"/>
        <v/>
      </c>
      <c r="AJ50" s="625" t="str">
        <f t="shared" si="94"/>
        <v/>
      </c>
      <c r="AK50" s="4" t="str">
        <f t="shared" si="213"/>
        <v/>
      </c>
      <c r="AL50" s="5" t="str">
        <f t="shared" si="95"/>
        <v/>
      </c>
      <c r="AM50" s="6" t="str">
        <f t="shared" si="96"/>
        <v/>
      </c>
      <c r="AN50" s="612" t="str">
        <f t="shared" si="97"/>
        <v/>
      </c>
      <c r="AO50" s="613" t="str">
        <f t="shared" si="98"/>
        <v/>
      </c>
      <c r="AP50" s="624" t="str">
        <f t="shared" si="99"/>
        <v/>
      </c>
      <c r="AQ50" s="625" t="str">
        <f t="shared" si="248"/>
        <v/>
      </c>
      <c r="AS50" s="56" t="str">
        <f t="shared" si="410"/>
        <v/>
      </c>
      <c r="AT50" s="77" t="str">
        <f t="shared" si="249"/>
        <v/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 t="str">
        <f t="shared" si="384"/>
        <v/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</v>
      </c>
      <c r="B51" s="770"/>
      <c r="C51" s="771"/>
      <c r="D51" s="772"/>
      <c r="E51" s="773"/>
      <c r="F51" s="771"/>
      <c r="G51" s="774"/>
      <c r="H51" s="773"/>
      <c r="I51" s="771"/>
      <c r="J51" s="601"/>
      <c r="K51" s="426" t="str">
        <f t="shared" si="82"/>
        <v/>
      </c>
      <c r="L51" s="327"/>
      <c r="M51" s="173" t="str">
        <f t="shared" si="241"/>
        <v/>
      </c>
      <c r="N51" s="21" t="str">
        <f t="shared" si="242"/>
        <v/>
      </c>
      <c r="O51" s="5" t="str">
        <f t="shared" si="243"/>
        <v/>
      </c>
      <c r="P51" s="10" t="str">
        <f t="shared" si="244"/>
        <v/>
      </c>
      <c r="Q51" s="624" t="str">
        <f t="shared" si="116"/>
        <v/>
      </c>
      <c r="R51" s="5" t="str">
        <f t="shared" si="83"/>
        <v/>
      </c>
      <c r="S51" s="6" t="str">
        <f t="shared" si="84"/>
        <v/>
      </c>
      <c r="T51" s="4" t="str">
        <f t="shared" si="85"/>
        <v/>
      </c>
      <c r="U51" s="5" t="str">
        <f t="shared" si="86"/>
        <v/>
      </c>
      <c r="V51" s="8" t="str">
        <f t="shared" si="117"/>
        <v/>
      </c>
      <c r="W51" s="624" t="str">
        <f t="shared" si="226"/>
        <v/>
      </c>
      <c r="X51" s="5" t="str">
        <f t="shared" si="87"/>
        <v/>
      </c>
      <c r="Y51" s="7" t="str">
        <f t="shared" si="225"/>
        <v/>
      </c>
      <c r="Z51" s="21" t="str">
        <f t="shared" si="245"/>
        <v/>
      </c>
      <c r="AA51" s="5" t="str">
        <f t="shared" si="246"/>
        <v/>
      </c>
      <c r="AB51" s="5" t="str">
        <f t="shared" si="247"/>
        <v/>
      </c>
      <c r="AC51" s="8" t="str">
        <f t="shared" si="88"/>
        <v/>
      </c>
      <c r="AD51" s="9" t="str">
        <f t="shared" si="118"/>
        <v/>
      </c>
      <c r="AE51" s="5" t="str">
        <f t="shared" si="89"/>
        <v/>
      </c>
      <c r="AF51" s="10" t="str">
        <f t="shared" si="90"/>
        <v/>
      </c>
      <c r="AG51" s="622" t="str">
        <f t="shared" si="91"/>
        <v/>
      </c>
      <c r="AH51" s="623" t="str">
        <f t="shared" si="92"/>
        <v/>
      </c>
      <c r="AI51" s="624" t="str">
        <f t="shared" si="93"/>
        <v/>
      </c>
      <c r="AJ51" s="625" t="str">
        <f t="shared" si="94"/>
        <v/>
      </c>
      <c r="AK51" s="4" t="str">
        <f t="shared" si="213"/>
        <v/>
      </c>
      <c r="AL51" s="5" t="str">
        <f t="shared" si="95"/>
        <v/>
      </c>
      <c r="AM51" s="6" t="str">
        <f t="shared" si="96"/>
        <v/>
      </c>
      <c r="AN51" s="612" t="str">
        <f t="shared" si="97"/>
        <v/>
      </c>
      <c r="AO51" s="613" t="str">
        <f t="shared" si="98"/>
        <v/>
      </c>
      <c r="AP51" s="624" t="str">
        <f t="shared" si="99"/>
        <v/>
      </c>
      <c r="AQ51" s="625" t="str">
        <f t="shared" si="248"/>
        <v/>
      </c>
      <c r="AS51" s="56" t="str">
        <f t="shared" si="410"/>
        <v/>
      </c>
      <c r="AT51" s="77" t="str">
        <f t="shared" si="249"/>
        <v/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 t="str">
        <f t="shared" si="384"/>
        <v/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</v>
      </c>
      <c r="B52" s="770"/>
      <c r="C52" s="771"/>
      <c r="D52" s="772"/>
      <c r="E52" s="773"/>
      <c r="F52" s="771"/>
      <c r="G52" s="774"/>
      <c r="H52" s="773"/>
      <c r="I52" s="771"/>
      <c r="J52" s="601"/>
      <c r="K52" s="426" t="str">
        <f t="shared" si="82"/>
        <v/>
      </c>
      <c r="L52" s="327"/>
      <c r="M52" s="173" t="str">
        <f t="shared" si="241"/>
        <v/>
      </c>
      <c r="N52" s="21" t="str">
        <f t="shared" si="242"/>
        <v/>
      </c>
      <c r="O52" s="5" t="str">
        <f t="shared" si="243"/>
        <v/>
      </c>
      <c r="P52" s="10" t="str">
        <f t="shared" si="244"/>
        <v/>
      </c>
      <c r="Q52" s="624" t="str">
        <f t="shared" si="116"/>
        <v/>
      </c>
      <c r="R52" s="5" t="str">
        <f t="shared" si="83"/>
        <v/>
      </c>
      <c r="S52" s="6" t="str">
        <f t="shared" si="84"/>
        <v/>
      </c>
      <c r="T52" s="4" t="str">
        <f t="shared" si="85"/>
        <v/>
      </c>
      <c r="U52" s="5" t="str">
        <f t="shared" si="86"/>
        <v/>
      </c>
      <c r="V52" s="8" t="str">
        <f t="shared" si="117"/>
        <v/>
      </c>
      <c r="W52" s="624" t="str">
        <f t="shared" si="226"/>
        <v/>
      </c>
      <c r="X52" s="5" t="str">
        <f t="shared" si="87"/>
        <v/>
      </c>
      <c r="Y52" s="7" t="str">
        <f t="shared" si="225"/>
        <v/>
      </c>
      <c r="Z52" s="21" t="str">
        <f t="shared" si="245"/>
        <v/>
      </c>
      <c r="AA52" s="5" t="str">
        <f t="shared" si="246"/>
        <v/>
      </c>
      <c r="AB52" s="5" t="str">
        <f t="shared" si="247"/>
        <v/>
      </c>
      <c r="AC52" s="8" t="str">
        <f t="shared" si="88"/>
        <v/>
      </c>
      <c r="AD52" s="9" t="str">
        <f t="shared" si="118"/>
        <v/>
      </c>
      <c r="AE52" s="5" t="str">
        <f t="shared" si="89"/>
        <v/>
      </c>
      <c r="AF52" s="10" t="str">
        <f t="shared" si="90"/>
        <v/>
      </c>
      <c r="AG52" s="622" t="str">
        <f t="shared" si="91"/>
        <v/>
      </c>
      <c r="AH52" s="623" t="str">
        <f t="shared" si="92"/>
        <v/>
      </c>
      <c r="AI52" s="624" t="str">
        <f t="shared" si="93"/>
        <v/>
      </c>
      <c r="AJ52" s="625" t="str">
        <f t="shared" si="94"/>
        <v/>
      </c>
      <c r="AK52" s="4" t="str">
        <f t="shared" si="213"/>
        <v/>
      </c>
      <c r="AL52" s="5" t="str">
        <f t="shared" si="95"/>
        <v/>
      </c>
      <c r="AM52" s="6" t="str">
        <f t="shared" si="96"/>
        <v/>
      </c>
      <c r="AN52" s="612" t="str">
        <f t="shared" si="97"/>
        <v/>
      </c>
      <c r="AO52" s="613" t="str">
        <f t="shared" si="98"/>
        <v/>
      </c>
      <c r="AP52" s="624" t="str">
        <f t="shared" si="99"/>
        <v/>
      </c>
      <c r="AQ52" s="625" t="str">
        <f t="shared" si="248"/>
        <v/>
      </c>
      <c r="AS52" s="56" t="str">
        <f t="shared" si="410"/>
        <v/>
      </c>
      <c r="AT52" s="77" t="str">
        <f t="shared" si="249"/>
        <v/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 t="str">
        <f t="shared" si="384"/>
        <v/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</v>
      </c>
      <c r="B53" s="770"/>
      <c r="C53" s="771"/>
      <c r="D53" s="772"/>
      <c r="E53" s="773"/>
      <c r="F53" s="771"/>
      <c r="G53" s="774"/>
      <c r="H53" s="773"/>
      <c r="I53" s="771"/>
      <c r="J53" s="601"/>
      <c r="K53" s="426" t="str">
        <f t="shared" si="82"/>
        <v/>
      </c>
      <c r="L53" s="327"/>
      <c r="M53" s="173" t="str">
        <f t="shared" si="241"/>
        <v/>
      </c>
      <c r="N53" s="21" t="str">
        <f t="shared" si="242"/>
        <v/>
      </c>
      <c r="O53" s="5" t="str">
        <f t="shared" si="243"/>
        <v/>
      </c>
      <c r="P53" s="10" t="str">
        <f t="shared" si="244"/>
        <v/>
      </c>
      <c r="Q53" s="624" t="str">
        <f t="shared" si="116"/>
        <v/>
      </c>
      <c r="R53" s="5" t="str">
        <f t="shared" ref="R53:R58" si="414">IF(M53="","",SQRT(N53^2+O53^2))</f>
        <v/>
      </c>
      <c r="S53" s="6" t="str">
        <f t="shared" ref="S53:S58" si="415">IF(M53="","",P53)</f>
        <v/>
      </c>
      <c r="T53" s="4" t="str">
        <f t="shared" ref="T53:T58" si="416">IF(M53="","",X53*COS(RADIANS(W53)))</f>
        <v/>
      </c>
      <c r="U53" s="5" t="str">
        <f t="shared" ref="U53:U58" si="417">IF(M53="","",X53*SIN(RADIANS(W53)))</f>
        <v/>
      </c>
      <c r="V53" s="8" t="str">
        <f t="shared" ref="V53:V58" si="418">IF(M53="","",Y53)</f>
        <v/>
      </c>
      <c r="W53" s="624" t="str">
        <f t="shared" si="226"/>
        <v/>
      </c>
      <c r="X53" s="5" t="str">
        <f t="shared" ref="X53:X58" si="419">IF(M53="","",R53)</f>
        <v/>
      </c>
      <c r="Y53" s="7" t="str">
        <f t="shared" si="225"/>
        <v/>
      </c>
      <c r="Z53" s="21" t="str">
        <f t="shared" si="245"/>
        <v/>
      </c>
      <c r="AA53" s="5" t="str">
        <f t="shared" si="246"/>
        <v/>
      </c>
      <c r="AB53" s="5" t="str">
        <f t="shared" si="247"/>
        <v/>
      </c>
      <c r="AC53" s="8" t="str">
        <f t="shared" ref="AC53:AC58" si="420">IF(M53="","",SQRT(Z53^2+AA53^2+AB53^2))</f>
        <v/>
      </c>
      <c r="AD53" s="9" t="str">
        <f t="shared" ref="AD53:AD58" si="421">IF(M53="","",Z53*(1/SQRT(Z53^2+AA53^2+AB53^2)))</f>
        <v/>
      </c>
      <c r="AE53" s="5" t="str">
        <f t="shared" ref="AE53:AE58" si="422">IF(M53="","",AA53*(1/SQRT(Z53^2+AA53^2+AB53^2)))</f>
        <v/>
      </c>
      <c r="AF53" s="10" t="str">
        <f t="shared" ref="AF53:AF58" si="423">IF(M53="","",AB53*(1/SQRT(Z53^2+AA53^2+AB53^2)))</f>
        <v/>
      </c>
      <c r="AG53" s="622" t="str">
        <f t="shared" ref="AG53:AG58" si="424">IF(M53="","",DEGREES(ATAN2(-AF53,AE53)))</f>
        <v/>
      </c>
      <c r="AH53" s="623" t="str">
        <f t="shared" ref="AH53:AH58" si="425">IF(M53="","",DEGREES(ACOS(AD53)))</f>
        <v/>
      </c>
      <c r="AI53" s="624" t="str">
        <f t="shared" ref="AI53:AI58" si="426">IF(M53="","",DEGREES(-ACOS(-AF53)))</f>
        <v/>
      </c>
      <c r="AJ53" s="625" t="str">
        <f t="shared" ref="AJ53:AJ58" si="427">IF(M53="","",DEGREES(ATAN2(-AE53,AD53)))</f>
        <v/>
      </c>
      <c r="AK53" s="4" t="str">
        <f t="shared" ref="AK53:AK58" si="428">IF(M53="","",(COS(RADIANS((90-$Q$8)-W53))*AD53)+(-SIN(RADIANS((90-$Q$8)-W53))*AE53))</f>
        <v/>
      </c>
      <c r="AL53" s="5" t="str">
        <f t="shared" ref="AL53:AL58" si="429">IF(M53="","",(SIN(RADIANS((90-$Q$8)-W53))*AD53)+(COS(RADIANS((90-$Q$8)-W53))*AE53))</f>
        <v/>
      </c>
      <c r="AM53" s="6" t="str">
        <f t="shared" ref="AM53:AM58" si="430">IF(M53="","",AF53)</f>
        <v/>
      </c>
      <c r="AN53" s="612" t="str">
        <f t="shared" ref="AN53:AN58" si="431">IF(M53="","",DEGREES(ATAN2(-AM53,AL53)))</f>
        <v/>
      </c>
      <c r="AO53" s="613" t="str">
        <f t="shared" si="98"/>
        <v/>
      </c>
      <c r="AP53" s="624" t="str">
        <f t="shared" ref="AP53:AP58" si="432">IF(M53="","",DEGREES(ATAN2(AK53,AL53)))</f>
        <v/>
      </c>
      <c r="AQ53" s="625" t="str">
        <f t="shared" si="248"/>
        <v/>
      </c>
      <c r="AS53" s="56" t="str">
        <f t="shared" si="410"/>
        <v/>
      </c>
      <c r="AT53" s="77" t="str">
        <f t="shared" si="249"/>
        <v/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 t="str">
        <f t="shared" si="384"/>
        <v/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</v>
      </c>
      <c r="B54" s="770"/>
      <c r="C54" s="771"/>
      <c r="D54" s="772"/>
      <c r="E54" s="773"/>
      <c r="F54" s="771"/>
      <c r="G54" s="774"/>
      <c r="H54" s="773"/>
      <c r="I54" s="771"/>
      <c r="J54" s="601"/>
      <c r="K54" s="426" t="str">
        <f t="shared" si="82"/>
        <v/>
      </c>
      <c r="L54" s="327"/>
      <c r="M54" s="173" t="str">
        <f t="shared" si="241"/>
        <v/>
      </c>
      <c r="N54" s="21" t="str">
        <f t="shared" si="242"/>
        <v/>
      </c>
      <c r="O54" s="5" t="str">
        <f t="shared" si="243"/>
        <v/>
      </c>
      <c r="P54" s="10" t="str">
        <f t="shared" si="244"/>
        <v/>
      </c>
      <c r="Q54" s="624" t="str">
        <f t="shared" si="116"/>
        <v/>
      </c>
      <c r="R54" s="5" t="str">
        <f t="shared" si="414"/>
        <v/>
      </c>
      <c r="S54" s="6" t="str">
        <f t="shared" si="415"/>
        <v/>
      </c>
      <c r="T54" s="4" t="str">
        <f t="shared" si="416"/>
        <v/>
      </c>
      <c r="U54" s="5" t="str">
        <f t="shared" si="417"/>
        <v/>
      </c>
      <c r="V54" s="8" t="str">
        <f t="shared" si="418"/>
        <v/>
      </c>
      <c r="W54" s="624" t="str">
        <f t="shared" si="226"/>
        <v/>
      </c>
      <c r="X54" s="5" t="str">
        <f t="shared" si="419"/>
        <v/>
      </c>
      <c r="Y54" s="7" t="str">
        <f t="shared" si="225"/>
        <v/>
      </c>
      <c r="Z54" s="21" t="str">
        <f t="shared" si="245"/>
        <v/>
      </c>
      <c r="AA54" s="5" t="str">
        <f t="shared" si="246"/>
        <v/>
      </c>
      <c r="AB54" s="5" t="str">
        <f t="shared" si="247"/>
        <v/>
      </c>
      <c r="AC54" s="8" t="str">
        <f t="shared" si="420"/>
        <v/>
      </c>
      <c r="AD54" s="9" t="str">
        <f t="shared" si="421"/>
        <v/>
      </c>
      <c r="AE54" s="5" t="str">
        <f t="shared" si="422"/>
        <v/>
      </c>
      <c r="AF54" s="10" t="str">
        <f t="shared" si="423"/>
        <v/>
      </c>
      <c r="AG54" s="622" t="str">
        <f t="shared" si="424"/>
        <v/>
      </c>
      <c r="AH54" s="623" t="str">
        <f t="shared" si="425"/>
        <v/>
      </c>
      <c r="AI54" s="624" t="str">
        <f t="shared" si="426"/>
        <v/>
      </c>
      <c r="AJ54" s="625" t="str">
        <f t="shared" si="427"/>
        <v/>
      </c>
      <c r="AK54" s="4" t="str">
        <f t="shared" si="428"/>
        <v/>
      </c>
      <c r="AL54" s="5" t="str">
        <f t="shared" si="429"/>
        <v/>
      </c>
      <c r="AM54" s="6" t="str">
        <f t="shared" si="430"/>
        <v/>
      </c>
      <c r="AN54" s="612" t="str">
        <f t="shared" si="431"/>
        <v/>
      </c>
      <c r="AO54" s="613" t="str">
        <f t="shared" si="98"/>
        <v/>
      </c>
      <c r="AP54" s="624" t="str">
        <f t="shared" si="432"/>
        <v/>
      </c>
      <c r="AQ54" s="625" t="str">
        <f t="shared" si="248"/>
        <v/>
      </c>
      <c r="AS54" s="56" t="str">
        <f t="shared" si="410"/>
        <v/>
      </c>
      <c r="AT54" s="77" t="str">
        <f t="shared" si="249"/>
        <v/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 t="str">
        <f t="shared" si="384"/>
        <v/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</v>
      </c>
      <c r="B55" s="770"/>
      <c r="C55" s="771"/>
      <c r="D55" s="772"/>
      <c r="E55" s="773"/>
      <c r="F55" s="771"/>
      <c r="G55" s="774"/>
      <c r="H55" s="773"/>
      <c r="I55" s="771"/>
      <c r="J55" s="601"/>
      <c r="K55" s="426" t="str">
        <f t="shared" si="82"/>
        <v/>
      </c>
      <c r="L55" s="327"/>
      <c r="M55" s="173" t="str">
        <f t="shared" si="241"/>
        <v/>
      </c>
      <c r="N55" s="21" t="str">
        <f t="shared" si="242"/>
        <v/>
      </c>
      <c r="O55" s="5" t="str">
        <f t="shared" si="243"/>
        <v/>
      </c>
      <c r="P55" s="10" t="str">
        <f t="shared" si="244"/>
        <v/>
      </c>
      <c r="Q55" s="624" t="str">
        <f t="shared" si="116"/>
        <v/>
      </c>
      <c r="R55" s="5" t="str">
        <f t="shared" si="414"/>
        <v/>
      </c>
      <c r="S55" s="6" t="str">
        <f t="shared" si="415"/>
        <v/>
      </c>
      <c r="T55" s="4" t="str">
        <f t="shared" si="416"/>
        <v/>
      </c>
      <c r="U55" s="5" t="str">
        <f t="shared" si="417"/>
        <v/>
      </c>
      <c r="V55" s="8" t="str">
        <f t="shared" si="418"/>
        <v/>
      </c>
      <c r="W55" s="624" t="str">
        <f t="shared" si="226"/>
        <v/>
      </c>
      <c r="X55" s="5" t="str">
        <f t="shared" si="419"/>
        <v/>
      </c>
      <c r="Y55" s="7" t="str">
        <f t="shared" si="225"/>
        <v/>
      </c>
      <c r="Z55" s="21" t="str">
        <f t="shared" si="245"/>
        <v/>
      </c>
      <c r="AA55" s="5" t="str">
        <f t="shared" si="246"/>
        <v/>
      </c>
      <c r="AB55" s="5" t="str">
        <f t="shared" si="247"/>
        <v/>
      </c>
      <c r="AC55" s="8" t="str">
        <f t="shared" si="420"/>
        <v/>
      </c>
      <c r="AD55" s="9" t="str">
        <f t="shared" si="421"/>
        <v/>
      </c>
      <c r="AE55" s="5" t="str">
        <f t="shared" si="422"/>
        <v/>
      </c>
      <c r="AF55" s="10" t="str">
        <f t="shared" si="423"/>
        <v/>
      </c>
      <c r="AG55" s="622" t="str">
        <f t="shared" si="424"/>
        <v/>
      </c>
      <c r="AH55" s="623" t="str">
        <f t="shared" si="425"/>
        <v/>
      </c>
      <c r="AI55" s="624" t="str">
        <f t="shared" si="426"/>
        <v/>
      </c>
      <c r="AJ55" s="625" t="str">
        <f t="shared" si="427"/>
        <v/>
      </c>
      <c r="AK55" s="4" t="str">
        <f t="shared" si="428"/>
        <v/>
      </c>
      <c r="AL55" s="5" t="str">
        <f t="shared" si="429"/>
        <v/>
      </c>
      <c r="AM55" s="6" t="str">
        <f t="shared" si="430"/>
        <v/>
      </c>
      <c r="AN55" s="612" t="str">
        <f t="shared" si="431"/>
        <v/>
      </c>
      <c r="AO55" s="613" t="str">
        <f>IF(ROUND(IF(M55="",0,DEGREES(ACOS(AK55))),4)=90,0,IF(M55="","",DEGREES(ACOS(AK55))))</f>
        <v/>
      </c>
      <c r="AP55" s="624" t="str">
        <f t="shared" si="432"/>
        <v/>
      </c>
      <c r="AQ55" s="625" t="str">
        <f t="shared" si="248"/>
        <v/>
      </c>
      <c r="AS55" s="56" t="str">
        <f t="shared" si="410"/>
        <v/>
      </c>
      <c r="AT55" s="77" t="str">
        <f t="shared" si="249"/>
        <v/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 t="str">
        <f t="shared" si="384"/>
        <v/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</v>
      </c>
      <c r="B56" s="770"/>
      <c r="C56" s="771"/>
      <c r="D56" s="772"/>
      <c r="E56" s="773"/>
      <c r="F56" s="771"/>
      <c r="G56" s="774"/>
      <c r="H56" s="773"/>
      <c r="I56" s="771"/>
      <c r="J56" s="601"/>
      <c r="K56" s="426" t="str">
        <f t="shared" si="82"/>
        <v/>
      </c>
      <c r="L56" s="327"/>
      <c r="M56" s="173" t="str">
        <f t="shared" si="241"/>
        <v/>
      </c>
      <c r="N56" s="21" t="str">
        <f t="shared" si="242"/>
        <v/>
      </c>
      <c r="O56" s="5" t="str">
        <f t="shared" si="243"/>
        <v/>
      </c>
      <c r="P56" s="10" t="str">
        <f t="shared" si="244"/>
        <v/>
      </c>
      <c r="Q56" s="624" t="str">
        <f t="shared" si="116"/>
        <v/>
      </c>
      <c r="R56" s="5" t="str">
        <f t="shared" si="414"/>
        <v/>
      </c>
      <c r="S56" s="6" t="str">
        <f t="shared" si="415"/>
        <v/>
      </c>
      <c r="T56" s="4" t="str">
        <f t="shared" si="416"/>
        <v/>
      </c>
      <c r="U56" s="5" t="str">
        <f t="shared" si="417"/>
        <v/>
      </c>
      <c r="V56" s="8" t="str">
        <f t="shared" si="418"/>
        <v/>
      </c>
      <c r="W56" s="624" t="str">
        <f t="shared" si="226"/>
        <v/>
      </c>
      <c r="X56" s="5" t="str">
        <f t="shared" si="419"/>
        <v/>
      </c>
      <c r="Y56" s="7" t="str">
        <f t="shared" si="225"/>
        <v/>
      </c>
      <c r="Z56" s="21" t="str">
        <f t="shared" si="245"/>
        <v/>
      </c>
      <c r="AA56" s="5" t="str">
        <f t="shared" si="246"/>
        <v/>
      </c>
      <c r="AB56" s="5" t="str">
        <f t="shared" si="247"/>
        <v/>
      </c>
      <c r="AC56" s="8" t="str">
        <f t="shared" si="420"/>
        <v/>
      </c>
      <c r="AD56" s="9" t="str">
        <f t="shared" si="421"/>
        <v/>
      </c>
      <c r="AE56" s="5" t="str">
        <f t="shared" si="422"/>
        <v/>
      </c>
      <c r="AF56" s="10" t="str">
        <f t="shared" si="423"/>
        <v/>
      </c>
      <c r="AG56" s="622" t="str">
        <f t="shared" si="424"/>
        <v/>
      </c>
      <c r="AH56" s="623" t="str">
        <f t="shared" si="425"/>
        <v/>
      </c>
      <c r="AI56" s="624" t="str">
        <f t="shared" si="426"/>
        <v/>
      </c>
      <c r="AJ56" s="625" t="str">
        <f t="shared" si="427"/>
        <v/>
      </c>
      <c r="AK56" s="4" t="str">
        <f t="shared" si="428"/>
        <v/>
      </c>
      <c r="AL56" s="5" t="str">
        <f t="shared" si="429"/>
        <v/>
      </c>
      <c r="AM56" s="6" t="str">
        <f t="shared" si="430"/>
        <v/>
      </c>
      <c r="AN56" s="612" t="str">
        <f t="shared" si="431"/>
        <v/>
      </c>
      <c r="AO56" s="613" t="str">
        <f t="shared" ref="AO56:AO119" si="465">IF(ROUND(IF(M56="",0,DEGREES(ACOS(AK56))),4)=90,0,IF(M56="","",DEGREES(ACOS(AK56))))</f>
        <v/>
      </c>
      <c r="AP56" s="624" t="str">
        <f t="shared" si="432"/>
        <v/>
      </c>
      <c r="AQ56" s="625" t="str">
        <f t="shared" si="248"/>
        <v/>
      </c>
      <c r="AS56" s="56" t="str">
        <f t="shared" si="410"/>
        <v/>
      </c>
      <c r="AT56" s="77" t="str">
        <f t="shared" si="249"/>
        <v/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 t="str">
        <f t="shared" si="384"/>
        <v/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</v>
      </c>
      <c r="B57" s="770"/>
      <c r="C57" s="771"/>
      <c r="D57" s="772"/>
      <c r="E57" s="773"/>
      <c r="F57" s="771"/>
      <c r="G57" s="774"/>
      <c r="H57" s="773"/>
      <c r="I57" s="771"/>
      <c r="J57" s="601"/>
      <c r="K57" s="426" t="str">
        <f t="shared" si="82"/>
        <v/>
      </c>
      <c r="L57" s="327"/>
      <c r="M57" s="173" t="str">
        <f t="shared" si="241"/>
        <v/>
      </c>
      <c r="N57" s="21" t="str">
        <f t="shared" si="242"/>
        <v/>
      </c>
      <c r="O57" s="5" t="str">
        <f t="shared" si="243"/>
        <v/>
      </c>
      <c r="P57" s="10" t="str">
        <f t="shared" si="244"/>
        <v/>
      </c>
      <c r="Q57" s="624" t="str">
        <f t="shared" si="116"/>
        <v/>
      </c>
      <c r="R57" s="5" t="str">
        <f t="shared" si="414"/>
        <v/>
      </c>
      <c r="S57" s="6" t="str">
        <f t="shared" si="415"/>
        <v/>
      </c>
      <c r="T57" s="4" t="str">
        <f t="shared" si="416"/>
        <v/>
      </c>
      <c r="U57" s="5" t="str">
        <f t="shared" si="417"/>
        <v/>
      </c>
      <c r="V57" s="8" t="str">
        <f t="shared" si="418"/>
        <v/>
      </c>
      <c r="W57" s="624" t="str">
        <f t="shared" si="226"/>
        <v/>
      </c>
      <c r="X57" s="5" t="str">
        <f t="shared" si="419"/>
        <v/>
      </c>
      <c r="Y57" s="7" t="str">
        <f t="shared" si="225"/>
        <v/>
      </c>
      <c r="Z57" s="21" t="str">
        <f t="shared" si="245"/>
        <v/>
      </c>
      <c r="AA57" s="5" t="str">
        <f t="shared" si="246"/>
        <v/>
      </c>
      <c r="AB57" s="5" t="str">
        <f t="shared" si="247"/>
        <v/>
      </c>
      <c r="AC57" s="8" t="str">
        <f t="shared" si="420"/>
        <v/>
      </c>
      <c r="AD57" s="9" t="str">
        <f t="shared" si="421"/>
        <v/>
      </c>
      <c r="AE57" s="5" t="str">
        <f t="shared" si="422"/>
        <v/>
      </c>
      <c r="AF57" s="10" t="str">
        <f t="shared" si="423"/>
        <v/>
      </c>
      <c r="AG57" s="622" t="str">
        <f t="shared" si="424"/>
        <v/>
      </c>
      <c r="AH57" s="623" t="str">
        <f t="shared" si="425"/>
        <v/>
      </c>
      <c r="AI57" s="624" t="str">
        <f t="shared" si="426"/>
        <v/>
      </c>
      <c r="AJ57" s="625" t="str">
        <f t="shared" si="427"/>
        <v/>
      </c>
      <c r="AK57" s="4" t="str">
        <f t="shared" si="428"/>
        <v/>
      </c>
      <c r="AL57" s="5" t="str">
        <f t="shared" si="429"/>
        <v/>
      </c>
      <c r="AM57" s="6" t="str">
        <f t="shared" si="430"/>
        <v/>
      </c>
      <c r="AN57" s="612" t="str">
        <f t="shared" si="431"/>
        <v/>
      </c>
      <c r="AO57" s="613" t="str">
        <f t="shared" si="465"/>
        <v/>
      </c>
      <c r="AP57" s="624" t="str">
        <f t="shared" si="432"/>
        <v/>
      </c>
      <c r="AQ57" s="625" t="str">
        <f t="shared" si="248"/>
        <v/>
      </c>
      <c r="AS57" s="56" t="str">
        <f t="shared" si="410"/>
        <v/>
      </c>
      <c r="AT57" s="77" t="str">
        <f t="shared" si="249"/>
        <v/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 t="str">
        <f t="shared" si="384"/>
        <v/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82"/>
        <v/>
      </c>
      <c r="L58" s="327"/>
      <c r="M58" s="173" t="str">
        <f t="shared" si="241"/>
        <v/>
      </c>
      <c r="N58" s="21" t="str">
        <f t="shared" si="242"/>
        <v/>
      </c>
      <c r="O58" s="5" t="str">
        <f t="shared" si="243"/>
        <v/>
      </c>
      <c r="P58" s="10" t="str">
        <f t="shared" si="244"/>
        <v/>
      </c>
      <c r="Q58" s="624" t="str">
        <f t="shared" si="116"/>
        <v/>
      </c>
      <c r="R58" s="5" t="str">
        <f t="shared" si="414"/>
        <v/>
      </c>
      <c r="S58" s="6" t="str">
        <f t="shared" si="415"/>
        <v/>
      </c>
      <c r="T58" s="4" t="str">
        <f t="shared" si="416"/>
        <v/>
      </c>
      <c r="U58" s="5" t="str">
        <f t="shared" si="417"/>
        <v/>
      </c>
      <c r="V58" s="8" t="str">
        <f t="shared" si="418"/>
        <v/>
      </c>
      <c r="W58" s="624" t="str">
        <f t="shared" si="226"/>
        <v/>
      </c>
      <c r="X58" s="5" t="str">
        <f t="shared" si="419"/>
        <v/>
      </c>
      <c r="Y58" s="7" t="str">
        <f t="shared" si="225"/>
        <v/>
      </c>
      <c r="Z58" s="21" t="str">
        <f t="shared" si="245"/>
        <v/>
      </c>
      <c r="AA58" s="5" t="str">
        <f t="shared" si="246"/>
        <v/>
      </c>
      <c r="AB58" s="5" t="str">
        <f t="shared" si="247"/>
        <v/>
      </c>
      <c r="AC58" s="8" t="str">
        <f t="shared" si="420"/>
        <v/>
      </c>
      <c r="AD58" s="9" t="str">
        <f t="shared" si="421"/>
        <v/>
      </c>
      <c r="AE58" s="5" t="str">
        <f t="shared" si="422"/>
        <v/>
      </c>
      <c r="AF58" s="10" t="str">
        <f t="shared" si="423"/>
        <v/>
      </c>
      <c r="AG58" s="622" t="str">
        <f t="shared" si="424"/>
        <v/>
      </c>
      <c r="AH58" s="623" t="str">
        <f t="shared" si="425"/>
        <v/>
      </c>
      <c r="AI58" s="624" t="str">
        <f t="shared" si="426"/>
        <v/>
      </c>
      <c r="AJ58" s="625" t="str">
        <f t="shared" si="427"/>
        <v/>
      </c>
      <c r="AK58" s="4" t="str">
        <f t="shared" si="428"/>
        <v/>
      </c>
      <c r="AL58" s="5" t="str">
        <f t="shared" si="429"/>
        <v/>
      </c>
      <c r="AM58" s="6" t="str">
        <f t="shared" si="430"/>
        <v/>
      </c>
      <c r="AN58" s="612" t="str">
        <f t="shared" si="431"/>
        <v/>
      </c>
      <c r="AO58" s="613" t="str">
        <f t="shared" si="465"/>
        <v/>
      </c>
      <c r="AP58" s="624" t="str">
        <f t="shared" si="432"/>
        <v/>
      </c>
      <c r="AQ58" s="625" t="str">
        <f t="shared" si="248"/>
        <v/>
      </c>
      <c r="AS58" s="56" t="str">
        <f t="shared" si="410"/>
        <v/>
      </c>
      <c r="AT58" s="77" t="str">
        <f t="shared" si="249"/>
        <v/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 t="str">
        <f t="shared" si="384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82"/>
        <v/>
      </c>
      <c r="L59" s="327"/>
      <c r="M59" s="173" t="str">
        <f t="shared" si="241"/>
        <v/>
      </c>
      <c r="N59" s="21" t="str">
        <f t="shared" si="242"/>
        <v/>
      </c>
      <c r="O59" s="5" t="str">
        <f t="shared" si="243"/>
        <v/>
      </c>
      <c r="P59" s="10" t="str">
        <f t="shared" si="244"/>
        <v/>
      </c>
      <c r="Q59" s="624" t="str">
        <f t="shared" si="116"/>
        <v/>
      </c>
      <c r="R59" s="5" t="str">
        <f t="shared" si="83"/>
        <v/>
      </c>
      <c r="S59" s="6" t="str">
        <f t="shared" si="84"/>
        <v/>
      </c>
      <c r="T59" s="4" t="str">
        <f t="shared" si="85"/>
        <v/>
      </c>
      <c r="U59" s="5" t="str">
        <f t="shared" si="86"/>
        <v/>
      </c>
      <c r="V59" s="8" t="str">
        <f t="shared" si="117"/>
        <v/>
      </c>
      <c r="W59" s="624" t="str">
        <f t="shared" si="226"/>
        <v/>
      </c>
      <c r="X59" s="5" t="str">
        <f t="shared" si="87"/>
        <v/>
      </c>
      <c r="Y59" s="7" t="str">
        <f t="shared" si="225"/>
        <v/>
      </c>
      <c r="Z59" s="21" t="str">
        <f t="shared" si="245"/>
        <v/>
      </c>
      <c r="AA59" s="5" t="str">
        <f t="shared" si="246"/>
        <v/>
      </c>
      <c r="AB59" s="5" t="str">
        <f t="shared" si="247"/>
        <v/>
      </c>
      <c r="AC59" s="8" t="str">
        <f t="shared" si="88"/>
        <v/>
      </c>
      <c r="AD59" s="9" t="str">
        <f t="shared" si="118"/>
        <v/>
      </c>
      <c r="AE59" s="5" t="str">
        <f t="shared" si="89"/>
        <v/>
      </c>
      <c r="AF59" s="10" t="str">
        <f t="shared" si="90"/>
        <v/>
      </c>
      <c r="AG59" s="622" t="str">
        <f t="shared" si="91"/>
        <v/>
      </c>
      <c r="AH59" s="623" t="str">
        <f t="shared" si="92"/>
        <v/>
      </c>
      <c r="AI59" s="624" t="str">
        <f t="shared" si="93"/>
        <v/>
      </c>
      <c r="AJ59" s="625" t="str">
        <f t="shared" si="94"/>
        <v/>
      </c>
      <c r="AK59" s="4" t="str">
        <f t="shared" si="213"/>
        <v/>
      </c>
      <c r="AL59" s="5" t="str">
        <f t="shared" si="95"/>
        <v/>
      </c>
      <c r="AM59" s="6" t="str">
        <f t="shared" si="96"/>
        <v/>
      </c>
      <c r="AN59" s="612" t="str">
        <f t="shared" si="97"/>
        <v/>
      </c>
      <c r="AO59" s="613" t="str">
        <f t="shared" si="465"/>
        <v/>
      </c>
      <c r="AP59" s="624" t="str">
        <f t="shared" si="99"/>
        <v/>
      </c>
      <c r="AQ59" s="625" t="str">
        <f t="shared" si="248"/>
        <v/>
      </c>
      <c r="AS59" s="56" t="str">
        <f t="shared" si="410"/>
        <v/>
      </c>
      <c r="AT59" s="77" t="str">
        <f t="shared" si="249"/>
        <v/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 t="str">
        <f t="shared" si="384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82"/>
        <v/>
      </c>
      <c r="L60" s="327"/>
      <c r="M60" s="173" t="str">
        <f t="shared" si="241"/>
        <v/>
      </c>
      <c r="N60" s="21" t="str">
        <f t="shared" si="242"/>
        <v/>
      </c>
      <c r="O60" s="5" t="str">
        <f t="shared" si="243"/>
        <v/>
      </c>
      <c r="P60" s="10" t="str">
        <f t="shared" si="244"/>
        <v/>
      </c>
      <c r="Q60" s="624" t="str">
        <f t="shared" si="116"/>
        <v/>
      </c>
      <c r="R60" s="5" t="str">
        <f t="shared" si="83"/>
        <v/>
      </c>
      <c r="S60" s="6" t="str">
        <f t="shared" si="84"/>
        <v/>
      </c>
      <c r="T60" s="4" t="str">
        <f t="shared" si="85"/>
        <v/>
      </c>
      <c r="U60" s="5" t="str">
        <f t="shared" si="86"/>
        <v/>
      </c>
      <c r="V60" s="8" t="str">
        <f t="shared" si="117"/>
        <v/>
      </c>
      <c r="W60" s="624" t="str">
        <f t="shared" si="226"/>
        <v/>
      </c>
      <c r="X60" s="5" t="str">
        <f t="shared" si="87"/>
        <v/>
      </c>
      <c r="Y60" s="7" t="str">
        <f t="shared" si="225"/>
        <v/>
      </c>
      <c r="Z60" s="21" t="str">
        <f t="shared" si="245"/>
        <v/>
      </c>
      <c r="AA60" s="5" t="str">
        <f t="shared" si="246"/>
        <v/>
      </c>
      <c r="AB60" s="5" t="str">
        <f t="shared" si="247"/>
        <v/>
      </c>
      <c r="AC60" s="8" t="str">
        <f t="shared" si="88"/>
        <v/>
      </c>
      <c r="AD60" s="9" t="str">
        <f t="shared" si="118"/>
        <v/>
      </c>
      <c r="AE60" s="5" t="str">
        <f t="shared" si="89"/>
        <v/>
      </c>
      <c r="AF60" s="10" t="str">
        <f t="shared" si="90"/>
        <v/>
      </c>
      <c r="AG60" s="622" t="str">
        <f t="shared" si="91"/>
        <v/>
      </c>
      <c r="AH60" s="623" t="str">
        <f t="shared" si="92"/>
        <v/>
      </c>
      <c r="AI60" s="624" t="str">
        <f t="shared" si="93"/>
        <v/>
      </c>
      <c r="AJ60" s="625" t="str">
        <f t="shared" si="94"/>
        <v/>
      </c>
      <c r="AK60" s="4" t="str">
        <f t="shared" si="213"/>
        <v/>
      </c>
      <c r="AL60" s="5" t="str">
        <f t="shared" si="95"/>
        <v/>
      </c>
      <c r="AM60" s="6" t="str">
        <f t="shared" si="96"/>
        <v/>
      </c>
      <c r="AN60" s="612" t="str">
        <f t="shared" si="97"/>
        <v/>
      </c>
      <c r="AO60" s="613" t="str">
        <f t="shared" si="465"/>
        <v/>
      </c>
      <c r="AP60" s="624" t="str">
        <f t="shared" si="99"/>
        <v/>
      </c>
      <c r="AQ60" s="625" t="str">
        <f t="shared" si="248"/>
        <v/>
      </c>
      <c r="AS60" s="56" t="str">
        <f t="shared" si="410"/>
        <v/>
      </c>
      <c r="AT60" s="77" t="str">
        <f t="shared" si="249"/>
        <v/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 t="str">
        <f t="shared" si="384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82"/>
        <v/>
      </c>
      <c r="L61" s="327"/>
      <c r="M61" s="173" t="str">
        <f t="shared" si="241"/>
        <v/>
      </c>
      <c r="N61" s="21" t="str">
        <f t="shared" si="242"/>
        <v/>
      </c>
      <c r="O61" s="5" t="str">
        <f t="shared" si="243"/>
        <v/>
      </c>
      <c r="P61" s="10" t="str">
        <f t="shared" si="244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6"/>
        <v/>
      </c>
      <c r="X61" s="5" t="str">
        <f t="shared" si="87"/>
        <v/>
      </c>
      <c r="Y61" s="7" t="str">
        <f t="shared" si="225"/>
        <v/>
      </c>
      <c r="Z61" s="21" t="str">
        <f t="shared" si="245"/>
        <v/>
      </c>
      <c r="AA61" s="5" t="str">
        <f t="shared" si="246"/>
        <v/>
      </c>
      <c r="AB61" s="5" t="str">
        <f t="shared" si="247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5"/>
        <v/>
      </c>
      <c r="AP61" s="624" t="str">
        <f t="shared" si="99"/>
        <v/>
      </c>
      <c r="AQ61" s="625" t="str">
        <f t="shared" si="248"/>
        <v/>
      </c>
      <c r="AS61" s="56" t="str">
        <f t="shared" si="410"/>
        <v/>
      </c>
      <c r="AT61" s="77" t="str">
        <f t="shared" si="249"/>
        <v/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4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82"/>
        <v/>
      </c>
      <c r="L62" s="327"/>
      <c r="M62" s="173" t="str">
        <f t="shared" si="241"/>
        <v/>
      </c>
      <c r="N62" s="21" t="str">
        <f t="shared" si="242"/>
        <v/>
      </c>
      <c r="O62" s="5" t="str">
        <f t="shared" si="243"/>
        <v/>
      </c>
      <c r="P62" s="10" t="str">
        <f t="shared" si="244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6"/>
        <v/>
      </c>
      <c r="X62" s="5" t="str">
        <f t="shared" si="87"/>
        <v/>
      </c>
      <c r="Y62" s="7" t="str">
        <f t="shared" si="225"/>
        <v/>
      </c>
      <c r="Z62" s="21" t="str">
        <f t="shared" si="245"/>
        <v/>
      </c>
      <c r="AA62" s="5" t="str">
        <f t="shared" si="246"/>
        <v/>
      </c>
      <c r="AB62" s="5" t="str">
        <f t="shared" si="247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5"/>
        <v/>
      </c>
      <c r="AP62" s="624" t="str">
        <f t="shared" si="99"/>
        <v/>
      </c>
      <c r="AQ62" s="625" t="str">
        <f t="shared" si="248"/>
        <v/>
      </c>
      <c r="AS62" s="56" t="str">
        <f t="shared" si="410"/>
        <v/>
      </c>
      <c r="AT62" s="77" t="str">
        <f t="shared" si="249"/>
        <v/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4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82"/>
        <v/>
      </c>
      <c r="L63" s="327"/>
      <c r="M63" s="173" t="str">
        <f t="shared" si="241"/>
        <v/>
      </c>
      <c r="N63" s="21" t="str">
        <f t="shared" si="242"/>
        <v/>
      </c>
      <c r="O63" s="5" t="str">
        <f t="shared" si="243"/>
        <v/>
      </c>
      <c r="P63" s="10" t="str">
        <f t="shared" si="244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6"/>
        <v/>
      </c>
      <c r="X63" s="5" t="str">
        <f t="shared" si="87"/>
        <v/>
      </c>
      <c r="Y63" s="7" t="str">
        <f t="shared" si="225"/>
        <v/>
      </c>
      <c r="Z63" s="21" t="str">
        <f t="shared" si="245"/>
        <v/>
      </c>
      <c r="AA63" s="5" t="str">
        <f t="shared" si="246"/>
        <v/>
      </c>
      <c r="AB63" s="5" t="str">
        <f t="shared" si="247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5"/>
        <v/>
      </c>
      <c r="AP63" s="624" t="str">
        <f t="shared" si="99"/>
        <v/>
      </c>
      <c r="AQ63" s="625" t="str">
        <f t="shared" si="248"/>
        <v/>
      </c>
      <c r="AS63" s="56" t="str">
        <f t="shared" si="410"/>
        <v/>
      </c>
      <c r="AT63" s="77" t="str">
        <f t="shared" si="249"/>
        <v/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4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82"/>
        <v/>
      </c>
      <c r="L64" s="327"/>
      <c r="M64" s="173" t="str">
        <f t="shared" si="241"/>
        <v/>
      </c>
      <c r="N64" s="21" t="str">
        <f t="shared" si="242"/>
        <v/>
      </c>
      <c r="O64" s="5" t="str">
        <f t="shared" si="243"/>
        <v/>
      </c>
      <c r="P64" s="10" t="str">
        <f t="shared" si="244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6"/>
        <v/>
      </c>
      <c r="X64" s="5" t="str">
        <f t="shared" si="87"/>
        <v/>
      </c>
      <c r="Y64" s="7" t="str">
        <f t="shared" si="225"/>
        <v/>
      </c>
      <c r="Z64" s="21" t="str">
        <f t="shared" si="245"/>
        <v/>
      </c>
      <c r="AA64" s="5" t="str">
        <f t="shared" si="246"/>
        <v/>
      </c>
      <c r="AB64" s="5" t="str">
        <f t="shared" si="247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5"/>
        <v/>
      </c>
      <c r="AP64" s="624" t="str">
        <f t="shared" si="99"/>
        <v/>
      </c>
      <c r="AQ64" s="625" t="str">
        <f t="shared" si="248"/>
        <v/>
      </c>
      <c r="AS64" s="56" t="str">
        <f t="shared" si="410"/>
        <v/>
      </c>
      <c r="AT64" s="77" t="str">
        <f t="shared" si="249"/>
        <v/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4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82"/>
        <v/>
      </c>
      <c r="L65" s="327"/>
      <c r="M65" s="173" t="str">
        <f t="shared" si="241"/>
        <v/>
      </c>
      <c r="N65" s="21" t="str">
        <f t="shared" si="242"/>
        <v/>
      </c>
      <c r="O65" s="5" t="str">
        <f t="shared" si="243"/>
        <v/>
      </c>
      <c r="P65" s="10" t="str">
        <f t="shared" si="244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6"/>
        <v/>
      </c>
      <c r="X65" s="5" t="str">
        <f t="shared" si="87"/>
        <v/>
      </c>
      <c r="Y65" s="7" t="str">
        <f t="shared" si="225"/>
        <v/>
      </c>
      <c r="Z65" s="21" t="str">
        <f t="shared" si="245"/>
        <v/>
      </c>
      <c r="AA65" s="5" t="str">
        <f t="shared" si="246"/>
        <v/>
      </c>
      <c r="AB65" s="5" t="str">
        <f t="shared" si="247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5"/>
        <v/>
      </c>
      <c r="AP65" s="624" t="str">
        <f t="shared" si="99"/>
        <v/>
      </c>
      <c r="AQ65" s="625" t="str">
        <f t="shared" si="248"/>
        <v/>
      </c>
      <c r="AS65" s="56" t="str">
        <f t="shared" si="410"/>
        <v/>
      </c>
      <c r="AT65" s="77" t="str">
        <f t="shared" si="249"/>
        <v/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4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82"/>
        <v/>
      </c>
      <c r="L66" s="327"/>
      <c r="M66" s="173" t="str">
        <f t="shared" si="241"/>
        <v/>
      </c>
      <c r="N66" s="21" t="str">
        <f t="shared" si="242"/>
        <v/>
      </c>
      <c r="O66" s="5" t="str">
        <f t="shared" si="243"/>
        <v/>
      </c>
      <c r="P66" s="10" t="str">
        <f t="shared" si="244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6"/>
        <v/>
      </c>
      <c r="X66" s="5" t="str">
        <f t="shared" si="87"/>
        <v/>
      </c>
      <c r="Y66" s="7" t="str">
        <f t="shared" si="225"/>
        <v/>
      </c>
      <c r="Z66" s="21" t="str">
        <f t="shared" si="245"/>
        <v/>
      </c>
      <c r="AA66" s="5" t="str">
        <f t="shared" si="246"/>
        <v/>
      </c>
      <c r="AB66" s="5" t="str">
        <f t="shared" si="247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5"/>
        <v/>
      </c>
      <c r="AP66" s="624" t="str">
        <f t="shared" si="99"/>
        <v/>
      </c>
      <c r="AQ66" s="625" t="str">
        <f t="shared" si="248"/>
        <v/>
      </c>
      <c r="AS66" s="56" t="str">
        <f t="shared" si="410"/>
        <v/>
      </c>
      <c r="AT66" s="77" t="str">
        <f t="shared" si="249"/>
        <v/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4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82"/>
        <v/>
      </c>
      <c r="L67" s="327"/>
      <c r="M67" s="173" t="str">
        <f t="shared" si="241"/>
        <v/>
      </c>
      <c r="N67" s="21" t="str">
        <f t="shared" si="242"/>
        <v/>
      </c>
      <c r="O67" s="5" t="str">
        <f t="shared" si="243"/>
        <v/>
      </c>
      <c r="P67" s="10" t="str">
        <f t="shared" si="244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6"/>
        <v/>
      </c>
      <c r="X67" s="5" t="str">
        <f>IF(M67="","",R67)</f>
        <v/>
      </c>
      <c r="Y67" s="7" t="str">
        <f t="shared" si="225"/>
        <v/>
      </c>
      <c r="Z67" s="21" t="str">
        <f t="shared" si="245"/>
        <v/>
      </c>
      <c r="AA67" s="5" t="str">
        <f t="shared" si="246"/>
        <v/>
      </c>
      <c r="AB67" s="5" t="str">
        <f t="shared" si="247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5"/>
        <v/>
      </c>
      <c r="AP67" s="624" t="str">
        <f>IF(M67="","",DEGREES(ATAN2(AK67,AL67)))</f>
        <v/>
      </c>
      <c r="AQ67" s="625" t="str">
        <f t="shared" si="248"/>
        <v/>
      </c>
      <c r="AS67" s="56" t="str">
        <f t="shared" si="410"/>
        <v/>
      </c>
      <c r="AT67" s="77" t="str">
        <f t="shared" si="249"/>
        <v/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4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82"/>
        <v/>
      </c>
      <c r="L68" s="327"/>
      <c r="M68" s="173" t="str">
        <f t="shared" si="241"/>
        <v/>
      </c>
      <c r="N68" s="21" t="str">
        <f t="shared" si="242"/>
        <v/>
      </c>
      <c r="O68" s="5" t="str">
        <f t="shared" si="243"/>
        <v/>
      </c>
      <c r="P68" s="10" t="str">
        <f t="shared" si="244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6"/>
        <v/>
      </c>
      <c r="X68" s="5" t="str">
        <f>IF(M68="","",R68)</f>
        <v/>
      </c>
      <c r="Y68" s="7" t="str">
        <f t="shared" si="225"/>
        <v/>
      </c>
      <c r="Z68" s="21" t="str">
        <f t="shared" si="245"/>
        <v/>
      </c>
      <c r="AA68" s="5" t="str">
        <f t="shared" si="246"/>
        <v/>
      </c>
      <c r="AB68" s="5" t="str">
        <f t="shared" si="247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5"/>
        <v/>
      </c>
      <c r="AP68" s="624" t="str">
        <f>IF(M68="","",DEGREES(ATAN2(AK68,AL68)))</f>
        <v/>
      </c>
      <c r="AQ68" s="625" t="str">
        <f t="shared" si="248"/>
        <v/>
      </c>
      <c r="AS68" s="56" t="str">
        <f t="shared" si="410"/>
        <v/>
      </c>
      <c r="AT68" s="77" t="str">
        <f t="shared" si="249"/>
        <v/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4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82"/>
        <v/>
      </c>
      <c r="L69" s="327"/>
      <c r="M69" s="173" t="str">
        <f t="shared" si="241"/>
        <v/>
      </c>
      <c r="N69" s="21" t="str">
        <f t="shared" si="242"/>
        <v/>
      </c>
      <c r="O69" s="5" t="str">
        <f t="shared" si="243"/>
        <v/>
      </c>
      <c r="P69" s="10" t="str">
        <f t="shared" si="244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6"/>
        <v/>
      </c>
      <c r="X69" s="5" t="str">
        <f t="shared" si="87"/>
        <v/>
      </c>
      <c r="Y69" s="7" t="str">
        <f t="shared" si="225"/>
        <v/>
      </c>
      <c r="Z69" s="21" t="str">
        <f t="shared" si="245"/>
        <v/>
      </c>
      <c r="AA69" s="5" t="str">
        <f t="shared" si="246"/>
        <v/>
      </c>
      <c r="AB69" s="5" t="str">
        <f t="shared" si="247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5"/>
        <v/>
      </c>
      <c r="AP69" s="624" t="str">
        <f t="shared" si="99"/>
        <v/>
      </c>
      <c r="AQ69" s="625" t="str">
        <f t="shared" si="248"/>
        <v/>
      </c>
      <c r="AS69" s="56" t="str">
        <f t="shared" si="410"/>
        <v/>
      </c>
      <c r="AT69" s="77" t="str">
        <f t="shared" si="249"/>
        <v/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4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82"/>
        <v/>
      </c>
      <c r="L70" s="327"/>
      <c r="M70" s="173" t="str">
        <f t="shared" si="241"/>
        <v/>
      </c>
      <c r="N70" s="21" t="str">
        <f t="shared" si="242"/>
        <v/>
      </c>
      <c r="O70" s="5" t="str">
        <f t="shared" si="243"/>
        <v/>
      </c>
      <c r="P70" s="10" t="str">
        <f t="shared" si="244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6"/>
        <v/>
      </c>
      <c r="X70" s="5" t="str">
        <f t="shared" si="87"/>
        <v/>
      </c>
      <c r="Y70" s="7" t="str">
        <f t="shared" si="225"/>
        <v/>
      </c>
      <c r="Z70" s="21" t="str">
        <f t="shared" si="245"/>
        <v/>
      </c>
      <c r="AA70" s="5" t="str">
        <f t="shared" si="246"/>
        <v/>
      </c>
      <c r="AB70" s="5" t="str">
        <f t="shared" si="247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5"/>
        <v/>
      </c>
      <c r="AP70" s="624" t="str">
        <f t="shared" si="99"/>
        <v/>
      </c>
      <c r="AQ70" s="625" t="str">
        <f t="shared" si="248"/>
        <v/>
      </c>
      <c r="AS70" s="56" t="str">
        <f t="shared" si="410"/>
        <v/>
      </c>
      <c r="AT70" s="77" t="str">
        <f t="shared" si="249"/>
        <v/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4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5.6018678339987645E-2</v>
      </c>
      <c r="G154" s="175">
        <f>G9*-1</f>
        <v>-0.25268396641901963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0.97629601393762733</v>
      </c>
      <c r="F155" s="175">
        <f t="shared" si="939"/>
        <v>4.6846093169500239E-2</v>
      </c>
      <c r="G155" s="175">
        <f t="shared" si="939"/>
        <v>-0.21130910232229644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0.97459268930602805</v>
      </c>
      <c r="F156" s="175">
        <f t="shared" si="941"/>
        <v>-5.8573570482870367E-2</v>
      </c>
      <c r="G156" s="175">
        <f t="shared" si="941"/>
        <v>-0.21619025600644515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0.96542638179380624</v>
      </c>
      <c r="F157" s="175">
        <f t="shared" si="942"/>
        <v>-0.19851257892375579</v>
      </c>
      <c r="G157" s="175">
        <f t="shared" si="942"/>
        <v>-0.16895164203274135</v>
      </c>
      <c r="H157" s="144"/>
      <c r="I157" s="91"/>
      <c r="J157" s="84">
        <f t="shared" si="940"/>
        <v>1.1120000000000001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0.93790828944938665</v>
      </c>
      <c r="F158" s="175">
        <f t="shared" si="945"/>
        <v>-0.32395434230679326</v>
      </c>
      <c r="G158" s="175">
        <f t="shared" si="945"/>
        <v>-0.12402267809839726</v>
      </c>
      <c r="H158" s="144"/>
      <c r="I158" s="91"/>
      <c r="J158" s="84">
        <f t="shared" si="940"/>
        <v>1.117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0.85479015462253582</v>
      </c>
      <c r="F159" s="175">
        <f t="shared" si="946"/>
        <v>-0.51257768317886843</v>
      </c>
      <c r="G159" s="175">
        <f t="shared" si="946"/>
        <v>-8.1227521612843009E-2</v>
      </c>
      <c r="H159" s="144"/>
      <c r="I159" s="91"/>
      <c r="J159" s="84">
        <f t="shared" si="940"/>
        <v>1.1220000000000001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0.77329056882830915</v>
      </c>
      <c r="F160" s="175">
        <f t="shared" si="947"/>
        <v>-0.63405180873582667</v>
      </c>
      <c r="G160" s="175">
        <f t="shared" si="947"/>
        <v>-1.3008419228602682E-7</v>
      </c>
      <c r="H160" s="144"/>
      <c r="I160" s="91"/>
      <c r="J160" s="84">
        <f t="shared" si="940"/>
        <v>1.127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1.1093389246717E-7</v>
      </c>
      <c r="F161" s="175">
        <f t="shared" si="948"/>
        <v>-1.9781202356335968E-7</v>
      </c>
      <c r="G161" s="175">
        <f t="shared" si="948"/>
        <v>-0.99999999999997435</v>
      </c>
      <c r="H161" s="144"/>
      <c r="I161" s="91"/>
      <c r="J161" s="84">
        <f t="shared" si="940"/>
        <v>1.204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1.8997261267832656E-7</v>
      </c>
      <c r="F162" s="175">
        <f t="shared" si="949"/>
        <v>-1.2388031154952201E-7</v>
      </c>
      <c r="G162" s="175">
        <f t="shared" si="949"/>
        <v>-0.99999999999997435</v>
      </c>
      <c r="H162" s="144"/>
      <c r="I162" s="91"/>
      <c r="J162" s="84">
        <f t="shared" si="940"/>
        <v>1.2070000000000001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0.77227844461631112</v>
      </c>
      <c r="F163" s="175">
        <f t="shared" si="950"/>
        <v>-0.52464425155177463</v>
      </c>
      <c r="G163" s="175">
        <f t="shared" si="950"/>
        <v>-0.35823792833072499</v>
      </c>
      <c r="H163" s="144"/>
      <c r="I163" s="91"/>
      <c r="J163" s="84">
        <f t="shared" si="940"/>
        <v>1.212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0.16774167303800847</v>
      </c>
      <c r="F164" s="175">
        <f t="shared" si="951"/>
        <v>-0.96878196724400734</v>
      </c>
      <c r="G164" s="175">
        <f t="shared" si="951"/>
        <v>-0.18254925655625415</v>
      </c>
      <c r="H164" s="144"/>
      <c r="I164" s="91"/>
      <c r="J164" s="84">
        <f t="shared" si="940"/>
        <v>2.1110000000000002</v>
      </c>
    </row>
    <row r="165" spans="5:16" x14ac:dyDescent="0.25">
      <c r="E165" s="175">
        <f t="shared" ref="E165:G165" si="952">E20*-1</f>
        <v>4.922355143672083E-2</v>
      </c>
      <c r="F165" s="175">
        <f t="shared" si="952"/>
        <v>-0.99156608803523882</v>
      </c>
      <c r="G165" s="175">
        <f t="shared" si="952"/>
        <v>-0.11989051272911233</v>
      </c>
      <c r="H165" s="144"/>
      <c r="I165" s="91"/>
      <c r="J165" s="84">
        <f t="shared" si="940"/>
        <v>2.1160000000000001</v>
      </c>
    </row>
    <row r="166" spans="5:16" x14ac:dyDescent="0.25">
      <c r="E166" s="175">
        <f t="shared" ref="E166:G166" si="953">E21*-1</f>
        <v>-0.15048720236162419</v>
      </c>
      <c r="F166" s="175">
        <f t="shared" si="953"/>
        <v>-0.98371988872073224</v>
      </c>
      <c r="G166" s="175">
        <f t="shared" si="953"/>
        <v>-9.8228216214292924E-2</v>
      </c>
      <c r="H166" s="144"/>
      <c r="I166" s="91"/>
      <c r="J166" s="84">
        <f t="shared" si="940"/>
        <v>2.121</v>
      </c>
    </row>
    <row r="167" spans="5:16" x14ac:dyDescent="0.25">
      <c r="E167" s="175">
        <f t="shared" ref="E167:G167" si="954">E22*-1</f>
        <v>-0.33133354418634597</v>
      </c>
      <c r="F167" s="175">
        <f t="shared" si="954"/>
        <v>-0.94351368961817283</v>
      </c>
      <c r="G167" s="175">
        <f t="shared" si="954"/>
        <v>-1.300841922942013E-7</v>
      </c>
      <c r="H167" s="144"/>
      <c r="I167" s="91"/>
      <c r="J167" s="84">
        <f t="shared" si="940"/>
        <v>2.1259999999999999</v>
      </c>
    </row>
    <row r="168" spans="5:16" x14ac:dyDescent="0.25">
      <c r="E168" s="175">
        <f t="shared" ref="E168:G168" si="955">E23*-1</f>
        <v>-0.3292810007808511</v>
      </c>
      <c r="F168" s="175">
        <f t="shared" si="955"/>
        <v>-0.88669232445103519</v>
      </c>
      <c r="G168" s="175">
        <f t="shared" si="955"/>
        <v>-0.32457779388673746</v>
      </c>
      <c r="H168" s="144"/>
      <c r="I168" s="91"/>
      <c r="J168" s="84">
        <f t="shared" si="940"/>
        <v>2.2160000000000002</v>
      </c>
    </row>
    <row r="169" spans="5:16" x14ac:dyDescent="0.25">
      <c r="E169" s="175">
        <f t="shared" ref="E169:G169" si="956">E24*-1</f>
        <v>-0.77023109612123153</v>
      </c>
      <c r="F169" s="175">
        <f t="shared" si="956"/>
        <v>-0.5987584213801338</v>
      </c>
      <c r="G169" s="175">
        <f t="shared" si="956"/>
        <v>-0.21961878652395964</v>
      </c>
      <c r="H169" s="144"/>
      <c r="I169" s="91"/>
      <c r="J169" s="84">
        <f t="shared" si="940"/>
        <v>3.1030000000000002</v>
      </c>
    </row>
    <row r="170" spans="5:16" x14ac:dyDescent="0.25">
      <c r="E170" s="175">
        <f t="shared" ref="E170:G170" si="957">E25*-1</f>
        <v>-0.80638067723593831</v>
      </c>
      <c r="F170" s="175">
        <f t="shared" si="957"/>
        <v>-0.54956593690309763</v>
      </c>
      <c r="G170" s="175">
        <f t="shared" si="957"/>
        <v>-0.21846620877456141</v>
      </c>
      <c r="H170" s="144"/>
      <c r="I170" s="91"/>
      <c r="J170" s="84">
        <f t="shared" si="940"/>
        <v>3.1059999999999999</v>
      </c>
    </row>
    <row r="171" spans="5:16" x14ac:dyDescent="0.25">
      <c r="E171" s="175">
        <f t="shared" ref="E171:G171" si="958">E26*-1</f>
        <v>-0.87896877171011334</v>
      </c>
      <c r="F171" s="175">
        <f t="shared" si="958"/>
        <v>-0.43552811764986399</v>
      </c>
      <c r="G171" s="175">
        <f t="shared" si="958"/>
        <v>-0.19423994721678872</v>
      </c>
      <c r="H171" s="144"/>
      <c r="I171" s="91"/>
      <c r="J171" s="84">
        <f t="shared" si="940"/>
        <v>3.11</v>
      </c>
    </row>
    <row r="172" spans="5:16" x14ac:dyDescent="0.25">
      <c r="E172" s="175">
        <f t="shared" ref="E172:G172" si="959">E27*-1</f>
        <v>-0.93542134923759546</v>
      </c>
      <c r="F172" s="175">
        <f t="shared" si="959"/>
        <v>-0.33035773010844482</v>
      </c>
      <c r="G172" s="175">
        <f t="shared" si="959"/>
        <v>-0.12589944220731283</v>
      </c>
      <c r="H172" s="144"/>
      <c r="I172" s="91"/>
      <c r="J172" s="84">
        <f t="shared" si="940"/>
        <v>3.1150000000000002</v>
      </c>
    </row>
    <row r="173" spans="5:16" x14ac:dyDescent="0.25">
      <c r="E173" s="175">
        <f t="shared" ref="E173:G173" si="960">E28*-1</f>
        <v>-0.98261724977486553</v>
      </c>
      <c r="F173" s="175">
        <f t="shared" si="960"/>
        <v>-0.14872798566289422</v>
      </c>
      <c r="G173" s="175">
        <f t="shared" si="960"/>
        <v>-0.11110052531620937</v>
      </c>
      <c r="H173" s="144"/>
      <c r="I173" s="91"/>
      <c r="J173" s="84">
        <f t="shared" si="940"/>
        <v>3.12</v>
      </c>
    </row>
    <row r="174" spans="5:16" x14ac:dyDescent="0.25">
      <c r="E174" s="175">
        <f t="shared" ref="E174:G174" si="961">E29*-1</f>
        <v>-0.99711968611046031</v>
      </c>
      <c r="F174" s="175">
        <f t="shared" si="961"/>
        <v>7.5844126805971371E-2</v>
      </c>
      <c r="G174" s="175">
        <f t="shared" si="961"/>
        <v>-1.300841921663709E-7</v>
      </c>
      <c r="H174" s="144"/>
      <c r="I174" s="91"/>
      <c r="J174" s="84">
        <f t="shared" si="940"/>
        <v>3.125</v>
      </c>
    </row>
    <row r="175" spans="5:16" x14ac:dyDescent="0.25">
      <c r="E175" s="175">
        <f t="shared" ref="E175:G175" si="962">E30*-1</f>
        <v>-2.2641191058242821E-7</v>
      </c>
      <c r="F175" s="175">
        <f t="shared" si="962"/>
        <v>1.3174669499631419E-8</v>
      </c>
      <c r="G175" s="175">
        <f t="shared" si="962"/>
        <v>-0.99999999999997435</v>
      </c>
      <c r="H175" s="144"/>
      <c r="I175" s="91"/>
      <c r="J175" s="84">
        <f t="shared" si="940"/>
        <v>3.206</v>
      </c>
    </row>
    <row r="176" spans="5:16" x14ac:dyDescent="0.25">
      <c r="E176" s="175">
        <f t="shared" ref="E176:G176" si="963">E31*-1</f>
        <v>-2.9236682172189041E-2</v>
      </c>
      <c r="F176" s="175">
        <f t="shared" si="963"/>
        <v>0.21187523368172362</v>
      </c>
      <c r="G176" s="175">
        <f t="shared" si="963"/>
        <v>-0.97685930500143037</v>
      </c>
      <c r="H176" s="144"/>
      <c r="I176" s="91"/>
      <c r="J176" s="84">
        <f t="shared" si="940"/>
        <v>3.21</v>
      </c>
    </row>
    <row r="177" spans="5:10" x14ac:dyDescent="0.25">
      <c r="E177" s="175">
        <f t="shared" ref="E177:G177" si="964">E32*-1</f>
        <v>-0.94302828152535245</v>
      </c>
      <c r="F177" s="175">
        <f t="shared" si="964"/>
        <v>5.6283896976699506E-2</v>
      </c>
      <c r="G177" s="175">
        <f t="shared" si="964"/>
        <v>-0.32791734200017081</v>
      </c>
      <c r="H177" s="144"/>
      <c r="I177" s="91"/>
      <c r="J177" s="84">
        <f t="shared" si="940"/>
        <v>3.2149999999999999</v>
      </c>
    </row>
    <row r="178" spans="5:10" x14ac:dyDescent="0.25">
      <c r="E178" s="175">
        <f t="shared" ref="E178:G178" si="965">E33*-1</f>
        <v>-0.72312762130389852</v>
      </c>
      <c r="F178" s="175">
        <f t="shared" si="965"/>
        <v>0.64907779156957934</v>
      </c>
      <c r="G178" s="175">
        <f t="shared" si="965"/>
        <v>-0.23618734893834467</v>
      </c>
      <c r="H178" s="144"/>
      <c r="I178" s="91"/>
      <c r="J178" s="84">
        <f t="shared" si="940"/>
        <v>4.1020000000000003</v>
      </c>
    </row>
    <row r="179" spans="5:10" x14ac:dyDescent="0.25">
      <c r="E179" s="175">
        <f t="shared" ref="E179:G179" si="966">E34*-1</f>
        <v>-0.71367672548626415</v>
      </c>
      <c r="F179" s="175">
        <f t="shared" si="966"/>
        <v>0.66693420083961663</v>
      </c>
      <c r="G179" s="175">
        <f t="shared" si="966"/>
        <v>-0.21415952757144743</v>
      </c>
      <c r="H179" s="144"/>
      <c r="I179" s="91"/>
      <c r="J179" s="84">
        <f t="shared" si="940"/>
        <v>4.1050000000000004</v>
      </c>
    </row>
    <row r="180" spans="5:10" x14ac:dyDescent="0.25">
      <c r="E180" s="175">
        <f t="shared" ref="E180:G180" si="967">E35*-1</f>
        <v>-0.60231033102853038</v>
      </c>
      <c r="F180" s="175">
        <f t="shared" si="967"/>
        <v>0.77180090346870256</v>
      </c>
      <c r="G180" s="175">
        <f t="shared" si="967"/>
        <v>-0.20382745286441764</v>
      </c>
      <c r="H180" s="144"/>
      <c r="I180" s="91"/>
      <c r="J180" s="84">
        <f t="shared" si="940"/>
        <v>4.109</v>
      </c>
    </row>
    <row r="181" spans="5:10" x14ac:dyDescent="0.25">
      <c r="E181" s="175">
        <f t="shared" ref="E181:G181" si="968">E36*-1</f>
        <v>-0.50761952531043952</v>
      </c>
      <c r="F181" s="175">
        <f t="shared" si="968"/>
        <v>0.85063971157809271</v>
      </c>
      <c r="G181" s="175">
        <f t="shared" si="968"/>
        <v>-0.1368740245990579</v>
      </c>
      <c r="H181" s="144"/>
      <c r="I181" s="91"/>
      <c r="J181" s="84">
        <f t="shared" si="940"/>
        <v>4.1139999999999999</v>
      </c>
    </row>
    <row r="182" spans="5:10" x14ac:dyDescent="0.25">
      <c r="E182" s="175">
        <f t="shared" ref="E182:G182" si="969">E37*-1</f>
        <v>-0.35482171748575747</v>
      </c>
      <c r="F182" s="175">
        <f t="shared" si="969"/>
        <v>0.92723909468997134</v>
      </c>
      <c r="G182" s="175">
        <f t="shared" si="969"/>
        <v>-0.11970467860104593</v>
      </c>
      <c r="H182" s="144"/>
      <c r="I182" s="91"/>
      <c r="J182" s="84">
        <f t="shared" si="940"/>
        <v>4.1189999999999998</v>
      </c>
    </row>
    <row r="183" spans="5:10" x14ac:dyDescent="0.25">
      <c r="E183" s="175">
        <f t="shared" ref="E183:G183" si="970">E38*-1</f>
        <v>-0.16981300547269951</v>
      </c>
      <c r="F183" s="175">
        <f t="shared" si="970"/>
        <v>0.98485755240905881</v>
      </c>
      <c r="G183" s="175">
        <f t="shared" si="970"/>
        <v>-3.4916251734213248E-2</v>
      </c>
      <c r="H183" s="144"/>
      <c r="I183" s="91"/>
      <c r="J183" s="84">
        <f t="shared" si="940"/>
        <v>4.1239999999999997</v>
      </c>
    </row>
    <row r="184" spans="5:10" x14ac:dyDescent="0.25">
      <c r="E184" s="175">
        <f t="shared" ref="E184:G184" si="971">E39*-1</f>
        <v>-9.8456332925929896E-2</v>
      </c>
      <c r="F184" s="175">
        <f t="shared" si="971"/>
        <v>0.99514137212094733</v>
      </c>
      <c r="G184" s="175">
        <f t="shared" si="971"/>
        <v>-1.3008419224361226E-7</v>
      </c>
      <c r="H184" s="144"/>
      <c r="I184" s="91"/>
      <c r="J184" s="84">
        <f t="shared" si="940"/>
        <v>4.1289999999999996</v>
      </c>
    </row>
    <row r="185" spans="5:10" x14ac:dyDescent="0.25">
      <c r="E185" s="175">
        <f t="shared" ref="E185:G185" si="972">E40*-1</f>
        <v>5.3559481725358593E-9</v>
      </c>
      <c r="F185" s="175">
        <f t="shared" si="972"/>
        <v>2.2673164531933603E-7</v>
      </c>
      <c r="G185" s="175">
        <f t="shared" si="972"/>
        <v>-0.99999999999997435</v>
      </c>
      <c r="H185" s="144"/>
      <c r="I185" s="91"/>
      <c r="J185" s="84">
        <f t="shared" si="940"/>
        <v>4.2050000000000001</v>
      </c>
    </row>
    <row r="186" spans="5:10" x14ac:dyDescent="0.25">
      <c r="E186" s="175">
        <f t="shared" ref="E186:G186" si="973">E41*-1</f>
        <v>0.13744611102639631</v>
      </c>
      <c r="F186" s="175">
        <f t="shared" si="973"/>
        <v>4.0609757677776276E-2</v>
      </c>
      <c r="G186" s="175">
        <f t="shared" si="973"/>
        <v>-0.9896764189092675</v>
      </c>
      <c r="H186" s="144"/>
      <c r="I186" s="91"/>
      <c r="J186" s="84">
        <f t="shared" si="940"/>
        <v>4.2089999999999996</v>
      </c>
    </row>
    <row r="187" spans="5:10" x14ac:dyDescent="0.25">
      <c r="E187" s="175">
        <f t="shared" ref="E187:G187" si="974">E42*-1</f>
        <v>-0.1341213673658429</v>
      </c>
      <c r="F187" s="175">
        <f t="shared" si="974"/>
        <v>0.93252149488089719</v>
      </c>
      <c r="G187" s="175">
        <f t="shared" si="974"/>
        <v>-0.33528364171401759</v>
      </c>
      <c r="H187" s="144"/>
      <c r="I187" s="91"/>
      <c r="J187" s="84">
        <f t="shared" si="940"/>
        <v>4.2140000000000004</v>
      </c>
    </row>
    <row r="188" spans="5:10" x14ac:dyDescent="0.25">
      <c r="E188" s="175">
        <f t="shared" ref="E188:G188" si="975">E43*-1</f>
        <v>0.49403465783209394</v>
      </c>
      <c r="F188" s="175">
        <f t="shared" si="975"/>
        <v>0.84340290138537999</v>
      </c>
      <c r="G188" s="175">
        <f t="shared" si="975"/>
        <v>-0.211190205254526</v>
      </c>
      <c r="H188" s="144"/>
      <c r="I188" s="91"/>
      <c r="J188" s="84">
        <f t="shared" si="940"/>
        <v>5.1079999999999997</v>
      </c>
    </row>
    <row r="189" spans="5:10" x14ac:dyDescent="0.25">
      <c r="E189" s="175">
        <f t="shared" ref="E189:G189" si="976">E44*-1</f>
        <v>0.60775032688755648</v>
      </c>
      <c r="F189" s="175">
        <f t="shared" si="976"/>
        <v>0.77912332794064898</v>
      </c>
      <c r="G189" s="175">
        <f t="shared" si="976"/>
        <v>-0.15364367877253024</v>
      </c>
      <c r="H189" s="144"/>
      <c r="I189" s="91"/>
      <c r="J189" s="84">
        <f t="shared" si="940"/>
        <v>5.1130000000000004</v>
      </c>
    </row>
    <row r="190" spans="5:10" x14ac:dyDescent="0.25">
      <c r="E190" s="175">
        <f t="shared" ref="E190:G190" si="977">E45*-1</f>
        <v>0.72244279832966263</v>
      </c>
      <c r="F190" s="175">
        <f t="shared" si="977"/>
        <v>0.68021729966228595</v>
      </c>
      <c r="G190" s="175">
        <f t="shared" si="977"/>
        <v>-0.12401946775306866</v>
      </c>
      <c r="H190" s="144"/>
      <c r="I190" s="91"/>
      <c r="J190" s="84">
        <f t="shared" si="940"/>
        <v>5.1180000000000003</v>
      </c>
    </row>
    <row r="191" spans="5:10" x14ac:dyDescent="0.25">
      <c r="E191" s="175">
        <f t="shared" ref="E191:G191" si="978">E46*-1</f>
        <v>0.84770218108287554</v>
      </c>
      <c r="F191" s="175">
        <f t="shared" si="978"/>
        <v>0.52706231999351005</v>
      </c>
      <c r="G191" s="175">
        <f t="shared" si="978"/>
        <v>-6.0052668803264653E-2</v>
      </c>
      <c r="H191" s="144"/>
      <c r="I191" s="91"/>
      <c r="J191" s="84">
        <f t="shared" si="940"/>
        <v>5.1230000000000002</v>
      </c>
    </row>
    <row r="192" spans="5:10" x14ac:dyDescent="0.25">
      <c r="E192" s="175">
        <f t="shared" ref="E192:G192" si="979">E47*-1</f>
        <v>0.90145287856435807</v>
      </c>
      <c r="F192" s="175">
        <f t="shared" si="979"/>
        <v>0.43287724325496241</v>
      </c>
      <c r="G192" s="175">
        <f t="shared" si="979"/>
        <v>-1.300841922710724E-7</v>
      </c>
      <c r="H192" s="144"/>
      <c r="I192" s="91"/>
      <c r="J192" s="84">
        <f t="shared" si="940"/>
        <v>5.1280000000000001</v>
      </c>
    </row>
    <row r="193" spans="5:10" x14ac:dyDescent="0.25">
      <c r="E193" s="175">
        <f t="shared" ref="E193:G193" si="980">E48*-1</f>
        <v>0.81609452673604754</v>
      </c>
      <c r="F193" s="175">
        <f t="shared" si="980"/>
        <v>0.46166439734499587</v>
      </c>
      <c r="G193" s="175">
        <f t="shared" si="980"/>
        <v>-0.34764307508642917</v>
      </c>
      <c r="H193" s="144"/>
      <c r="I193" s="91"/>
      <c r="J193" s="84">
        <f t="shared" si="940"/>
        <v>5.2130000000000001</v>
      </c>
    </row>
    <row r="194" spans="5:10" x14ac:dyDescent="0.25">
      <c r="E194" s="175">
        <f t="shared" ref="E194:G194" si="981">E49*-1</f>
        <v>0</v>
      </c>
      <c r="F194" s="175">
        <f t="shared" si="981"/>
        <v>0</v>
      </c>
      <c r="G194" s="175">
        <f t="shared" si="981"/>
        <v>0</v>
      </c>
      <c r="H194" s="144"/>
      <c r="I194" s="91"/>
      <c r="J194" s="84">
        <f t="shared" si="940"/>
        <v>0</v>
      </c>
    </row>
    <row r="195" spans="5:10" x14ac:dyDescent="0.25">
      <c r="E195" s="175">
        <f t="shared" ref="E195:G195" si="982">E50*-1</f>
        <v>0</v>
      </c>
      <c r="F195" s="175">
        <f t="shared" si="982"/>
        <v>0</v>
      </c>
      <c r="G195" s="175">
        <f t="shared" si="982"/>
        <v>0</v>
      </c>
      <c r="H195" s="144"/>
      <c r="I195" s="91"/>
      <c r="J195" s="84">
        <f t="shared" si="940"/>
        <v>0</v>
      </c>
    </row>
    <row r="196" spans="5:10" x14ac:dyDescent="0.25">
      <c r="E196" s="175">
        <f t="shared" ref="E196:G196" si="983">E51*-1</f>
        <v>0</v>
      </c>
      <c r="F196" s="175">
        <f t="shared" si="983"/>
        <v>0</v>
      </c>
      <c r="G196" s="175">
        <f t="shared" si="983"/>
        <v>0</v>
      </c>
      <c r="H196" s="144"/>
      <c r="I196" s="91"/>
      <c r="J196" s="84">
        <f t="shared" si="940"/>
        <v>0</v>
      </c>
    </row>
    <row r="197" spans="5:10" x14ac:dyDescent="0.25">
      <c r="E197" s="175">
        <f t="shared" ref="E197:G197" si="984">E52*-1</f>
        <v>0</v>
      </c>
      <c r="F197" s="175">
        <f t="shared" si="984"/>
        <v>0</v>
      </c>
      <c r="G197" s="175">
        <f t="shared" si="984"/>
        <v>0</v>
      </c>
      <c r="H197" s="144"/>
      <c r="I197" s="91"/>
      <c r="J197" s="84">
        <f t="shared" si="940"/>
        <v>0</v>
      </c>
    </row>
    <row r="198" spans="5:10" x14ac:dyDescent="0.25">
      <c r="E198" s="175">
        <f t="shared" ref="E198:G198" si="985">E53*-1</f>
        <v>0</v>
      </c>
      <c r="F198" s="175">
        <f t="shared" si="985"/>
        <v>0</v>
      </c>
      <c r="G198" s="175">
        <f t="shared" si="985"/>
        <v>0</v>
      </c>
      <c r="H198" s="144"/>
      <c r="I198" s="91"/>
      <c r="J198" s="84">
        <f t="shared" si="940"/>
        <v>0</v>
      </c>
    </row>
    <row r="199" spans="5:10" x14ac:dyDescent="0.25">
      <c r="E199" s="175">
        <f t="shared" ref="E199:G199" si="986">E54*-1</f>
        <v>0</v>
      </c>
      <c r="F199" s="175">
        <f t="shared" si="986"/>
        <v>0</v>
      </c>
      <c r="G199" s="175">
        <f t="shared" si="986"/>
        <v>0</v>
      </c>
      <c r="H199" s="144"/>
      <c r="I199" s="91"/>
      <c r="J199" s="84">
        <f t="shared" si="940"/>
        <v>0</v>
      </c>
    </row>
    <row r="200" spans="5:10" x14ac:dyDescent="0.25">
      <c r="E200" s="175">
        <f t="shared" ref="E200:G200" si="987">E55*-1</f>
        <v>0</v>
      </c>
      <c r="F200" s="175">
        <f t="shared" si="987"/>
        <v>0</v>
      </c>
      <c r="G200" s="175">
        <f t="shared" si="987"/>
        <v>0</v>
      </c>
      <c r="H200" s="144"/>
      <c r="I200" s="91"/>
      <c r="J200" s="84">
        <f t="shared" si="940"/>
        <v>0</v>
      </c>
    </row>
    <row r="201" spans="5:10" x14ac:dyDescent="0.25">
      <c r="E201" s="175">
        <f t="shared" ref="E201:G201" si="988">E56*-1</f>
        <v>0</v>
      </c>
      <c r="F201" s="175">
        <f t="shared" si="988"/>
        <v>0</v>
      </c>
      <c r="G201" s="175">
        <f t="shared" si="988"/>
        <v>0</v>
      </c>
      <c r="H201" s="144"/>
      <c r="I201" s="91"/>
      <c r="J201" s="84">
        <f t="shared" si="940"/>
        <v>0</v>
      </c>
    </row>
    <row r="202" spans="5:10" x14ac:dyDescent="0.25">
      <c r="E202" s="175">
        <f t="shared" ref="E202:G202" si="989">E57*-1</f>
        <v>0</v>
      </c>
      <c r="F202" s="175">
        <f t="shared" si="989"/>
        <v>0</v>
      </c>
      <c r="G202" s="175">
        <f t="shared" si="989"/>
        <v>0</v>
      </c>
      <c r="H202" s="144"/>
      <c r="I202" s="91"/>
      <c r="J202" s="84">
        <f t="shared" si="940"/>
        <v>0</v>
      </c>
    </row>
    <row r="203" spans="5:10" x14ac:dyDescent="0.25">
      <c r="E203" s="175">
        <f t="shared" ref="E203:G203" si="990">E58*-1</f>
        <v>0</v>
      </c>
      <c r="F203" s="175">
        <f t="shared" si="990"/>
        <v>0</v>
      </c>
      <c r="G203" s="175">
        <f t="shared" si="990"/>
        <v>0</v>
      </c>
      <c r="H203" s="144"/>
      <c r="I203" s="91"/>
      <c r="J203" s="84">
        <f t="shared" si="940"/>
        <v>0</v>
      </c>
    </row>
    <row r="204" spans="5:10" x14ac:dyDescent="0.25">
      <c r="E204" s="175">
        <f t="shared" ref="E204:G204" si="991">E59*-1</f>
        <v>0</v>
      </c>
      <c r="F204" s="175">
        <f t="shared" si="991"/>
        <v>0</v>
      </c>
      <c r="G204" s="175">
        <f t="shared" si="991"/>
        <v>0</v>
      </c>
      <c r="H204" s="144"/>
      <c r="I204" s="91"/>
      <c r="J204" s="84">
        <f t="shared" si="940"/>
        <v>0</v>
      </c>
    </row>
    <row r="205" spans="5:10" x14ac:dyDescent="0.25">
      <c r="E205" s="175">
        <f t="shared" ref="E205:G205" si="992">E60*-1</f>
        <v>0</v>
      </c>
      <c r="F205" s="175">
        <f t="shared" si="992"/>
        <v>0</v>
      </c>
      <c r="G205" s="175">
        <f t="shared" si="992"/>
        <v>0</v>
      </c>
      <c r="H205" s="144"/>
      <c r="I205" s="91"/>
      <c r="J205" s="84">
        <f t="shared" si="940"/>
        <v>0</v>
      </c>
    </row>
    <row r="206" spans="5:10" x14ac:dyDescent="0.25">
      <c r="E206" s="175">
        <f t="shared" ref="E206:G206" si="993">E61*-1</f>
        <v>0</v>
      </c>
      <c r="F206" s="175">
        <f t="shared" si="993"/>
        <v>0</v>
      </c>
      <c r="G206" s="175">
        <f t="shared" si="993"/>
        <v>0</v>
      </c>
      <c r="H206" s="144"/>
      <c r="I206" s="91"/>
      <c r="J206" s="84">
        <f t="shared" si="940"/>
        <v>0</v>
      </c>
    </row>
    <row r="207" spans="5:10" x14ac:dyDescent="0.25">
      <c r="E207" s="175">
        <f t="shared" ref="E207:G207" si="994">E62*-1</f>
        <v>0</v>
      </c>
      <c r="F207" s="175">
        <f t="shared" si="994"/>
        <v>0</v>
      </c>
      <c r="G207" s="175">
        <f t="shared" si="994"/>
        <v>0</v>
      </c>
      <c r="H207" s="144"/>
      <c r="I207" s="91"/>
      <c r="J207" s="84">
        <f t="shared" si="940"/>
        <v>0</v>
      </c>
    </row>
    <row r="208" spans="5:10" x14ac:dyDescent="0.25">
      <c r="E208" s="175">
        <f t="shared" ref="E208:G208" si="995">E63*-1</f>
        <v>0</v>
      </c>
      <c r="F208" s="175">
        <f t="shared" si="995"/>
        <v>0</v>
      </c>
      <c r="G208" s="175">
        <f t="shared" si="995"/>
        <v>0</v>
      </c>
      <c r="H208" s="144"/>
      <c r="I208" s="91"/>
      <c r="J208" s="84">
        <f t="shared" si="940"/>
        <v>0</v>
      </c>
    </row>
    <row r="209" spans="5:10" x14ac:dyDescent="0.25">
      <c r="E209" s="175">
        <f t="shared" ref="E209:G209" si="996">E64*-1</f>
        <v>0</v>
      </c>
      <c r="F209" s="175">
        <f t="shared" si="996"/>
        <v>0</v>
      </c>
      <c r="G209" s="175">
        <f t="shared" si="996"/>
        <v>0</v>
      </c>
      <c r="H209" s="144"/>
      <c r="I209" s="91"/>
      <c r="J209" s="84">
        <f t="shared" si="940"/>
        <v>0</v>
      </c>
    </row>
    <row r="210" spans="5:10" x14ac:dyDescent="0.25">
      <c r="E210" s="175">
        <f t="shared" ref="E210:G210" si="997">E65*-1</f>
        <v>0</v>
      </c>
      <c r="F210" s="175">
        <f t="shared" si="997"/>
        <v>0</v>
      </c>
      <c r="G210" s="175">
        <f t="shared" si="997"/>
        <v>0</v>
      </c>
      <c r="H210" s="144"/>
      <c r="I210" s="91"/>
      <c r="J210" s="84">
        <f t="shared" si="940"/>
        <v>0</v>
      </c>
    </row>
    <row r="211" spans="5:10" x14ac:dyDescent="0.25">
      <c r="E211" s="175">
        <f t="shared" ref="E211:G211" si="998">E66*-1</f>
        <v>0</v>
      </c>
      <c r="F211" s="175">
        <f t="shared" si="998"/>
        <v>0</v>
      </c>
      <c r="G211" s="175">
        <f t="shared" si="998"/>
        <v>0</v>
      </c>
      <c r="H211" s="144"/>
      <c r="I211" s="91"/>
      <c r="J211" s="84">
        <f t="shared" si="940"/>
        <v>0</v>
      </c>
    </row>
    <row r="212" spans="5:10" x14ac:dyDescent="0.25">
      <c r="E212" s="175">
        <f t="shared" ref="E212:G212" si="999">E67*-1</f>
        <v>0</v>
      </c>
      <c r="F212" s="175">
        <f t="shared" si="999"/>
        <v>0</v>
      </c>
      <c r="G212" s="175">
        <f t="shared" si="999"/>
        <v>0</v>
      </c>
      <c r="H212" s="144"/>
      <c r="I212" s="91"/>
      <c r="J212" s="84">
        <f t="shared" si="940"/>
        <v>0</v>
      </c>
    </row>
    <row r="213" spans="5:10" x14ac:dyDescent="0.25">
      <c r="E213" s="175">
        <f t="shared" ref="E213:G213" si="1000">E68*-1</f>
        <v>0</v>
      </c>
      <c r="F213" s="175">
        <f t="shared" si="1000"/>
        <v>0</v>
      </c>
      <c r="G213" s="175">
        <f t="shared" si="1000"/>
        <v>0</v>
      </c>
      <c r="H213" s="144"/>
      <c r="I213" s="91"/>
      <c r="J213" s="84">
        <f t="shared" si="940"/>
        <v>0</v>
      </c>
    </row>
    <row r="214" spans="5:10" x14ac:dyDescent="0.25">
      <c r="E214" s="175">
        <f t="shared" ref="E214:G214" si="1001">E69*-1</f>
        <v>0</v>
      </c>
      <c r="F214" s="175">
        <f t="shared" si="1001"/>
        <v>0</v>
      </c>
      <c r="G214" s="175">
        <f t="shared" si="1001"/>
        <v>0</v>
      </c>
      <c r="H214" s="144"/>
      <c r="I214" s="91"/>
      <c r="J214" s="84">
        <f t="shared" si="940"/>
        <v>0</v>
      </c>
    </row>
    <row r="215" spans="5:10" x14ac:dyDescent="0.25">
      <c r="E215" s="175">
        <f t="shared" ref="E215:G215" si="1002">E70*-1</f>
        <v>0</v>
      </c>
      <c r="F215" s="175">
        <f t="shared" si="1002"/>
        <v>0</v>
      </c>
      <c r="G215" s="175">
        <f t="shared" si="1002"/>
        <v>0</v>
      </c>
      <c r="H215" s="144"/>
      <c r="I215" s="91"/>
      <c r="J215" s="84">
        <f t="shared" si="940"/>
        <v>0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1313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1313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1313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1.117</v>
      </c>
      <c r="N168" s="594" t="str">
        <f>Assy.Model!K13</f>
        <v>1313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1313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</v>
      </c>
      <c r="N170" s="594" t="str">
        <f>Assy.Model!K15</f>
        <v>1313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1.204</v>
      </c>
      <c r="N171" s="594" t="str">
        <f>Assy.Model!K16</f>
        <v>Knuckle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1.2070000000000001</v>
      </c>
      <c r="N172" s="594" t="str">
        <f>Assy.Model!K17</f>
        <v>Knuckle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1.212</v>
      </c>
      <c r="N173" s="594" t="str">
        <f>Assy.Model!K18</f>
        <v>1111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2.1110000000000002</v>
      </c>
      <c r="N174" s="594" t="str">
        <f>Assy.Model!K19</f>
        <v>1313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2.1160000000000001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2.121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2.1259999999999999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2.2160000000000002</v>
      </c>
      <c r="N178" s="594" t="str">
        <f>Assy.Model!K23</f>
        <v>1111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3.1030000000000002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3.1059999999999999</v>
      </c>
      <c r="N180" s="594" t="str">
        <f>Assy.Model!K25</f>
        <v>1313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3.11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3.1150000000000002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3.12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3.125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3.206</v>
      </c>
      <c r="N185" s="594" t="str">
        <f>Assy.Model!K30</f>
        <v>Knuckle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3.21</v>
      </c>
      <c r="N186" s="594" t="str">
        <f>Assy.Model!K31</f>
        <v>Knuckle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3.2149999999999999</v>
      </c>
      <c r="N187" s="594" t="str">
        <f>Assy.Model!K32</f>
        <v>1111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4.1020000000000003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4.1050000000000004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4.109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4.1139999999999999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4.1189999999999998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4.1239999999999997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4.1289999999999996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4.2050000000000001</v>
      </c>
      <c r="N195" s="594" t="str">
        <f>Assy.Model!K40</f>
        <v>Knuckle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4.2089999999999996</v>
      </c>
      <c r="N196" s="594" t="str">
        <f>Assy.Model!K41</f>
        <v>Knuckle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4.2140000000000004</v>
      </c>
      <c r="N197" s="594" t="str">
        <f>Assy.Model!K42</f>
        <v>1111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5.1079999999999997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5.1130000000000004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5.1180000000000003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5.1230000000000002</v>
      </c>
      <c r="N201" s="594" t="str">
        <f>Assy.Model!K46</f>
        <v>1313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5.1280000000000001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5.2130000000000001</v>
      </c>
      <c r="N203" s="594" t="str">
        <f>Assy.Model!K48</f>
        <v>1111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 t="str">
        <f>Assy.Model!$M49</f>
        <v/>
      </c>
      <c r="N204" s="594" t="str">
        <f>Assy.Model!K49</f>
        <v/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 t="str">
        <f>Assy.Model!$M50</f>
        <v/>
      </c>
      <c r="N205" s="594" t="str">
        <f>Assy.Model!K50</f>
        <v/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 t="str">
        <f>Assy.Model!$M51</f>
        <v/>
      </c>
      <c r="N206" s="594" t="str">
        <f>Assy.Model!K51</f>
        <v/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 t="str">
        <f>Assy.Model!$M52</f>
        <v/>
      </c>
      <c r="N207" s="594" t="str">
        <f>Assy.Model!K52</f>
        <v/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 t="str">
        <f>Assy.Model!$M53</f>
        <v/>
      </c>
      <c r="N208" s="594" t="str">
        <f>Assy.Model!K53</f>
        <v/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 t="str">
        <f>Assy.Model!$M54</f>
        <v/>
      </c>
      <c r="N209" s="594" t="str">
        <f>Assy.Model!K54</f>
        <v/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 t="str">
        <f>Assy.Model!$M55</f>
        <v/>
      </c>
      <c r="N210" s="594" t="str">
        <f>Assy.Model!K55</f>
        <v/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 t="str">
        <f>Assy.Model!$M56</f>
        <v/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 t="str">
        <f>Assy.Model!$M57</f>
        <v/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2023-03-21T13:07:18Z</dcterms:modified>
</cp:coreProperties>
</file>