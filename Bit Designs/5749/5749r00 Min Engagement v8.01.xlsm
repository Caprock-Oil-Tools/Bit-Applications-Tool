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5749\"/>
    </mc:Choice>
  </mc:AlternateContent>
  <xr:revisionPtr revIDLastSave="0" documentId="13_ncr:1_{3329E249-CA41-4C66-BFD4-E9F0DAF0FC8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64" i="1" l="1" a="1"/>
  <c r="AD164" i="1" s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V271" i="1"/>
  <c r="G116" i="1" s="1"/>
  <c r="U271" i="1"/>
  <c r="F116" i="1" s="1"/>
  <c r="T271" i="1"/>
  <c r="E116" i="1" s="1"/>
  <c r="V270" i="1"/>
  <c r="G115" i="1" s="1"/>
  <c r="U270" i="1"/>
  <c r="F115" i="1" s="1"/>
  <c r="T270" i="1"/>
  <c r="E115" i="1" s="1"/>
  <c r="V269" i="1"/>
  <c r="G114" i="1" s="1"/>
  <c r="U269" i="1"/>
  <c r="F114" i="1" s="1"/>
  <c r="T269" i="1"/>
  <c r="E114" i="1" s="1"/>
  <c r="V268" i="1"/>
  <c r="G113" i="1" s="1"/>
  <c r="U268" i="1"/>
  <c r="F113" i="1" s="1"/>
  <c r="T268" i="1"/>
  <c r="E113" i="1" s="1"/>
  <c r="V267" i="1"/>
  <c r="G112" i="1" s="1"/>
  <c r="U267" i="1"/>
  <c r="F112" i="1" s="1"/>
  <c r="T267" i="1"/>
  <c r="E112" i="1" s="1"/>
  <c r="V266" i="1"/>
  <c r="G111" i="1" s="1"/>
  <c r="U266" i="1"/>
  <c r="F111" i="1" s="1"/>
  <c r="T266" i="1"/>
  <c r="E111" i="1" s="1"/>
  <c r="V265" i="1"/>
  <c r="G110" i="1" s="1"/>
  <c r="U265" i="1"/>
  <c r="F110" i="1" s="1"/>
  <c r="T265" i="1"/>
  <c r="E110" i="1" s="1"/>
  <c r="V264" i="1"/>
  <c r="G109" i="1" s="1"/>
  <c r="U264" i="1"/>
  <c r="F109" i="1" s="1"/>
  <c r="T264" i="1"/>
  <c r="E109" i="1" s="1"/>
  <c r="V263" i="1"/>
  <c r="G108" i="1" s="1"/>
  <c r="U263" i="1"/>
  <c r="F108" i="1" s="1"/>
  <c r="T263" i="1"/>
  <c r="E108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Z271" i="1"/>
  <c r="K116" i="1" s="1"/>
  <c r="A116" i="1" s="1"/>
  <c r="Z270" i="1"/>
  <c r="K115" i="1" s="1"/>
  <c r="A115" i="1" s="1"/>
  <c r="Z269" i="1"/>
  <c r="K114" i="1" s="1"/>
  <c r="A114" i="1" s="1"/>
  <c r="Z268" i="1"/>
  <c r="K113" i="1" s="1"/>
  <c r="A113" i="1" s="1"/>
  <c r="Z267" i="1"/>
  <c r="Z266" i="1"/>
  <c r="K111" i="1" s="1"/>
  <c r="A111" i="1" s="1"/>
  <c r="Z265" i="1"/>
  <c r="K110" i="1" s="1"/>
  <c r="A110" i="1" s="1"/>
  <c r="Z264" i="1"/>
  <c r="K109" i="1" s="1"/>
  <c r="A109" i="1" s="1"/>
  <c r="Z263" i="1"/>
  <c r="K108" i="1" s="1"/>
  <c r="A108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X271" i="1"/>
  <c r="I116" i="1" s="1"/>
  <c r="S271" i="1"/>
  <c r="R271" i="1"/>
  <c r="Q271" i="1"/>
  <c r="X270" i="1"/>
  <c r="I115" i="1" s="1"/>
  <c r="S270" i="1"/>
  <c r="R270" i="1"/>
  <c r="Q270" i="1"/>
  <c r="X269" i="1"/>
  <c r="I114" i="1" s="1"/>
  <c r="S269" i="1"/>
  <c r="R269" i="1"/>
  <c r="Q269" i="1"/>
  <c r="X268" i="1"/>
  <c r="I113" i="1" s="1"/>
  <c r="S268" i="1"/>
  <c r="R268" i="1"/>
  <c r="Q268" i="1"/>
  <c r="X267" i="1"/>
  <c r="I112" i="1" s="1"/>
  <c r="S267" i="1"/>
  <c r="R267" i="1"/>
  <c r="Q267" i="1"/>
  <c r="X266" i="1"/>
  <c r="I111" i="1" s="1"/>
  <c r="S266" i="1"/>
  <c r="R266" i="1"/>
  <c r="Q266" i="1"/>
  <c r="X265" i="1"/>
  <c r="I110" i="1" s="1"/>
  <c r="S265" i="1"/>
  <c r="R265" i="1"/>
  <c r="Q265" i="1"/>
  <c r="X264" i="1"/>
  <c r="I109" i="1" s="1"/>
  <c r="S264" i="1"/>
  <c r="R264" i="1"/>
  <c r="Q264" i="1"/>
  <c r="X263" i="1"/>
  <c r="I108" i="1" s="1"/>
  <c r="S263" i="1"/>
  <c r="R263" i="1"/>
  <c r="Q263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B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69" i="1"/>
  <c r="H114" i="1" s="1"/>
  <c r="W277" i="1"/>
  <c r="H122" i="1" s="1"/>
  <c r="W285" i="1"/>
  <c r="H130" i="1" s="1"/>
  <c r="W293" i="1"/>
  <c r="H138" i="1" s="1"/>
  <c r="W301" i="1"/>
  <c r="H146" i="1" s="1"/>
  <c r="W270" i="1"/>
  <c r="H115" i="1" s="1"/>
  <c r="W278" i="1"/>
  <c r="H123" i="1" s="1"/>
  <c r="W286" i="1"/>
  <c r="H131" i="1" s="1"/>
  <c r="W294" i="1"/>
  <c r="H139" i="1" s="1"/>
  <c r="W302" i="1"/>
  <c r="H147" i="1" s="1"/>
  <c r="W263" i="1"/>
  <c r="H108" i="1" s="1"/>
  <c r="W271" i="1"/>
  <c r="H116" i="1" s="1"/>
  <c r="W279" i="1"/>
  <c r="H124" i="1" s="1"/>
  <c r="W287" i="1"/>
  <c r="H132" i="1" s="1"/>
  <c r="W295" i="1"/>
  <c r="H140" i="1" s="1"/>
  <c r="W303" i="1"/>
  <c r="H148" i="1" s="1"/>
  <c r="W264" i="1"/>
  <c r="H109" i="1" s="1"/>
  <c r="W272" i="1"/>
  <c r="H117" i="1" s="1"/>
  <c r="W280" i="1"/>
  <c r="H125" i="1" s="1"/>
  <c r="W296" i="1"/>
  <c r="H141" i="1" s="1"/>
  <c r="W304" i="1"/>
  <c r="H149" i="1" s="1"/>
  <c r="W265" i="1"/>
  <c r="H110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s="1"/>
  <c r="DD40" i="1" l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P51" i="1"/>
  <c r="S51" i="1" s="1"/>
  <c r="Y51" i="1" s="1"/>
  <c r="O51" i="1"/>
  <c r="BG51" i="1" s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BP87" i="1" s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BP83" i="1" s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P25" i="1"/>
  <c r="S25" i="1" s="1"/>
  <c r="Y25" i="1" s="1"/>
  <c r="Z25" i="1"/>
  <c r="O25" i="1"/>
  <c r="BG25" i="1" s="1"/>
  <c r="M172" i="7"/>
  <c r="AA17" i="1"/>
  <c r="P17" i="1"/>
  <c r="S17" i="1" s="1"/>
  <c r="Y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GV43" i="1" l="1"/>
  <c r="GX43" i="1" s="1"/>
  <c r="DJ21" i="1"/>
  <c r="GM114" i="1"/>
  <c r="BP114" i="1"/>
  <c r="GL18" i="1"/>
  <c r="GS97" i="1"/>
  <c r="BP97" i="1"/>
  <c r="DG65" i="1"/>
  <c r="DV96" i="1"/>
  <c r="BP96" i="1"/>
  <c r="CJ111" i="1"/>
  <c r="BP111" i="1"/>
  <c r="BX112" i="1"/>
  <c r="BP112" i="1"/>
  <c r="HB110" i="1"/>
  <c r="BP110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BP71" i="1"/>
  <c r="EY102" i="1"/>
  <c r="BP102" i="1"/>
  <c r="BD117" i="1"/>
  <c r="BP117" i="1"/>
  <c r="BG85" i="1"/>
  <c r="BP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CU84" i="1"/>
  <c r="BP8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FC86" i="1"/>
  <c r="BP86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DX86" i="1"/>
  <c r="HA86" i="1"/>
  <c r="GF118" i="1"/>
  <c r="Q15" i="1"/>
  <c r="BD118" i="1"/>
  <c r="FR86" i="1"/>
  <c r="CO13" i="1"/>
  <c r="EP118" i="1"/>
  <c r="CZ118" i="1"/>
  <c r="GB118" i="1"/>
  <c r="AE54" i="1"/>
  <c r="ET54" i="1" s="1"/>
  <c r="Q17" i="1"/>
  <c r="V11" i="1"/>
  <c r="CQ122" i="1"/>
  <c r="BG70" i="1"/>
  <c r="DB70" i="1"/>
  <c r="DC102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V46" i="1"/>
  <c r="V27" i="1"/>
  <c r="AZ14" i="1"/>
  <c r="GM14" i="1" s="1"/>
  <c r="DE14" i="1"/>
  <c r="Q102" i="1"/>
  <c r="AD54" i="1"/>
  <c r="AH54" i="1" s="1"/>
  <c r="AE97" i="1"/>
  <c r="AC54" i="1"/>
  <c r="GW82" i="1"/>
  <c r="AZ96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X54" i="1" s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EQ112" i="1"/>
  <c r="BZ70" i="1"/>
  <c r="CV102" i="1"/>
  <c r="AZ70" i="1"/>
  <c r="GM70" i="1" s="1"/>
  <c r="DR102" i="1"/>
  <c r="GJ70" i="1"/>
  <c r="DD70" i="1"/>
  <c r="BW102" i="1"/>
  <c r="BZ102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ET62" i="1" s="1"/>
  <c r="FK62" i="1" s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BK86" i="1"/>
  <c r="CL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V45" i="1"/>
  <c r="BH60" i="1"/>
  <c r="Q43" i="1"/>
  <c r="BZ13" i="1"/>
  <c r="BS13" i="1"/>
  <c r="DE13" i="1"/>
  <c r="DD13" i="1"/>
  <c r="DD59" i="1"/>
  <c r="GL54" i="1"/>
  <c r="BF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DJ54" i="1" s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X31" i="1" s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BG74" i="1"/>
  <c r="GJ74" i="1"/>
  <c r="HI74" i="1"/>
  <c r="DG74" i="1"/>
  <c r="DH74" i="1"/>
  <c r="DJ74" i="1"/>
  <c r="EU74" i="1"/>
  <c r="CD71" i="1"/>
  <c r="GX74" i="1"/>
  <c r="FB115" i="1"/>
  <c r="DO115" i="1"/>
  <c r="BN83" i="1"/>
  <c r="FS83" i="1"/>
  <c r="AZ74" i="1"/>
  <c r="BM74" i="1"/>
  <c r="CO74" i="1"/>
  <c r="BH74" i="1"/>
  <c r="BT74" i="1"/>
  <c r="EY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DT71" i="1" s="1"/>
  <c r="BN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Q8" i="1" s="1"/>
  <c r="V19" i="1"/>
  <c r="V26" i="1"/>
  <c r="V54" i="1"/>
  <c r="V39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DI67" i="1" s="1"/>
  <c r="GL58" i="1"/>
  <c r="BI58" i="1"/>
  <c r="BG58" i="1"/>
  <c r="DE58" i="1"/>
  <c r="DF58" i="1"/>
  <c r="DJ58" i="1" s="1"/>
  <c r="BV58" i="1"/>
  <c r="BT58" i="1"/>
  <c r="ET58" i="1"/>
  <c r="BY58" i="1"/>
  <c r="CO58" i="1"/>
  <c r="GM58" i="1"/>
  <c r="DC58" i="1"/>
  <c r="GK58" i="1"/>
  <c r="BH58" i="1"/>
  <c r="GW58" i="1"/>
  <c r="AZ58" i="1"/>
  <c r="BD58" i="1"/>
  <c r="DH58" i="1" s="1"/>
  <c r="DI58" i="1"/>
  <c r="DT58" i="1" s="1"/>
  <c r="DB58" i="1"/>
  <c r="GJ58" i="1"/>
  <c r="DG58" i="1"/>
  <c r="DK58" i="1" s="1"/>
  <c r="HI58" i="1"/>
  <c r="CI58" i="1"/>
  <c r="DD58" i="1"/>
  <c r="CD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GH98" i="1"/>
  <c r="GH121" i="1"/>
  <c r="FL121" i="1"/>
  <c r="CJ85" i="1"/>
  <c r="CM117" i="1"/>
  <c r="CY117" i="1"/>
  <c r="CX85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GX73" i="1"/>
  <c r="DC73" i="1"/>
  <c r="BT73" i="1"/>
  <c r="BI73" i="1"/>
  <c r="BV73" i="1"/>
  <c r="BS73" i="1"/>
  <c r="GV73" i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BN73" i="1"/>
  <c r="BP73" i="1" s="1"/>
  <c r="DT73" i="1"/>
  <c r="BJ73" i="1"/>
  <c r="BR73" i="1" s="1"/>
  <c r="AZ73" i="1"/>
  <c r="DD73" i="1"/>
  <c r="DK73" i="1" s="1"/>
  <c r="BY73" i="1"/>
  <c r="BK73" i="1"/>
  <c r="CD73" i="1"/>
  <c r="BD73" i="1"/>
  <c r="BW73" i="1"/>
  <c r="GL73" i="1"/>
  <c r="HI73" i="1"/>
  <c r="BM73" i="1"/>
  <c r="FK73" i="1"/>
  <c r="EY73" i="1"/>
  <c r="GM73" i="1"/>
  <c r="ET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EY72" i="1"/>
  <c r="DK72" i="1"/>
  <c r="DT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BN72" i="1"/>
  <c r="BP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O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ET53" i="1" s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DE54" i="1"/>
  <c r="BW54" i="1"/>
  <c r="BD54" i="1"/>
  <c r="DH54" i="1" s="1"/>
  <c r="HI54" i="1"/>
  <c r="GM54" i="1"/>
  <c r="BS54" i="1"/>
  <c r="GW54" i="1"/>
  <c r="DB54" i="1"/>
  <c r="DI54" i="1" s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K70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DI70" i="1" s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GV70" i="1" s="1"/>
  <c r="GX70" i="1" s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X71" i="1"/>
  <c r="ET71" i="1"/>
  <c r="GV71" i="1"/>
  <c r="FK71" i="1"/>
  <c r="Q69" i="1"/>
  <c r="GL68" i="1"/>
  <c r="BT68" i="1"/>
  <c r="DF68" i="1"/>
  <c r="DJ68" i="1" s="1"/>
  <c r="DH68" i="1"/>
  <c r="BV68" i="1"/>
  <c r="BH68" i="1"/>
  <c r="DB68" i="1"/>
  <c r="GJ68" i="1"/>
  <c r="GK68" i="1" s="1"/>
  <c r="Q64" i="1"/>
  <c r="AE45" i="1"/>
  <c r="ET45" i="1" s="1"/>
  <c r="AE35" i="1"/>
  <c r="ET35" i="1" s="1"/>
  <c r="AE18" i="1"/>
  <c r="ET18" i="1" s="1"/>
  <c r="Q14" i="1"/>
  <c r="Q1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GW62" i="1"/>
  <c r="ES62" i="1"/>
  <c r="DD62" i="1"/>
  <c r="BS62" i="1"/>
  <c r="CD62" i="1" s="1"/>
  <c r="BH62" i="1"/>
  <c r="GV62" i="1"/>
  <c r="GX62" i="1" s="1"/>
  <c r="BT62" i="1"/>
  <c r="BD62" i="1"/>
  <c r="DH62" i="1" s="1"/>
  <c r="CO62" i="1"/>
  <c r="AZ62" i="1"/>
  <c r="GM62" i="1" s="1"/>
  <c r="BW62" i="1"/>
  <c r="GK62" i="1"/>
  <c r="DG62" i="1"/>
  <c r="DK62" i="1" s="1"/>
  <c r="DC62" i="1"/>
  <c r="EU62" i="1"/>
  <c r="EY62" i="1" s="1"/>
  <c r="BZ62" i="1"/>
  <c r="BF62" i="1"/>
  <c r="BI62" i="1" s="1"/>
  <c r="BY62" i="1"/>
  <c r="HI62" i="1"/>
  <c r="BG62" i="1"/>
  <c r="DB62" i="1"/>
  <c r="DI62" i="1" s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X14" i="1" s="1"/>
  <c r="BV62" i="1"/>
  <c r="GJ62" i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AE51" i="1"/>
  <c r="ET51" i="1" s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X11" i="1" s="1"/>
  <c r="AQ11" i="1" s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X15" i="1" s="1"/>
  <c r="DF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ET42" i="1" s="1"/>
  <c r="Q41" i="1"/>
  <c r="R33" i="1"/>
  <c r="X33" i="1" s="1"/>
  <c r="DF81" i="1"/>
  <c r="GM81" i="1"/>
  <c r="GK81" i="1"/>
  <c r="DG81" i="1"/>
  <c r="GW81" i="1"/>
  <c r="GV81" i="1" s="1"/>
  <c r="HI81" i="1"/>
  <c r="GL81" i="1"/>
  <c r="AZ81" i="1"/>
  <c r="GJ81" i="1"/>
  <c r="BZ81" i="1"/>
  <c r="DC81" i="1"/>
  <c r="DJ81" i="1" s="1"/>
  <c r="ET81" i="1"/>
  <c r="BG81" i="1"/>
  <c r="CO81" i="1"/>
  <c r="DB81" i="1"/>
  <c r="BS81" i="1"/>
  <c r="CD81" i="1" s="1"/>
  <c r="DK81" i="1"/>
  <c r="BF81" i="1"/>
  <c r="BI81" i="1" s="1"/>
  <c r="BW81" i="1"/>
  <c r="BD81" i="1"/>
  <c r="DH81" i="1" s="1"/>
  <c r="BT81" i="1"/>
  <c r="CI81" i="1"/>
  <c r="DD81" i="1"/>
  <c r="BV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DQ85" i="1"/>
  <c r="BE85" i="1"/>
  <c r="EQ95" i="1"/>
  <c r="CH100" i="1"/>
  <c r="DH100" i="1"/>
  <c r="BX100" i="1"/>
  <c r="BI75" i="1"/>
  <c r="DD75" i="1"/>
  <c r="BM75" i="1"/>
  <c r="GM75" i="1"/>
  <c r="BK75" i="1"/>
  <c r="BD75" i="1"/>
  <c r="GU75" i="1"/>
  <c r="BS75" i="1"/>
  <c r="DB75" i="1"/>
  <c r="GV75" i="1"/>
  <c r="BT75" i="1"/>
  <c r="BH75" i="1"/>
  <c r="GK75" i="1"/>
  <c r="BF75" i="1"/>
  <c r="DC75" i="1"/>
  <c r="GX75" i="1"/>
  <c r="CD75" i="1"/>
  <c r="CI75" i="1"/>
  <c r="BY75" i="1"/>
  <c r="ET75" i="1"/>
  <c r="BZ75" i="1"/>
  <c r="HI75" i="1"/>
  <c r="EU75" i="1"/>
  <c r="DF75" i="1"/>
  <c r="DG75" i="1"/>
  <c r="DT75" i="1"/>
  <c r="GJ75" i="1"/>
  <c r="CO75" i="1"/>
  <c r="FK75" i="1"/>
  <c r="BV75" i="1"/>
  <c r="DE75" i="1"/>
  <c r="ES75" i="1"/>
  <c r="DJ75" i="1"/>
  <c r="EY75" i="1"/>
  <c r="GW75" i="1"/>
  <c r="BL75" i="1"/>
  <c r="BJ75" i="1"/>
  <c r="BW75" i="1"/>
  <c r="GL75" i="1"/>
  <c r="DK75" i="1"/>
  <c r="DH75" i="1"/>
  <c r="AZ75" i="1"/>
  <c r="DI75" i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EC85" i="1"/>
  <c r="BO85" i="1"/>
  <c r="BB85" i="1"/>
  <c r="BQ100" i="1"/>
  <c r="EK95" i="1"/>
  <c r="DD34" i="1"/>
  <c r="DE34" i="1"/>
  <c r="DB63" i="1"/>
  <c r="GL63" i="1"/>
  <c r="GV63" i="1" s="1"/>
  <c r="DD63" i="1"/>
  <c r="BH63" i="1"/>
  <c r="DE63" i="1"/>
  <c r="GJ63" i="1"/>
  <c r="GK63" i="1" s="1"/>
  <c r="GW63" i="1"/>
  <c r="BF63" i="1"/>
  <c r="BI63" i="1" s="1"/>
  <c r="AZ63" i="1"/>
  <c r="GM63" i="1" s="1"/>
  <c r="BT63" i="1"/>
  <c r="BG63" i="1"/>
  <c r="BY63" i="1"/>
  <c r="HI63" i="1"/>
  <c r="BS63" i="1"/>
  <c r="CI63" i="1"/>
  <c r="CO63" i="1"/>
  <c r="BD63" i="1"/>
  <c r="DH63" i="1" s="1"/>
  <c r="BZ63" i="1"/>
  <c r="BW63" i="1"/>
  <c r="CT85" i="1"/>
  <c r="BN85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EM85" i="1"/>
  <c r="DI85" i="1"/>
  <c r="BX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FT85" i="1"/>
  <c r="FC85" i="1"/>
  <c r="BQ85" i="1"/>
  <c r="BY81" i="1"/>
  <c r="DE81" i="1"/>
  <c r="DI81" i="1" s="1"/>
  <c r="DT81" i="1" s="1"/>
  <c r="DG80" i="1"/>
  <c r="DK80" i="1" s="1"/>
  <c r="DC80" i="1"/>
  <c r="BW80" i="1"/>
  <c r="BG80" i="1"/>
  <c r="DD80" i="1"/>
  <c r="BY80" i="1"/>
  <c r="BV80" i="1"/>
  <c r="CO80" i="1"/>
  <c r="DF80" i="1"/>
  <c r="DJ80" i="1" s="1"/>
  <c r="BZ80" i="1"/>
  <c r="EY80" i="1"/>
  <c r="GK80" i="1"/>
  <c r="HI80" i="1"/>
  <c r="DE80" i="1"/>
  <c r="DI80" i="1" s="1"/>
  <c r="BH80" i="1"/>
  <c r="CI80" i="1"/>
  <c r="GL80" i="1"/>
  <c r="EU80" i="1"/>
  <c r="AZ80" i="1"/>
  <c r="DB80" i="1"/>
  <c r="BD80" i="1"/>
  <c r="DH80" i="1" s="1"/>
  <c r="BT80" i="1"/>
  <c r="GW80" i="1"/>
  <c r="GV80" i="1" s="1"/>
  <c r="BF80" i="1"/>
  <c r="BL80" i="1" s="1"/>
  <c r="BS80" i="1"/>
  <c r="CD80" i="1" s="1"/>
  <c r="GJ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EZ85" i="1"/>
  <c r="BZ95" i="1"/>
  <c r="CM100" i="1"/>
  <c r="GM80" i="1"/>
  <c r="BQ75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I66" i="1"/>
  <c r="DD66" i="1"/>
  <c r="GJ66" i="1"/>
  <c r="GK66" i="1" s="1"/>
  <c r="BZ66" i="1"/>
  <c r="HI66" i="1"/>
  <c r="BT66" i="1"/>
  <c r="CO66" i="1"/>
  <c r="BW66" i="1"/>
  <c r="GL66" i="1"/>
  <c r="GV66" i="1" s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DG31" i="1"/>
  <c r="FN85" i="1"/>
  <c r="EG85" i="1"/>
  <c r="EI85" i="1"/>
  <c r="BN75" i="1"/>
  <c r="BP75" i="1" s="1"/>
  <c r="CF75" i="1" s="1"/>
  <c r="CL75" i="1" s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EY53" i="1" s="1"/>
  <c r="CI53" i="1"/>
  <c r="DG53" i="1"/>
  <c r="BG53" i="1"/>
  <c r="DF53" i="1"/>
  <c r="AZ53" i="1"/>
  <c r="CO53" i="1"/>
  <c r="ES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AZ78" i="1"/>
  <c r="BF78" i="1"/>
  <c r="DD49" i="1"/>
  <c r="BV49" i="1"/>
  <c r="DG49" i="1"/>
  <c r="DH78" i="1"/>
  <c r="HI46" i="1"/>
  <c r="BF49" i="1"/>
  <c r="BI49" i="1" s="1"/>
  <c r="BT49" i="1"/>
  <c r="GW49" i="1"/>
  <c r="HI49" i="1"/>
  <c r="DE78" i="1"/>
  <c r="BG49" i="1"/>
  <c r="BW49" i="1"/>
  <c r="BD46" i="1"/>
  <c r="DH46" i="1" s="1"/>
  <c r="BH78" i="1"/>
  <c r="DC49" i="1"/>
  <c r="BD49" i="1"/>
  <c r="DH49" i="1" s="1"/>
  <c r="BS46" i="1"/>
  <c r="GL49" i="1"/>
  <c r="BH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M79" i="1"/>
  <c r="DE79" i="1"/>
  <c r="DI79" i="1" s="1"/>
  <c r="DD79" i="1"/>
  <c r="GJ79" i="1"/>
  <c r="GX79" i="1" s="1"/>
  <c r="BH79" i="1"/>
  <c r="BF79" i="1"/>
  <c r="BS79" i="1"/>
  <c r="CD79" i="1" s="1"/>
  <c r="CO79" i="1"/>
  <c r="DG79" i="1"/>
  <c r="ES79" i="1"/>
  <c r="GW79" i="1"/>
  <c r="BW79" i="1"/>
  <c r="DC79" i="1"/>
  <c r="DF79" i="1"/>
  <c r="DJ79" i="1" s="1"/>
  <c r="AZ79" i="1"/>
  <c r="DK79" i="1"/>
  <c r="GL79" i="1"/>
  <c r="HI79" i="1"/>
  <c r="DB79" i="1"/>
  <c r="GV79" i="1"/>
  <c r="EU79" i="1"/>
  <c r="EY79" i="1" s="1"/>
  <c r="CI79" i="1"/>
  <c r="BG79" i="1"/>
  <c r="BD79" i="1"/>
  <c r="DH79" i="1" s="1"/>
  <c r="BY79" i="1"/>
  <c r="BV79" i="1"/>
  <c r="BT79" i="1"/>
  <c r="BI79" i="1"/>
  <c r="BZ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L82" i="1"/>
  <c r="BS82" i="1"/>
  <c r="CD82" i="1" s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C123" i="1"/>
  <c r="CT123" i="1"/>
  <c r="ET59" i="1"/>
  <c r="EU59" i="1"/>
  <c r="EY59" i="1" s="1"/>
  <c r="GW59" i="1"/>
  <c r="GV59" i="1" s="1"/>
  <c r="GX59" i="1" s="1"/>
  <c r="BZ59" i="1"/>
  <c r="DH59" i="1"/>
  <c r="GM59" i="1"/>
  <c r="DG59" i="1"/>
  <c r="AZ59" i="1"/>
  <c r="GJ59" i="1"/>
  <c r="GK59" i="1" s="1"/>
  <c r="DF59" i="1"/>
  <c r="DJ59" i="1" s="1"/>
  <c r="DB59" i="1"/>
  <c r="GL59" i="1"/>
  <c r="BW59" i="1"/>
  <c r="CO59" i="1"/>
  <c r="BY59" i="1"/>
  <c r="CI59" i="1"/>
  <c r="BS59" i="1"/>
  <c r="CD59" i="1" s="1"/>
  <c r="BV59" i="1"/>
  <c r="HI59" i="1"/>
  <c r="BD59" i="1"/>
  <c r="BH59" i="1"/>
  <c r="DC59" i="1"/>
  <c r="BG59" i="1"/>
  <c r="BF59" i="1"/>
  <c r="DE59" i="1"/>
  <c r="DI59" i="1" s="1"/>
  <c r="DT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DB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DK5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GJ82" i="1"/>
  <c r="GK82" i="1" s="1"/>
  <c r="GV82" i="1"/>
  <c r="ES82" i="1"/>
  <c r="BW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BU123" i="1"/>
  <c r="GV123" i="1"/>
  <c r="DS123" i="1"/>
  <c r="DG64" i="1"/>
  <c r="CI64" i="1"/>
  <c r="DB64" i="1"/>
  <c r="BS64" i="1"/>
  <c r="HI64" i="1"/>
  <c r="DE64" i="1"/>
  <c r="BY64" i="1"/>
  <c r="DD64" i="1"/>
  <c r="BD64" i="1"/>
  <c r="GL64" i="1"/>
  <c r="BW64" i="1"/>
  <c r="CO64" i="1"/>
  <c r="DF64" i="1"/>
  <c r="DJ64" i="1" s="1"/>
  <c r="GW64" i="1"/>
  <c r="DI64" i="1"/>
  <c r="DC64" i="1"/>
  <c r="BT64" i="1"/>
  <c r="DH64" i="1"/>
  <c r="GJ64" i="1"/>
  <c r="DK64" i="1"/>
  <c r="BV64" i="1"/>
  <c r="BZ64" i="1"/>
  <c r="GK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DC82" i="1"/>
  <c r="DD82" i="1"/>
  <c r="DK82" i="1" s="1"/>
  <c r="CO82" i="1"/>
  <c r="AZ82" i="1"/>
  <c r="GM82" i="1" s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I82" i="1"/>
  <c r="DF82" i="1"/>
  <c r="DI82" i="1"/>
  <c r="DT82" i="1" s="1"/>
  <c r="BD82" i="1"/>
  <c r="DH82" i="1" s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DI69" i="1" s="1"/>
  <c r="BG69" i="1"/>
  <c r="BH69" i="1"/>
  <c r="BI60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HI69" i="1"/>
  <c r="GW69" i="1"/>
  <c r="GV69" i="1" s="1"/>
  <c r="GL69" i="1"/>
  <c r="GL14" i="1"/>
  <c r="EO114" i="1"/>
  <c r="CO69" i="1"/>
  <c r="CI69" i="1"/>
  <c r="BG47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DJ82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EC123" i="1"/>
  <c r="FY123" i="1"/>
  <c r="GR123" i="1"/>
  <c r="AZ65" i="1"/>
  <c r="GM65" i="1" s="1"/>
  <c r="BY65" i="1"/>
  <c r="BF65" i="1"/>
  <c r="BI65" i="1" s="1"/>
  <c r="CO65" i="1"/>
  <c r="BV65" i="1"/>
  <c r="DE65" i="1"/>
  <c r="DI65" i="1" s="1"/>
  <c r="BD65" i="1"/>
  <c r="BH65" i="1"/>
  <c r="BG65" i="1"/>
  <c r="CI65" i="1"/>
  <c r="DF65" i="1"/>
  <c r="BS65" i="1"/>
  <c r="DD65" i="1"/>
  <c r="DK65" i="1" s="1"/>
  <c r="BW65" i="1"/>
  <c r="DH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EU60" i="1"/>
  <c r="EY60" i="1" s="1"/>
  <c r="AZ60" i="1"/>
  <c r="GM60" i="1" s="1"/>
  <c r="CI60" i="1"/>
  <c r="GW60" i="1"/>
  <c r="DD60" i="1"/>
  <c r="DK60" i="1" s="1"/>
  <c r="BD60" i="1"/>
  <c r="DG60" i="1"/>
  <c r="DF60" i="1"/>
  <c r="DJ60" i="1" s="1"/>
  <c r="BG60" i="1"/>
  <c r="GL60" i="1"/>
  <c r="GV60" i="1" s="1"/>
  <c r="GU60" i="1" s="1"/>
  <c r="BY60" i="1"/>
  <c r="HI60" i="1"/>
  <c r="CO60" i="1"/>
  <c r="DC60" i="1"/>
  <c r="BV60" i="1"/>
  <c r="DC14" i="1"/>
  <c r="DF14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BF82" i="1"/>
  <c r="BL82" i="1" s="1"/>
  <c r="BI82" i="1"/>
  <c r="BZ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CH74" i="1" s="1"/>
  <c r="BS74" i="1"/>
  <c r="ET74" i="1"/>
  <c r="DI74" i="1"/>
  <c r="DE74" i="1"/>
  <c r="DF74" i="1"/>
  <c r="CI74" i="1"/>
  <c r="BW74" i="1"/>
  <c r="BF74" i="1"/>
  <c r="BI74" i="1" s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DJ78" i="1" s="1"/>
  <c r="BS78" i="1"/>
  <c r="CD78" i="1" s="1"/>
  <c r="BZ78" i="1"/>
  <c r="BV78" i="1"/>
  <c r="BT78" i="1"/>
  <c r="BD78" i="1"/>
  <c r="ES78" i="1"/>
  <c r="BG78" i="1"/>
  <c r="DD78" i="1"/>
  <c r="DF78" i="1"/>
  <c r="DB78" i="1"/>
  <c r="DI78" i="1" s="1"/>
  <c r="DT78" i="1" s="1"/>
  <c r="BI78" i="1"/>
  <c r="DG78" i="1"/>
  <c r="DK78" i="1" s="1"/>
  <c r="HI78" i="1"/>
  <c r="GJ78" i="1"/>
  <c r="GK78" i="1" s="1"/>
  <c r="GM78" i="1"/>
  <c r="CO78" i="1"/>
  <c r="GL78" i="1"/>
  <c r="GV78" i="1" s="1"/>
  <c r="GW78" i="1"/>
  <c r="EU78" i="1"/>
  <c r="EY78" i="1" s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L15" i="1" s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ES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BI61" i="1"/>
  <c r="CI61" i="1"/>
  <c r="BH61" i="1"/>
  <c r="DF61" i="1"/>
  <c r="BD61" i="1"/>
  <c r="DH61" i="1" s="1"/>
  <c r="GW61" i="1"/>
  <c r="BG61" i="1"/>
  <c r="BZ61" i="1"/>
  <c r="BS61" i="1"/>
  <c r="CD61" i="1" s="1"/>
  <c r="BW61" i="1"/>
  <c r="GJ61" i="1"/>
  <c r="GK61" i="1" s="1"/>
  <c r="GU61" i="1" s="1"/>
  <c r="DC61" i="1"/>
  <c r="BV61" i="1"/>
  <c r="GX61" i="1"/>
  <c r="GV61" i="1"/>
  <c r="DD61" i="1"/>
  <c r="DK61" i="1" s="1"/>
  <c r="BF61" i="1"/>
  <c r="GL61" i="1"/>
  <c r="DE61" i="1"/>
  <c r="DJ61" i="1"/>
  <c r="BT61" i="1"/>
  <c r="HI61" i="1"/>
  <c r="DI61" i="1"/>
  <c r="DB61" i="1"/>
  <c r="DG61" i="1"/>
  <c r="CO61" i="1"/>
  <c r="AZ61" i="1"/>
  <c r="GM61" i="1" s="1"/>
  <c r="BY61" i="1"/>
  <c r="GW68" i="1"/>
  <c r="GV68" i="1" s="1"/>
  <c r="GU68" i="1" s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DG63" i="1"/>
  <c r="DK63" i="1" s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CD60" i="1" s="1"/>
  <c r="ES60" i="1"/>
  <c r="DE60" i="1"/>
  <c r="DI60" i="1" s="1"/>
  <c r="DT60" i="1" s="1"/>
  <c r="BT60" i="1"/>
  <c r="DH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ET41" i="1" s="1"/>
  <c r="AF67" i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ET80" i="1" s="1"/>
  <c r="AC78" i="1"/>
  <c r="AE78" i="1"/>
  <c r="ET78" i="1" s="1"/>
  <c r="AD78" i="1"/>
  <c r="AH78" i="1" s="1"/>
  <c r="BL78" i="1" s="1"/>
  <c r="AF78" i="1"/>
  <c r="R78" i="1"/>
  <c r="X78" i="1" s="1"/>
  <c r="AD77" i="1"/>
  <c r="AH77" i="1" s="1"/>
  <c r="AE72" i="1"/>
  <c r="AE67" i="1"/>
  <c r="ET67" i="1" s="1"/>
  <c r="AE66" i="1"/>
  <c r="ET66" i="1" s="1"/>
  <c r="R64" i="1"/>
  <c r="X64" i="1" s="1"/>
  <c r="AE63" i="1"/>
  <c r="ET63" i="1" s="1"/>
  <c r="AD63" i="1"/>
  <c r="AC63" i="1"/>
  <c r="AF63" i="1"/>
  <c r="EU63" i="1" s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ET82" i="1" s="1"/>
  <c r="Q82" i="1"/>
  <c r="AC82" i="1"/>
  <c r="AD82" i="1"/>
  <c r="AH82" i="1" s="1"/>
  <c r="AE81" i="1"/>
  <c r="AD81" i="1"/>
  <c r="AH81" i="1" s="1"/>
  <c r="AC81" i="1"/>
  <c r="AF81" i="1"/>
  <c r="EU81" i="1" s="1"/>
  <c r="EY81" i="1" s="1"/>
  <c r="V80" i="1"/>
  <c r="R80" i="1"/>
  <c r="X80" i="1" s="1"/>
  <c r="Q80" i="1"/>
  <c r="AC79" i="1"/>
  <c r="AF79" i="1"/>
  <c r="AE79" i="1"/>
  <c r="ET79" i="1" s="1"/>
  <c r="AD79" i="1"/>
  <c r="AH79" i="1" s="1"/>
  <c r="BL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E70" i="1"/>
  <c r="ET70" i="1" s="1"/>
  <c r="AC70" i="1"/>
  <c r="AF70" i="1"/>
  <c r="EU70" i="1" s="1"/>
  <c r="AC69" i="1"/>
  <c r="AD69" i="1"/>
  <c r="AH69" i="1" s="1"/>
  <c r="AF69" i="1"/>
  <c r="EU69" i="1" s="1"/>
  <c r="EY69" i="1" s="1"/>
  <c r="AF68" i="1"/>
  <c r="EU68" i="1" s="1"/>
  <c r="EY68" i="1" s="1"/>
  <c r="AD68" i="1"/>
  <c r="AE68" i="1"/>
  <c r="ET68" i="1" s="1"/>
  <c r="AC68" i="1"/>
  <c r="V67" i="1"/>
  <c r="AC67" i="1"/>
  <c r="Q67" i="1"/>
  <c r="AC66" i="1"/>
  <c r="AD66" i="1"/>
  <c r="AH66" i="1" s="1"/>
  <c r="BL66" i="1" s="1"/>
  <c r="AF66" i="1"/>
  <c r="EU66" i="1" s="1"/>
  <c r="EY66" i="1" s="1"/>
  <c r="R66" i="1"/>
  <c r="X66" i="1" s="1"/>
  <c r="Q66" i="1"/>
  <c r="AE65" i="1"/>
  <c r="ET65" i="1" s="1"/>
  <c r="AC65" i="1"/>
  <c r="AF65" i="1"/>
  <c r="EU65" i="1" s="1"/>
  <c r="EY65" i="1" s="1"/>
  <c r="AD65" i="1"/>
  <c r="AH65" i="1" s="1"/>
  <c r="BL65" i="1" s="1"/>
  <c r="V64" i="1"/>
  <c r="AF64" i="1"/>
  <c r="EU64" i="1" s="1"/>
  <c r="EY64" i="1" s="1"/>
  <c r="AE64" i="1"/>
  <c r="ET64" i="1" s="1"/>
  <c r="AC64" i="1"/>
  <c r="AD64" i="1"/>
  <c r="AH64" i="1" s="1"/>
  <c r="BL64" i="1" s="1"/>
  <c r="R63" i="1"/>
  <c r="X63" i="1" s="1"/>
  <c r="Q63" i="1"/>
  <c r="V61" i="1"/>
  <c r="AE61" i="1"/>
  <c r="ET61" i="1" s="1"/>
  <c r="AD61" i="1"/>
  <c r="AH61" i="1" s="1"/>
  <c r="BL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EU50" i="1" s="1"/>
  <c r="EY50" i="1" s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FK78" i="1" l="1"/>
  <c r="GU80" i="1"/>
  <c r="GX80" i="1"/>
  <c r="BK80" i="1"/>
  <c r="DT80" i="1"/>
  <c r="GX81" i="1"/>
  <c r="GU81" i="1"/>
  <c r="GU78" i="1"/>
  <c r="GX78" i="1"/>
  <c r="FK82" i="1"/>
  <c r="GU82" i="1"/>
  <c r="FK79" i="1"/>
  <c r="DT79" i="1"/>
  <c r="GX82" i="1"/>
  <c r="EU82" i="1"/>
  <c r="EY82" i="1" s="1"/>
  <c r="DK66" i="1"/>
  <c r="ES80" i="1"/>
  <c r="FK80" i="1" s="1"/>
  <c r="BL81" i="1"/>
  <c r="GK79" i="1"/>
  <c r="GU79" i="1" s="1"/>
  <c r="BI80" i="1"/>
  <c r="CD65" i="1"/>
  <c r="DJ66" i="1"/>
  <c r="DK67" i="1"/>
  <c r="CD68" i="1"/>
  <c r="ES81" i="1"/>
  <c r="FK81" i="1" s="1"/>
  <c r="EU15" i="1"/>
  <c r="EY15" i="1" s="1"/>
  <c r="GV64" i="1"/>
  <c r="GU64" i="1" s="1"/>
  <c r="GV54" i="1"/>
  <c r="GV65" i="1"/>
  <c r="GX65" i="1" s="1"/>
  <c r="DJ69" i="1"/>
  <c r="GV67" i="1"/>
  <c r="DT70" i="1"/>
  <c r="ES65" i="1"/>
  <c r="FK65" i="1" s="1"/>
  <c r="CD69" i="1"/>
  <c r="GU63" i="1"/>
  <c r="GU70" i="1"/>
  <c r="GU54" i="1"/>
  <c r="ES54" i="1"/>
  <c r="GU69" i="1"/>
  <c r="GX64" i="1"/>
  <c r="CD64" i="1"/>
  <c r="DK69" i="1"/>
  <c r="DT69" i="1" s="1"/>
  <c r="CD66" i="1"/>
  <c r="DJ70" i="1"/>
  <c r="DJ67" i="1"/>
  <c r="DT67" i="1" s="1"/>
  <c r="CD70" i="1"/>
  <c r="DJ65" i="1"/>
  <c r="DI68" i="1"/>
  <c r="DT64" i="1"/>
  <c r="BL69" i="1"/>
  <c r="GV53" i="1"/>
  <c r="DT66" i="1"/>
  <c r="CH72" i="1"/>
  <c r="CF72" i="1"/>
  <c r="CL72" i="1" s="1"/>
  <c r="CG75" i="1"/>
  <c r="CF73" i="1"/>
  <c r="CL73" i="1" s="1"/>
  <c r="BR74" i="1"/>
  <c r="BQ72" i="1"/>
  <c r="CG72" i="1" s="1"/>
  <c r="BQ74" i="1"/>
  <c r="CG74" i="1" s="1"/>
  <c r="BO71" i="1"/>
  <c r="CH71" i="1" s="1"/>
  <c r="BR72" i="1"/>
  <c r="CJ72" i="1" s="1"/>
  <c r="BO73" i="1"/>
  <c r="CH73" i="1" s="1"/>
  <c r="BQ71" i="1"/>
  <c r="CG71" i="1" s="1"/>
  <c r="BR75" i="1"/>
  <c r="CJ75" i="1" s="1"/>
  <c r="BQ73" i="1"/>
  <c r="CJ73" i="1" s="1"/>
  <c r="BO75" i="1"/>
  <c r="CH75" i="1" s="1"/>
  <c r="BR71" i="1"/>
  <c r="DT65" i="1"/>
  <c r="EY70" i="1"/>
  <c r="GU66" i="1"/>
  <c r="GX66" i="1"/>
  <c r="DK53" i="1"/>
  <c r="GX69" i="1"/>
  <c r="ES64" i="1"/>
  <c r="FK64" i="1" s="1"/>
  <c r="ES69" i="1"/>
  <c r="FK69" i="1" s="1"/>
  <c r="GX53" i="1"/>
  <c r="DI53" i="1"/>
  <c r="DI63" i="1"/>
  <c r="GX67" i="1"/>
  <c r="GK67" i="1"/>
  <c r="GU67" i="1" s="1"/>
  <c r="DK68" i="1"/>
  <c r="AM67" i="1"/>
  <c r="EU67" i="1"/>
  <c r="EY67" i="1" s="1"/>
  <c r="GX68" i="1"/>
  <c r="AH70" i="1"/>
  <c r="BL70" i="1" s="1"/>
  <c r="ES70" i="1"/>
  <c r="FK70" i="1" s="1"/>
  <c r="DT68" i="1"/>
  <c r="AH68" i="1"/>
  <c r="BL68" i="1" s="1"/>
  <c r="ES68" i="1"/>
  <c r="FK68" i="1" s="1"/>
  <c r="AH67" i="1"/>
  <c r="BL67" i="1" s="1"/>
  <c r="ES67" i="1"/>
  <c r="FK67" i="1" s="1"/>
  <c r="BI64" i="1"/>
  <c r="DJ53" i="1"/>
  <c r="DT53" i="1" s="1"/>
  <c r="ES66" i="1"/>
  <c r="FK66" i="1" s="1"/>
  <c r="CD67" i="1"/>
  <c r="BI70" i="1"/>
  <c r="GX63" i="1"/>
  <c r="CM72" i="1"/>
  <c r="BK61" i="1"/>
  <c r="FK60" i="1"/>
  <c r="DT61" i="1"/>
  <c r="EY63" i="1"/>
  <c r="DT62" i="1"/>
  <c r="BI54" i="1"/>
  <c r="BL54" i="1"/>
  <c r="DJ63" i="1"/>
  <c r="GX58" i="1"/>
  <c r="GU58" i="1"/>
  <c r="GU59" i="1"/>
  <c r="CD63" i="1"/>
  <c r="BL62" i="1"/>
  <c r="BI57" i="1"/>
  <c r="ES58" i="1"/>
  <c r="FK58" i="1" s="1"/>
  <c r="ES61" i="1"/>
  <c r="FK61" i="1" s="1"/>
  <c r="BL58" i="1"/>
  <c r="AH63" i="1"/>
  <c r="ES63" i="1"/>
  <c r="FK63" i="1" s="1"/>
  <c r="GX60" i="1"/>
  <c r="AI54" i="1"/>
  <c r="EU54" i="1"/>
  <c r="EY54" i="1" s="1"/>
  <c r="EU61" i="1"/>
  <c r="EY61" i="1" s="1"/>
  <c r="BL59" i="1"/>
  <c r="BI59" i="1"/>
  <c r="BL63" i="1"/>
  <c r="GU62" i="1"/>
  <c r="CD54" i="1"/>
  <c r="AG44" i="1"/>
  <c r="ES59" i="1"/>
  <c r="FK59" i="1" s="1"/>
  <c r="FK53" i="1"/>
  <c r="DK54" i="1"/>
  <c r="DT54" i="1" s="1"/>
  <c r="FK54" i="1"/>
  <c r="GX54" i="1"/>
  <c r="GV13" i="1"/>
  <c r="GX13" i="1" s="1"/>
  <c r="BL53" i="1"/>
  <c r="GV52" i="1"/>
  <c r="GX52" i="1" s="1"/>
  <c r="W14" i="1"/>
  <c r="W1" i="1" s="1"/>
  <c r="V1" i="1" s="1"/>
  <c r="X1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FK15" i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U53" i="1" s="1"/>
  <c r="GM53" i="1"/>
  <c r="DK52" i="1"/>
  <c r="BL50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N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BK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BN80" i="1" s="1"/>
  <c r="BP80" i="1" s="1"/>
  <c r="AG78" i="1"/>
  <c r="BK78" i="1" s="1"/>
  <c r="AJ78" i="1"/>
  <c r="AI78" i="1"/>
  <c r="AM78" i="1"/>
  <c r="AJ76" i="1"/>
  <c r="AJ65" i="1"/>
  <c r="AM63" i="1"/>
  <c r="AG63" i="1"/>
  <c r="BK63" i="1" s="1"/>
  <c r="AI63" i="1"/>
  <c r="AG61" i="1"/>
  <c r="BJ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BM81" i="1" s="1"/>
  <c r="AI79" i="1"/>
  <c r="AM79" i="1"/>
  <c r="AG79" i="1"/>
  <c r="BN79" i="1" s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BM70" i="1" s="1"/>
  <c r="AJ70" i="1"/>
  <c r="AG69" i="1"/>
  <c r="BJ69" i="1" s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BJ64" i="1" s="1"/>
  <c r="AM64" i="1"/>
  <c r="AJ64" i="1"/>
  <c r="AJ58" i="1"/>
  <c r="AG58" i="1"/>
  <c r="BN58" i="1" s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BN19" i="1" s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P79" i="1" l="1"/>
  <c r="GU65" i="1"/>
  <c r="BJ79" i="1"/>
  <c r="BK81" i="1"/>
  <c r="BM78" i="1"/>
  <c r="BK82" i="1"/>
  <c r="BN82" i="1"/>
  <c r="BM82" i="1"/>
  <c r="BN81" i="1"/>
  <c r="BP81" i="1" s="1"/>
  <c r="BM79" i="1"/>
  <c r="BK79" i="1"/>
  <c r="BJ81" i="1"/>
  <c r="BJ78" i="1"/>
  <c r="DT63" i="1"/>
  <c r="BN78" i="1"/>
  <c r="BP78" i="1" s="1"/>
  <c r="BJ80" i="1"/>
  <c r="BM80" i="1"/>
  <c r="BQ80" i="1" s="1"/>
  <c r="BJ82" i="1"/>
  <c r="BR82" i="1" s="1"/>
  <c r="BM67" i="1"/>
  <c r="BA82" i="1"/>
  <c r="GN82" i="1" s="1"/>
  <c r="BA79" i="1"/>
  <c r="GN79" i="1" s="1"/>
  <c r="BA81" i="1"/>
  <c r="GN81" i="1" s="1"/>
  <c r="BA78" i="1"/>
  <c r="GN78" i="1" s="1"/>
  <c r="BA80" i="1"/>
  <c r="GN80" i="1" s="1"/>
  <c r="CJ71" i="1"/>
  <c r="CF74" i="1"/>
  <c r="CL74" i="1" s="1"/>
  <c r="CG73" i="1"/>
  <c r="CM73" i="1" s="1"/>
  <c r="CJ74" i="1"/>
  <c r="CM75" i="1"/>
  <c r="CF71" i="1"/>
  <c r="CL71" i="1" s="1"/>
  <c r="BM68" i="1"/>
  <c r="BJ68" i="1"/>
  <c r="BN68" i="1"/>
  <c r="BN69" i="1"/>
  <c r="BK70" i="1"/>
  <c r="BJ70" i="1"/>
  <c r="BN70" i="1"/>
  <c r="BM65" i="1"/>
  <c r="BJ65" i="1"/>
  <c r="BM66" i="1"/>
  <c r="BN66" i="1"/>
  <c r="BN64" i="1"/>
  <c r="BN67" i="1"/>
  <c r="BK67" i="1"/>
  <c r="BJ67" i="1"/>
  <c r="BK68" i="1"/>
  <c r="BM64" i="1"/>
  <c r="BQ64" i="1" s="1"/>
  <c r="BK69" i="1"/>
  <c r="BM69" i="1"/>
  <c r="BQ69" i="1" s="1"/>
  <c r="BA73" i="1"/>
  <c r="GN73" i="1" s="1"/>
  <c r="BA70" i="1"/>
  <c r="GN70" i="1" s="1"/>
  <c r="BA75" i="1"/>
  <c r="GN75" i="1" s="1"/>
  <c r="BA72" i="1"/>
  <c r="GN72" i="1" s="1"/>
  <c r="BA74" i="1"/>
  <c r="GN74" i="1" s="1"/>
  <c r="BA71" i="1"/>
  <c r="GN71" i="1" s="1"/>
  <c r="BK64" i="1"/>
  <c r="BR64" i="1" s="1"/>
  <c r="BN65" i="1"/>
  <c r="BK66" i="1"/>
  <c r="CM71" i="1"/>
  <c r="BK65" i="1"/>
  <c r="BJ66" i="1"/>
  <c r="BN62" i="1"/>
  <c r="BK62" i="1"/>
  <c r="BM62" i="1"/>
  <c r="BJ59" i="1"/>
  <c r="BK58" i="1"/>
  <c r="BP58" i="1" s="1"/>
  <c r="BM63" i="1"/>
  <c r="BN60" i="1"/>
  <c r="BK60" i="1"/>
  <c r="BM60" i="1"/>
  <c r="BM58" i="1"/>
  <c r="BJ58" i="1"/>
  <c r="BM59" i="1"/>
  <c r="BK59" i="1"/>
  <c r="BP59" i="1" s="1"/>
  <c r="BA66" i="1"/>
  <c r="GN66" i="1" s="1"/>
  <c r="BA69" i="1"/>
  <c r="GN69" i="1" s="1"/>
  <c r="BA67" i="1"/>
  <c r="GN67" i="1" s="1"/>
  <c r="BA64" i="1"/>
  <c r="GN64" i="1" s="1"/>
  <c r="BA63" i="1"/>
  <c r="GN63" i="1" s="1"/>
  <c r="BA65" i="1"/>
  <c r="GN65" i="1" s="1"/>
  <c r="BA68" i="1"/>
  <c r="GN68" i="1" s="1"/>
  <c r="BN63" i="1"/>
  <c r="BP63" i="1" s="1"/>
  <c r="BJ63" i="1"/>
  <c r="BJ62" i="1"/>
  <c r="BM61" i="1"/>
  <c r="BQ61" i="1" s="1"/>
  <c r="BN61" i="1"/>
  <c r="BP61" i="1" s="1"/>
  <c r="BJ60" i="1"/>
  <c r="BQ60" i="1" s="1"/>
  <c r="BN54" i="1"/>
  <c r="BK54" i="1"/>
  <c r="BM54" i="1"/>
  <c r="BA62" i="1"/>
  <c r="GN62" i="1" s="1"/>
  <c r="BA59" i="1"/>
  <c r="GN59" i="1" s="1"/>
  <c r="BA60" i="1"/>
  <c r="GN60" i="1" s="1"/>
  <c r="BA58" i="1"/>
  <c r="GN58" i="1" s="1"/>
  <c r="BA61" i="1"/>
  <c r="GN61" i="1" s="1"/>
  <c r="BM53" i="1"/>
  <c r="BJ53" i="1"/>
  <c r="BP51" i="1"/>
  <c r="BN53" i="1"/>
  <c r="BP53" i="1" s="1"/>
  <c r="BJ54" i="1"/>
  <c r="BA43" i="1"/>
  <c r="GN43" i="1" s="1"/>
  <c r="BA54" i="1"/>
  <c r="GN54" i="1" s="1"/>
  <c r="GX15" i="1"/>
  <c r="GU15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P19" i="1" s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R53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P57" i="1" s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O82" i="1" l="1"/>
  <c r="BP82" i="1"/>
  <c r="BO78" i="1"/>
  <c r="BQ78" i="1"/>
  <c r="BR78" i="1"/>
  <c r="BQ81" i="1"/>
  <c r="BO81" i="1"/>
  <c r="BR81" i="1"/>
  <c r="BQ79" i="1"/>
  <c r="BR79" i="1"/>
  <c r="BO79" i="1"/>
  <c r="BO80" i="1"/>
  <c r="BR80" i="1"/>
  <c r="BQ82" i="1"/>
  <c r="BP67" i="1"/>
  <c r="BP65" i="1"/>
  <c r="BP69" i="1"/>
  <c r="BQ66" i="1"/>
  <c r="CM74" i="1"/>
  <c r="BO54" i="1"/>
  <c r="BO53" i="1"/>
  <c r="BR68" i="1"/>
  <c r="BO68" i="1"/>
  <c r="BQ68" i="1"/>
  <c r="BP64" i="1"/>
  <c r="BR65" i="1"/>
  <c r="BO65" i="1"/>
  <c r="BQ65" i="1"/>
  <c r="BO66" i="1"/>
  <c r="BP66" i="1"/>
  <c r="BO67" i="1"/>
  <c r="BQ67" i="1"/>
  <c r="BR67" i="1"/>
  <c r="BO64" i="1"/>
  <c r="BP70" i="1"/>
  <c r="BO69" i="1"/>
  <c r="BR66" i="1"/>
  <c r="BO70" i="1"/>
  <c r="BR70" i="1"/>
  <c r="BQ70" i="1"/>
  <c r="BP68" i="1"/>
  <c r="BR69" i="1"/>
  <c r="BO62" i="1"/>
  <c r="BP62" i="1"/>
  <c r="BP54" i="1"/>
  <c r="BQ58" i="1"/>
  <c r="BO58" i="1"/>
  <c r="BR58" i="1"/>
  <c r="BO60" i="1"/>
  <c r="BR59" i="1"/>
  <c r="BO59" i="1"/>
  <c r="BQ59" i="1"/>
  <c r="BR60" i="1"/>
  <c r="BP60" i="1"/>
  <c r="BR62" i="1"/>
  <c r="BQ62" i="1"/>
  <c r="BO61" i="1"/>
  <c r="BO63" i="1"/>
  <c r="BR63" i="1"/>
  <c r="BQ63" i="1"/>
  <c r="BR61" i="1"/>
  <c r="BQ50" i="1"/>
  <c r="BQ53" i="1"/>
  <c r="BP52" i="1"/>
  <c r="BR54" i="1"/>
  <c r="BQ54" i="1"/>
  <c r="BP55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V43" i="1" s="1"/>
  <c r="AO9" i="1"/>
  <c r="AP9" i="1"/>
  <c r="HN14" i="1" l="1"/>
  <c r="HN15" i="1"/>
  <c r="HN12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Y14" i="1" l="1"/>
  <c r="HE14" i="1" s="1"/>
  <c r="HH14" i="1" s="1"/>
  <c r="FF14" i="1"/>
  <c r="FI14" i="1" s="1"/>
  <c r="FA14" i="1"/>
  <c r="FB14" i="1"/>
  <c r="FB15" i="1"/>
  <c r="FA15" i="1"/>
  <c r="FE15" i="1" s="1"/>
  <c r="FH15" i="1" s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E14" i="1" l="1"/>
  <c r="FH14" i="1" s="1"/>
  <c r="FL14" i="1"/>
  <c r="FO14" i="1"/>
  <c r="FL15" i="1"/>
  <c r="FO15" i="1"/>
  <c r="FD14" i="1"/>
  <c r="FG14" i="1" s="1"/>
  <c r="FD15" i="1"/>
  <c r="FV15" i="1" s="1"/>
  <c r="HG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J1" i="1" l="1"/>
  <c r="FJ14" i="1"/>
  <c r="FG15" i="1"/>
  <c r="FV14" i="1"/>
  <c r="FI1" i="1"/>
  <c r="FM14" i="1"/>
  <c r="FN14" i="1" s="1"/>
  <c r="FP14" i="1" s="1"/>
  <c r="GQ14" i="1"/>
  <c r="FW14" i="1"/>
  <c r="FX14" i="1" s="1"/>
  <c r="FZ14" i="1" s="1"/>
  <c r="GP14" i="1" s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FW15" i="1" l="1"/>
  <c r="FX15" i="1" s="1"/>
  <c r="FZ15" i="1" s="1"/>
  <c r="FJ15" i="1"/>
  <c r="GQ15" i="1" s="1"/>
  <c r="FM15" i="1"/>
  <c r="FN15" i="1" s="1"/>
  <c r="FR14" i="1"/>
  <c r="FQ14" i="1"/>
  <c r="GB14" i="1"/>
  <c r="GA14" i="1"/>
  <c r="GD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C14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Q15" i="1" l="1"/>
  <c r="FR15" i="1"/>
  <c r="FT15" i="1" s="1"/>
  <c r="FP15" i="1"/>
  <c r="GP15" i="1"/>
  <c r="GA15" i="1"/>
  <c r="GD15" i="1"/>
  <c r="FT14" i="1"/>
  <c r="FS14" i="1"/>
  <c r="GH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Z10" i="1"/>
  <c r="EJ20" i="1"/>
  <c r="EL20" i="1"/>
  <c r="EB21" i="1"/>
  <c r="GI14" i="1"/>
  <c r="GE14" i="1"/>
  <c r="GF14" i="1" s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C15" i="1" l="1"/>
  <c r="GO15" i="1"/>
  <c r="GB15" i="1"/>
  <c r="FS15" i="1"/>
  <c r="GS14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GY14" i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I15" i="1" l="1"/>
  <c r="GG15" i="1"/>
  <c r="GE15" i="1"/>
  <c r="GF15" i="1" s="1"/>
  <c r="GH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GR14" i="1"/>
  <c r="HA14" i="1"/>
  <c r="GZ14" i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S15" i="1" l="1"/>
  <c r="GY15" i="1"/>
  <c r="GZ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GT15" i="1" l="1"/>
  <c r="GR15" i="1"/>
  <c r="HA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D15" i="1" l="1"/>
  <c r="HC15" i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4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4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HM48" i="1" s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BU53" i="1" l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R51" i="1" s="1"/>
  <c r="CF51" i="1"/>
  <c r="CL51" i="1" s="1"/>
  <c r="CH51" i="1"/>
  <c r="CM50" i="1"/>
  <c r="CR50" i="1"/>
  <c r="CN50" i="1"/>
  <c r="CE52" i="1"/>
  <c r="CC52" i="1"/>
  <c r="CB52" i="1"/>
  <c r="CG52" i="1" s="1"/>
  <c r="CM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48" i="1" s="1"/>
  <c r="GY29" i="1"/>
  <c r="IA4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J52" i="1" l="1"/>
  <c r="CE53" i="1"/>
  <c r="CB53" i="1"/>
  <c r="CG53" i="1" s="1"/>
  <c r="CC53" i="1"/>
  <c r="BU54" i="1"/>
  <c r="BX54" i="1"/>
  <c r="CA54" i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R52" i="1" s="1"/>
  <c r="CH52" i="1"/>
  <c r="CM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48" i="1" s="1"/>
  <c r="GT29" i="1"/>
  <c r="IC48" i="1" s="1"/>
  <c r="HA29" i="1"/>
  <c r="GR29" i="1"/>
  <c r="IB48" i="1" s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CK53" i="1" l="1"/>
  <c r="CH53" i="1"/>
  <c r="CF53" i="1"/>
  <c r="CL53" i="1" s="1"/>
  <c r="CJ53" i="1"/>
  <c r="CM53" i="1" s="1"/>
  <c r="CP51" i="1"/>
  <c r="CE54" i="1"/>
  <c r="CB54" i="1"/>
  <c r="CG54" i="1" s="1"/>
  <c r="CC54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N53" i="1" l="1"/>
  <c r="CQ52" i="1"/>
  <c r="CK54" i="1"/>
  <c r="CH54" i="1"/>
  <c r="CF54" i="1"/>
  <c r="CL54" i="1" s="1"/>
  <c r="CJ54" i="1"/>
  <c r="CM54" i="1" s="1"/>
  <c r="CR53" i="1"/>
  <c r="CQ53" i="1"/>
  <c r="CP53" i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CS53" i="1"/>
  <c r="CU53" i="1" s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L50" i="1"/>
  <c r="DQ51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P54" i="1" l="1"/>
  <c r="CT53" i="1"/>
  <c r="CV53" i="1" s="1"/>
  <c r="CA58" i="1"/>
  <c r="BX58" i="1"/>
  <c r="BU58" i="1"/>
  <c r="CY53" i="1"/>
  <c r="CZ53" i="1"/>
  <c r="DA53" i="1"/>
  <c r="CX53" i="1"/>
  <c r="CS54" i="1"/>
  <c r="CU54" i="1" s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CW53" i="1" l="1"/>
  <c r="DM53" i="1" s="1"/>
  <c r="BU59" i="1"/>
  <c r="BX59" i="1"/>
  <c r="CA59" i="1"/>
  <c r="CB58" i="1"/>
  <c r="CG58" i="1" s="1"/>
  <c r="CC58" i="1"/>
  <c r="CE58" i="1"/>
  <c r="CJ58" i="1" s="1"/>
  <c r="CM58" i="1" s="1"/>
  <c r="CY54" i="1"/>
  <c r="CZ54" i="1"/>
  <c r="DA54" i="1"/>
  <c r="CT54" i="1"/>
  <c r="DN53" i="1"/>
  <c r="DL53" i="1"/>
  <c r="DQ53" i="1"/>
  <c r="DP53" i="1"/>
  <c r="DO53" i="1"/>
  <c r="DY50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EB50" i="1" s="1"/>
  <c r="DS51" i="1"/>
  <c r="DU51" i="1"/>
  <c r="ED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CK58" i="1" l="1"/>
  <c r="CR58" i="1" s="1"/>
  <c r="CH58" i="1"/>
  <c r="CF58" i="1"/>
  <c r="CL58" i="1" s="1"/>
  <c r="CN58" i="1"/>
  <c r="BX60" i="1"/>
  <c r="CA60" i="1"/>
  <c r="BU60" i="1"/>
  <c r="CB59" i="1"/>
  <c r="CG59" i="1" s="1"/>
  <c r="CE59" i="1"/>
  <c r="CJ59" i="1" s="1"/>
  <c r="CC59" i="1"/>
  <c r="DU53" i="1"/>
  <c r="DS53" i="1"/>
  <c r="CV54" i="1"/>
  <c r="CW54" i="1"/>
  <c r="DP54" i="1" s="1"/>
  <c r="CX54" i="1"/>
  <c r="DQ54" i="1" s="1"/>
  <c r="DW53" i="1"/>
  <c r="DX53" i="1" s="1"/>
  <c r="DR53" i="1"/>
  <c r="DV53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DZ53" i="1" l="1"/>
  <c r="CK59" i="1"/>
  <c r="CR59" i="1" s="1"/>
  <c r="CF59" i="1"/>
  <c r="CL59" i="1" s="1"/>
  <c r="CH59" i="1"/>
  <c r="CM59" i="1"/>
  <c r="CP58" i="1"/>
  <c r="CQ58" i="1"/>
  <c r="CE60" i="1"/>
  <c r="CJ60" i="1" s="1"/>
  <c r="CM60" i="1" s="1"/>
  <c r="CB60" i="1"/>
  <c r="CG60" i="1" s="1"/>
  <c r="CC60" i="1"/>
  <c r="DY53" i="1"/>
  <c r="BX61" i="1"/>
  <c r="BU61" i="1"/>
  <c r="CA61" i="1"/>
  <c r="EA53" i="1"/>
  <c r="EB53" i="1" s="1"/>
  <c r="CN59" i="1"/>
  <c r="DL54" i="1"/>
  <c r="DN54" i="1"/>
  <c r="DO54" i="1"/>
  <c r="DM54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ED53" i="1" l="1"/>
  <c r="EC53" i="1"/>
  <c r="EK53" i="1" s="1"/>
  <c r="CK60" i="1"/>
  <c r="CR60" i="1" s="1"/>
  <c r="CF60" i="1"/>
  <c r="CL60" i="1" s="1"/>
  <c r="CH60" i="1"/>
  <c r="CQ59" i="1"/>
  <c r="CP59" i="1"/>
  <c r="CS58" i="1"/>
  <c r="CU58" i="1" s="1"/>
  <c r="CC61" i="1"/>
  <c r="CB61" i="1"/>
  <c r="CG61" i="1" s="1"/>
  <c r="CE61" i="1"/>
  <c r="CJ61" i="1" s="1"/>
  <c r="CM61" i="1" s="1"/>
  <c r="CN60" i="1"/>
  <c r="EL53" i="1"/>
  <c r="EJ53" i="1"/>
  <c r="EI53" i="1"/>
  <c r="EH53" i="1"/>
  <c r="EG53" i="1"/>
  <c r="EE53" i="1"/>
  <c r="EF53" i="1"/>
  <c r="DS54" i="1"/>
  <c r="DU54" i="1"/>
  <c r="DV54" i="1"/>
  <c r="DW54" i="1"/>
  <c r="DX54" i="1" s="1"/>
  <c r="DR54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K61" i="1" l="1"/>
  <c r="CR61" i="1" s="1"/>
  <c r="CF61" i="1"/>
  <c r="CL61" i="1" s="1"/>
  <c r="CH61" i="1"/>
  <c r="CT58" i="1"/>
  <c r="CV58" i="1" s="1"/>
  <c r="CW58" i="1"/>
  <c r="CX58" i="1"/>
  <c r="CY58" i="1"/>
  <c r="CZ58" i="1"/>
  <c r="DA58" i="1"/>
  <c r="CP60" i="1"/>
  <c r="CQ60" i="1"/>
  <c r="CS59" i="1"/>
  <c r="CT59" i="1" s="1"/>
  <c r="EA54" i="1"/>
  <c r="CN61" i="1"/>
  <c r="EO53" i="1"/>
  <c r="ER53" i="1" s="1"/>
  <c r="EN53" i="1"/>
  <c r="EM53" i="1"/>
  <c r="DZ54" i="1"/>
  <c r="DY54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HQ47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DO58" i="1" l="1"/>
  <c r="DQ58" i="1"/>
  <c r="DP58" i="1"/>
  <c r="DU58" i="1" s="1"/>
  <c r="CV59" i="1"/>
  <c r="CW59" i="1"/>
  <c r="CX59" i="1"/>
  <c r="CS60" i="1"/>
  <c r="CT60" i="1" s="1"/>
  <c r="DN58" i="1"/>
  <c r="CP61" i="1"/>
  <c r="CQ61" i="1"/>
  <c r="CU59" i="1"/>
  <c r="DM58" i="1"/>
  <c r="DL58" i="1"/>
  <c r="CA62" i="1"/>
  <c r="BU62" i="1"/>
  <c r="BX62" i="1"/>
  <c r="ED54" i="1"/>
  <c r="EB54" i="1"/>
  <c r="EC54" i="1"/>
  <c r="EQ53" i="1"/>
  <c r="EZ53" i="1" s="1"/>
  <c r="FC53" i="1" s="1"/>
  <c r="EP53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HR47" i="1" s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CU60" i="1" l="1"/>
  <c r="BX63" i="1"/>
  <c r="CA63" i="1"/>
  <c r="BU63" i="1"/>
  <c r="DS58" i="1"/>
  <c r="DY58" i="1" s="1"/>
  <c r="CV60" i="1"/>
  <c r="CW60" i="1"/>
  <c r="CX60" i="1"/>
  <c r="CY60" i="1"/>
  <c r="CZ60" i="1"/>
  <c r="DA60" i="1"/>
  <c r="DQ60" i="1" s="1"/>
  <c r="CU61" i="1"/>
  <c r="CS61" i="1"/>
  <c r="CT61" i="1" s="1"/>
  <c r="CY59" i="1"/>
  <c r="DO59" i="1" s="1"/>
  <c r="CZ59" i="1"/>
  <c r="DP59" i="1" s="1"/>
  <c r="DA59" i="1"/>
  <c r="DQ59" i="1" s="1"/>
  <c r="DN59" i="1"/>
  <c r="DV58" i="1"/>
  <c r="DW58" i="1"/>
  <c r="DX58" i="1" s="1"/>
  <c r="EA58" i="1" s="1"/>
  <c r="DR58" i="1"/>
  <c r="DM59" i="1"/>
  <c r="DL59" i="1"/>
  <c r="CC62" i="1"/>
  <c r="CE62" i="1"/>
  <c r="CJ62" i="1" s="1"/>
  <c r="CB62" i="1"/>
  <c r="CG62" i="1" s="1"/>
  <c r="FA53" i="1"/>
  <c r="FB53" i="1"/>
  <c r="EV53" i="1"/>
  <c r="FF53" i="1"/>
  <c r="FI53" i="1" s="1"/>
  <c r="FY53" i="1"/>
  <c r="HE53" i="1" s="1"/>
  <c r="EK54" i="1"/>
  <c r="EG54" i="1"/>
  <c r="EF54" i="1"/>
  <c r="EE54" i="1"/>
  <c r="EL54" i="1"/>
  <c r="EI54" i="1"/>
  <c r="EJ54" i="1"/>
  <c r="EH54" i="1"/>
  <c r="HG50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HM47" i="1" s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BX64" i="1" l="1"/>
  <c r="BU64" i="1"/>
  <c r="CA64" i="1"/>
  <c r="DZ58" i="1"/>
  <c r="EC58" i="1" s="1"/>
  <c r="CB63" i="1"/>
  <c r="CG63" i="1" s="1"/>
  <c r="CC63" i="1"/>
  <c r="CE63" i="1"/>
  <c r="CJ63" i="1" s="1"/>
  <c r="DP60" i="1"/>
  <c r="DS60" i="1" s="1"/>
  <c r="CM62" i="1"/>
  <c r="DO60" i="1"/>
  <c r="CK62" i="1"/>
  <c r="CR62" i="1" s="1"/>
  <c r="CF62" i="1"/>
  <c r="CL62" i="1" s="1"/>
  <c r="CH62" i="1"/>
  <c r="DV59" i="1"/>
  <c r="DW59" i="1"/>
  <c r="DX59" i="1" s="1"/>
  <c r="DR59" i="1"/>
  <c r="ED58" i="1"/>
  <c r="CY61" i="1"/>
  <c r="DO61" i="1" s="1"/>
  <c r="CZ61" i="1"/>
  <c r="DA61" i="1"/>
  <c r="CV61" i="1"/>
  <c r="CW61" i="1"/>
  <c r="CX61" i="1"/>
  <c r="DN60" i="1"/>
  <c r="DS59" i="1"/>
  <c r="DU59" i="1"/>
  <c r="DY59" i="1" s="1"/>
  <c r="DM60" i="1"/>
  <c r="DL60" i="1"/>
  <c r="EO54" i="1"/>
  <c r="ER54" i="1" s="1"/>
  <c r="EN54" i="1"/>
  <c r="EM54" i="1"/>
  <c r="FE53" i="1"/>
  <c r="EW53" i="1"/>
  <c r="EX53" i="1"/>
  <c r="FD53" i="1"/>
  <c r="FV53" i="1" s="1"/>
  <c r="HB53" i="1"/>
  <c r="HF53" i="1" s="1"/>
  <c r="HH53" i="1" s="1"/>
  <c r="FL53" i="1"/>
  <c r="FO53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DU60" i="1" l="1"/>
  <c r="DY60" i="1" s="1"/>
  <c r="CM63" i="1"/>
  <c r="CK63" i="1"/>
  <c r="CH63" i="1"/>
  <c r="CF63" i="1"/>
  <c r="CL63" i="1" s="1"/>
  <c r="HG52" i="1"/>
  <c r="CB64" i="1"/>
  <c r="CG64" i="1" s="1"/>
  <c r="CE64" i="1"/>
  <c r="CJ64" i="1" s="1"/>
  <c r="CC64" i="1"/>
  <c r="BU65" i="1"/>
  <c r="BX65" i="1"/>
  <c r="CA65" i="1"/>
  <c r="EB58" i="1"/>
  <c r="CN62" i="1"/>
  <c r="EL58" i="1"/>
  <c r="EI58" i="1"/>
  <c r="EH58" i="1"/>
  <c r="EJ58" i="1"/>
  <c r="DM61" i="1"/>
  <c r="DN61" i="1"/>
  <c r="CQ62" i="1"/>
  <c r="CP62" i="1"/>
  <c r="DL61" i="1"/>
  <c r="EK58" i="1"/>
  <c r="EG58" i="1"/>
  <c r="EF58" i="1"/>
  <c r="EE58" i="1"/>
  <c r="EA59" i="1"/>
  <c r="DW60" i="1"/>
  <c r="DX60" i="1" s="1"/>
  <c r="DR60" i="1"/>
  <c r="DV60" i="1"/>
  <c r="DQ61" i="1"/>
  <c r="DZ59" i="1"/>
  <c r="DP61" i="1"/>
  <c r="DS61" i="1" s="1"/>
  <c r="FH53" i="1"/>
  <c r="FU53" i="1"/>
  <c r="FG53" i="1"/>
  <c r="HG53" i="1"/>
  <c r="FH52" i="1"/>
  <c r="EP54" i="1"/>
  <c r="EQ54" i="1"/>
  <c r="EZ54" i="1" s="1"/>
  <c r="FC54" i="1" s="1"/>
  <c r="FH51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7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HY47" i="1" s="1"/>
  <c r="GY44" i="1"/>
  <c r="IA47" i="1" s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CM64" i="1" l="1"/>
  <c r="CK64" i="1"/>
  <c r="CR64" i="1" s="1"/>
  <c r="CH64" i="1"/>
  <c r="CF64" i="1"/>
  <c r="CL64" i="1" s="1"/>
  <c r="CE65" i="1"/>
  <c r="CB65" i="1"/>
  <c r="CG65" i="1" s="1"/>
  <c r="CC65" i="1"/>
  <c r="CN63" i="1"/>
  <c r="CQ63" i="1" s="1"/>
  <c r="BU66" i="1"/>
  <c r="CA66" i="1"/>
  <c r="BX66" i="1"/>
  <c r="CR63" i="1"/>
  <c r="EA60" i="1"/>
  <c r="CS62" i="1"/>
  <c r="CT62" i="1" s="1"/>
  <c r="CU62" i="1"/>
  <c r="ED59" i="1"/>
  <c r="EC59" i="1"/>
  <c r="EB59" i="1"/>
  <c r="EO58" i="1"/>
  <c r="ER58" i="1" s="1"/>
  <c r="EN58" i="1"/>
  <c r="EM58" i="1"/>
  <c r="DU61" i="1"/>
  <c r="DY61" i="1" s="1"/>
  <c r="DZ60" i="1"/>
  <c r="DV61" i="1"/>
  <c r="DR61" i="1"/>
  <c r="DW61" i="1"/>
  <c r="DX61" i="1" s="1"/>
  <c r="FF54" i="1"/>
  <c r="FI54" i="1" s="1"/>
  <c r="FY54" i="1"/>
  <c r="HE54" i="1" s="1"/>
  <c r="EV54" i="1"/>
  <c r="FB54" i="1"/>
  <c r="FA54" i="1"/>
  <c r="FJ53" i="1"/>
  <c r="GQ53" i="1" s="1"/>
  <c r="FM53" i="1"/>
  <c r="FN53" i="1" s="1"/>
  <c r="FW53" i="1"/>
  <c r="FX53" i="1" s="1"/>
  <c r="FZ53" i="1" s="1"/>
  <c r="HQ15" i="1"/>
  <c r="HQ19" i="1"/>
  <c r="HQ18" i="1"/>
  <c r="HQ25" i="1"/>
  <c r="HQ23" i="1"/>
  <c r="HQ24" i="1"/>
  <c r="FS50" i="1"/>
  <c r="GC50" i="1"/>
  <c r="GO50" i="1"/>
  <c r="GB50" i="1"/>
  <c r="GI50" i="1" s="1"/>
  <c r="FW52" i="1"/>
  <c r="FX52" i="1" s="1"/>
  <c r="FZ52" i="1" s="1"/>
  <c r="FM52" i="1"/>
  <c r="FN52" i="1" s="1"/>
  <c r="FJ52" i="1"/>
  <c r="GQ52" i="1" s="1"/>
  <c r="HQ1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7" i="1" s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IC47" i="1" s="1"/>
  <c r="GR44" i="1"/>
  <c r="IB47" i="1" s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IE47" i="1" s="1"/>
  <c r="AS67" i="1"/>
  <c r="AT67" i="1" s="1"/>
  <c r="BB67" i="1" s="1"/>
  <c r="BE67" i="1" s="1"/>
  <c r="CN64" i="1" l="1"/>
  <c r="CP63" i="1"/>
  <c r="CS63" i="1" s="1"/>
  <c r="CK65" i="1"/>
  <c r="CF65" i="1"/>
  <c r="CL65" i="1" s="1"/>
  <c r="CH65" i="1"/>
  <c r="CJ65" i="1"/>
  <c r="CM65" i="1" s="1"/>
  <c r="CP64" i="1"/>
  <c r="CQ64" i="1"/>
  <c r="CB66" i="1"/>
  <c r="CG66" i="1" s="1"/>
  <c r="CC66" i="1"/>
  <c r="CE66" i="1"/>
  <c r="EA61" i="1"/>
  <c r="ED61" i="1" s="1"/>
  <c r="CA67" i="1"/>
  <c r="BX67" i="1"/>
  <c r="BU67" i="1"/>
  <c r="DZ61" i="1"/>
  <c r="EB61" i="1" s="1"/>
  <c r="CN65" i="1"/>
  <c r="HQ22" i="1"/>
  <c r="CV62" i="1"/>
  <c r="CW62" i="1"/>
  <c r="CX62" i="1"/>
  <c r="EL59" i="1"/>
  <c r="EI59" i="1"/>
  <c r="EJ59" i="1"/>
  <c r="EH59" i="1"/>
  <c r="CY62" i="1"/>
  <c r="CZ62" i="1"/>
  <c r="DP62" i="1" s="1"/>
  <c r="DA62" i="1"/>
  <c r="DQ62" i="1" s="1"/>
  <c r="EB60" i="1"/>
  <c r="EC60" i="1"/>
  <c r="ED60" i="1"/>
  <c r="EP58" i="1"/>
  <c r="EQ58" i="1"/>
  <c r="EZ58" i="1" s="1"/>
  <c r="FC58" i="1" s="1"/>
  <c r="EK59" i="1"/>
  <c r="EE59" i="1"/>
  <c r="EF59" i="1"/>
  <c r="EG59" i="1"/>
  <c r="GA53" i="1"/>
  <c r="GP53" i="1"/>
  <c r="GD53" i="1"/>
  <c r="FR53" i="1"/>
  <c r="FP53" i="1"/>
  <c r="FQ53" i="1"/>
  <c r="FL54" i="1"/>
  <c r="FO54" i="1"/>
  <c r="FD54" i="1"/>
  <c r="FV54" i="1" s="1"/>
  <c r="EW54" i="1"/>
  <c r="EX54" i="1"/>
  <c r="FE54" i="1"/>
  <c r="HB54" i="1"/>
  <c r="HF54" i="1" s="1"/>
  <c r="HH54" i="1" s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28" i="1"/>
  <c r="HQ42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7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CU63" i="1" l="1"/>
  <c r="CZ63" i="1" s="1"/>
  <c r="CT63" i="1"/>
  <c r="CW63" i="1" s="1"/>
  <c r="CJ66" i="1"/>
  <c r="CM66" i="1"/>
  <c r="CK66" i="1"/>
  <c r="CR66" i="1" s="1"/>
  <c r="CF66" i="1"/>
  <c r="CL66" i="1" s="1"/>
  <c r="CH66" i="1"/>
  <c r="CR65" i="1"/>
  <c r="CS64" i="1"/>
  <c r="CU64" i="1" s="1"/>
  <c r="CP65" i="1"/>
  <c r="CQ65" i="1"/>
  <c r="EC61" i="1"/>
  <c r="CA68" i="1"/>
  <c r="BU68" i="1"/>
  <c r="BX68" i="1"/>
  <c r="DO62" i="1"/>
  <c r="CY63" i="1"/>
  <c r="CV63" i="1"/>
  <c r="CX63" i="1"/>
  <c r="CB67" i="1"/>
  <c r="CG67" i="1" s="1"/>
  <c r="CC67" i="1"/>
  <c r="CE67" i="1"/>
  <c r="HR22" i="1"/>
  <c r="HG54" i="1"/>
  <c r="FS53" i="1"/>
  <c r="EK60" i="1"/>
  <c r="EE60" i="1"/>
  <c r="EG60" i="1"/>
  <c r="EF60" i="1"/>
  <c r="EL60" i="1"/>
  <c r="EH60" i="1"/>
  <c r="EJ60" i="1"/>
  <c r="EI60" i="1"/>
  <c r="EK61" i="1"/>
  <c r="EE61" i="1"/>
  <c r="EG61" i="1"/>
  <c r="EF61" i="1"/>
  <c r="EM59" i="1"/>
  <c r="EO59" i="1"/>
  <c r="ER59" i="1" s="1"/>
  <c r="EN59" i="1"/>
  <c r="EL61" i="1"/>
  <c r="EH61" i="1"/>
  <c r="EJ61" i="1"/>
  <c r="EI61" i="1"/>
  <c r="FF58" i="1"/>
  <c r="FI58" i="1" s="1"/>
  <c r="FY58" i="1"/>
  <c r="HE58" i="1" s="1"/>
  <c r="DU62" i="1"/>
  <c r="DS62" i="1"/>
  <c r="DN62" i="1"/>
  <c r="FA58" i="1"/>
  <c r="FB58" i="1"/>
  <c r="EV58" i="1"/>
  <c r="DM62" i="1"/>
  <c r="DL62" i="1"/>
  <c r="GB53" i="1"/>
  <c r="GO53" i="1"/>
  <c r="GC53" i="1"/>
  <c r="FT53" i="1"/>
  <c r="FT52" i="1"/>
  <c r="FH54" i="1"/>
  <c r="FU54" i="1"/>
  <c r="FG54" i="1"/>
  <c r="HM15" i="1"/>
  <c r="HR29" i="1"/>
  <c r="HM19" i="1"/>
  <c r="HM18" i="1"/>
  <c r="HR30" i="1"/>
  <c r="HM23" i="1"/>
  <c r="HM25" i="1"/>
  <c r="HM24" i="1"/>
  <c r="HR28" i="1"/>
  <c r="HM9" i="1"/>
  <c r="HR11" i="1"/>
  <c r="FS51" i="1"/>
  <c r="FT51" i="1"/>
  <c r="GO52" i="1"/>
  <c r="HM22" i="1" s="1"/>
  <c r="GC52" i="1"/>
  <c r="GB52" i="1"/>
  <c r="FS52" i="1"/>
  <c r="GS50" i="1"/>
  <c r="GY50" i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CN66" i="1" l="1"/>
  <c r="DA63" i="1"/>
  <c r="DP63" i="1"/>
  <c r="CJ67" i="1"/>
  <c r="CM67" i="1" s="1"/>
  <c r="DO63" i="1"/>
  <c r="DU63" i="1" s="1"/>
  <c r="GI52" i="1"/>
  <c r="CT64" i="1"/>
  <c r="CW64" i="1" s="1"/>
  <c r="DQ63" i="1"/>
  <c r="CK67" i="1"/>
  <c r="CF67" i="1"/>
  <c r="CL67" i="1" s="1"/>
  <c r="CH67" i="1"/>
  <c r="CY64" i="1"/>
  <c r="CZ64" i="1"/>
  <c r="DA64" i="1"/>
  <c r="CS65" i="1"/>
  <c r="CU65" i="1" s="1"/>
  <c r="CP66" i="1"/>
  <c r="CQ66" i="1"/>
  <c r="DS63" i="1"/>
  <c r="BU69" i="1"/>
  <c r="BX69" i="1"/>
  <c r="CA69" i="1"/>
  <c r="DN63" i="1"/>
  <c r="DM63" i="1"/>
  <c r="CC68" i="1"/>
  <c r="CB68" i="1"/>
  <c r="CG68" i="1" s="1"/>
  <c r="CE68" i="1"/>
  <c r="GH53" i="1"/>
  <c r="DL63" i="1"/>
  <c r="FE58" i="1"/>
  <c r="EW58" i="1"/>
  <c r="FD58" i="1"/>
  <c r="FV58" i="1" s="1"/>
  <c r="HB58" i="1"/>
  <c r="HF58" i="1" s="1"/>
  <c r="HH58" i="1" s="1"/>
  <c r="EX58" i="1"/>
  <c r="FH58" i="1" s="1"/>
  <c r="EQ59" i="1"/>
  <c r="EZ59" i="1" s="1"/>
  <c r="FC59" i="1" s="1"/>
  <c r="EP59" i="1"/>
  <c r="FL58" i="1"/>
  <c r="FO58" i="1"/>
  <c r="DY62" i="1"/>
  <c r="DW62" i="1"/>
  <c r="DX62" i="1" s="1"/>
  <c r="DV62" i="1"/>
  <c r="DR62" i="1"/>
  <c r="EM61" i="1"/>
  <c r="EN61" i="1"/>
  <c r="EO61" i="1"/>
  <c r="ER61" i="1" s="1"/>
  <c r="EO60" i="1"/>
  <c r="ER60" i="1" s="1"/>
  <c r="EN60" i="1"/>
  <c r="EM60" i="1"/>
  <c r="GH52" i="1"/>
  <c r="GY52" i="1" s="1"/>
  <c r="GZ52" i="1" s="1"/>
  <c r="FW54" i="1"/>
  <c r="FX54" i="1" s="1"/>
  <c r="FZ54" i="1" s="1"/>
  <c r="FJ54" i="1"/>
  <c r="GQ54" i="1" s="1"/>
  <c r="HQ34" i="1" s="1"/>
  <c r="FM54" i="1"/>
  <c r="FN54" i="1" s="1"/>
  <c r="GG53" i="1"/>
  <c r="GE53" i="1"/>
  <c r="GF53" i="1" s="1"/>
  <c r="GI53" i="1"/>
  <c r="GZ50" i="1"/>
  <c r="HR12" i="1"/>
  <c r="HR43" i="1"/>
  <c r="HM29" i="1"/>
  <c r="HR35" i="1"/>
  <c r="HR36" i="1"/>
  <c r="HR37" i="1"/>
  <c r="HR41" i="1"/>
  <c r="HM31" i="1"/>
  <c r="HR42" i="1"/>
  <c r="HM28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7" i="1" s="1"/>
  <c r="GY46" i="1"/>
  <c r="IA17" i="1" s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CV64" i="1" l="1"/>
  <c r="DL64" i="1" s="1"/>
  <c r="CR67" i="1"/>
  <c r="CX64" i="1"/>
  <c r="DN64" i="1" s="1"/>
  <c r="GS52" i="1"/>
  <c r="CJ68" i="1"/>
  <c r="CM68" i="1" s="1"/>
  <c r="CN67" i="1"/>
  <c r="CP67" i="1" s="1"/>
  <c r="CA70" i="1"/>
  <c r="BX70" i="1"/>
  <c r="BU70" i="1"/>
  <c r="CK68" i="1"/>
  <c r="CR68" i="1" s="1"/>
  <c r="CF68" i="1"/>
  <c r="CL68" i="1" s="1"/>
  <c r="CH68" i="1"/>
  <c r="DY63" i="1"/>
  <c r="GY53" i="1"/>
  <c r="GZ53" i="1" s="1"/>
  <c r="GS53" i="1"/>
  <c r="GR53" i="1" s="1"/>
  <c r="CY65" i="1"/>
  <c r="CZ65" i="1"/>
  <c r="DA65" i="1"/>
  <c r="CS66" i="1"/>
  <c r="CT66" i="1" s="1"/>
  <c r="CQ67" i="1"/>
  <c r="CT65" i="1"/>
  <c r="DQ64" i="1"/>
  <c r="DM64" i="1"/>
  <c r="DP64" i="1"/>
  <c r="DO64" i="1"/>
  <c r="HG58" i="1"/>
  <c r="DW63" i="1"/>
  <c r="DX63" i="1" s="1"/>
  <c r="DV63" i="1"/>
  <c r="DR63" i="1"/>
  <c r="CE69" i="1"/>
  <c r="CJ69" i="1" s="1"/>
  <c r="CM69" i="1" s="1"/>
  <c r="CC69" i="1"/>
  <c r="CB69" i="1"/>
  <c r="CG69" i="1" s="1"/>
  <c r="FY59" i="1"/>
  <c r="HE59" i="1" s="1"/>
  <c r="FF59" i="1"/>
  <c r="FI59" i="1" s="1"/>
  <c r="DZ62" i="1"/>
  <c r="EA62" i="1"/>
  <c r="EP60" i="1"/>
  <c r="EQ60" i="1"/>
  <c r="EZ60" i="1" s="1"/>
  <c r="FC60" i="1" s="1"/>
  <c r="FB59" i="1"/>
  <c r="FA59" i="1"/>
  <c r="EV59" i="1"/>
  <c r="FG58" i="1"/>
  <c r="FU58" i="1"/>
  <c r="EQ61" i="1"/>
  <c r="EZ61" i="1" s="1"/>
  <c r="FC61" i="1" s="1"/>
  <c r="EP61" i="1"/>
  <c r="GA54" i="1"/>
  <c r="GD54" i="1"/>
  <c r="GP54" i="1"/>
  <c r="HR34" i="1" s="1"/>
  <c r="FR54" i="1"/>
  <c r="FP54" i="1"/>
  <c r="FQ54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2" i="1"/>
  <c r="HY22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7" i="1" s="1"/>
  <c r="EO57" i="1"/>
  <c r="ER57" i="1" s="1"/>
  <c r="GH49" i="1"/>
  <c r="HA46" i="1"/>
  <c r="GR46" i="1"/>
  <c r="IB17" i="1" s="1"/>
  <c r="GT46" i="1"/>
  <c r="IC17" i="1" s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HA53" i="1" l="1"/>
  <c r="GT53" i="1"/>
  <c r="CN68" i="1"/>
  <c r="CU66" i="1"/>
  <c r="CZ66" i="1" s="1"/>
  <c r="CA71" i="1"/>
  <c r="BU71" i="1"/>
  <c r="BX71" i="1"/>
  <c r="CK69" i="1"/>
  <c r="CR69" i="1" s="1"/>
  <c r="CF69" i="1"/>
  <c r="CL69" i="1" s="1"/>
  <c r="CH69" i="1"/>
  <c r="CB70" i="1"/>
  <c r="CG70" i="1" s="1"/>
  <c r="CE70" i="1"/>
  <c r="CC70" i="1"/>
  <c r="CV66" i="1"/>
  <c r="CW66" i="1"/>
  <c r="CX66" i="1"/>
  <c r="CS67" i="1"/>
  <c r="CT67" i="1" s="1"/>
  <c r="CQ68" i="1"/>
  <c r="CP68" i="1"/>
  <c r="DU64" i="1"/>
  <c r="DS64" i="1"/>
  <c r="DW64" i="1"/>
  <c r="DX64" i="1" s="1"/>
  <c r="DR64" i="1"/>
  <c r="DV64" i="1"/>
  <c r="CV65" i="1"/>
  <c r="CW65" i="1"/>
  <c r="DP65" i="1" s="1"/>
  <c r="CX65" i="1"/>
  <c r="DQ65" i="1" s="1"/>
  <c r="DZ63" i="1"/>
  <c r="EA63" i="1"/>
  <c r="FT54" i="1"/>
  <c r="FF60" i="1"/>
  <c r="FI60" i="1" s="1"/>
  <c r="FY60" i="1"/>
  <c r="HE60" i="1" s="1"/>
  <c r="FJ58" i="1"/>
  <c r="GQ58" i="1" s="1"/>
  <c r="FW58" i="1"/>
  <c r="FX58" i="1" s="1"/>
  <c r="FZ58" i="1" s="1"/>
  <c r="FM58" i="1"/>
  <c r="FN58" i="1" s="1"/>
  <c r="FA60" i="1"/>
  <c r="FB60" i="1"/>
  <c r="EV60" i="1"/>
  <c r="FD59" i="1"/>
  <c r="FV59" i="1" s="1"/>
  <c r="EX59" i="1"/>
  <c r="EW59" i="1"/>
  <c r="HB59" i="1"/>
  <c r="HF59" i="1" s="1"/>
  <c r="HG59" i="1" s="1"/>
  <c r="FE59" i="1"/>
  <c r="FF61" i="1"/>
  <c r="FI61" i="1" s="1"/>
  <c r="FY61" i="1"/>
  <c r="HE61" i="1" s="1"/>
  <c r="FL59" i="1"/>
  <c r="FO59" i="1"/>
  <c r="ED62" i="1"/>
  <c r="EC62" i="1"/>
  <c r="EB62" i="1"/>
  <c r="EV61" i="1"/>
  <c r="FB61" i="1"/>
  <c r="FA61" i="1"/>
  <c r="GB54" i="1"/>
  <c r="GO54" i="1"/>
  <c r="HM34" i="1" s="1"/>
  <c r="GC54" i="1"/>
  <c r="HC53" i="1"/>
  <c r="HD53" i="1"/>
  <c r="FS54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C22" i="1"/>
  <c r="IB22" i="1"/>
  <c r="IE22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N69" i="1" l="1"/>
  <c r="DA66" i="1"/>
  <c r="GI54" i="1"/>
  <c r="CY66" i="1"/>
  <c r="DO66" i="1" s="1"/>
  <c r="CU67" i="1"/>
  <c r="CJ70" i="1"/>
  <c r="CR70" i="1" s="1"/>
  <c r="EA64" i="1"/>
  <c r="CM70" i="1"/>
  <c r="BU72" i="1"/>
  <c r="CA72" i="1"/>
  <c r="BX72" i="1"/>
  <c r="GH54" i="1"/>
  <c r="CK70" i="1"/>
  <c r="CF70" i="1"/>
  <c r="CL70" i="1" s="1"/>
  <c r="CH70" i="1"/>
  <c r="CC71" i="1"/>
  <c r="CK71" i="1" s="1"/>
  <c r="CR71" i="1" s="1"/>
  <c r="CB71" i="1"/>
  <c r="CE71" i="1"/>
  <c r="CV67" i="1"/>
  <c r="CW67" i="1"/>
  <c r="CX67" i="1"/>
  <c r="CQ69" i="1"/>
  <c r="CP69" i="1"/>
  <c r="DL65" i="1"/>
  <c r="CY67" i="1"/>
  <c r="CZ67" i="1"/>
  <c r="DA67" i="1"/>
  <c r="DQ67" i="1" s="1"/>
  <c r="DY64" i="1"/>
  <c r="DN66" i="1"/>
  <c r="CS68" i="1"/>
  <c r="CT68" i="1" s="1"/>
  <c r="DM66" i="1"/>
  <c r="DM65" i="1"/>
  <c r="DO65" i="1"/>
  <c r="DZ64" i="1"/>
  <c r="DQ66" i="1"/>
  <c r="DL66" i="1"/>
  <c r="DN65" i="1"/>
  <c r="DP66" i="1"/>
  <c r="EB63" i="1"/>
  <c r="ED63" i="1"/>
  <c r="EC63" i="1"/>
  <c r="GP58" i="1"/>
  <c r="GD58" i="1"/>
  <c r="GA58" i="1"/>
  <c r="EK62" i="1"/>
  <c r="EG62" i="1"/>
  <c r="EE62" i="1"/>
  <c r="EF62" i="1"/>
  <c r="FL60" i="1"/>
  <c r="FO60" i="1"/>
  <c r="FR58" i="1"/>
  <c r="FP58" i="1"/>
  <c r="FQ58" i="1"/>
  <c r="FS58" i="1" s="1"/>
  <c r="FH59" i="1"/>
  <c r="FU59" i="1"/>
  <c r="FG59" i="1"/>
  <c r="HB61" i="1"/>
  <c r="HF61" i="1" s="1"/>
  <c r="EX61" i="1"/>
  <c r="FE61" i="1"/>
  <c r="EW61" i="1"/>
  <c r="FD61" i="1"/>
  <c r="FV61" i="1" s="1"/>
  <c r="HH59" i="1"/>
  <c r="EW60" i="1"/>
  <c r="FD60" i="1"/>
  <c r="FV60" i="1" s="1"/>
  <c r="EX60" i="1"/>
  <c r="HB60" i="1"/>
  <c r="HF60" i="1" s="1"/>
  <c r="FE60" i="1"/>
  <c r="HG60" i="1"/>
  <c r="HH60" i="1"/>
  <c r="EL62" i="1"/>
  <c r="EH62" i="1"/>
  <c r="EI62" i="1"/>
  <c r="EJ62" i="1"/>
  <c r="FL61" i="1"/>
  <c r="FO61" i="1"/>
  <c r="HH61" i="1"/>
  <c r="HG61" i="1"/>
  <c r="GY54" i="1"/>
  <c r="GZ54" i="1" s="1"/>
  <c r="GE54" i="1"/>
  <c r="GF54" i="1" s="1"/>
  <c r="GG54" i="1"/>
  <c r="GS54" i="1" s="1"/>
  <c r="HY34" i="1" s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E28" i="1"/>
  <c r="IB28" i="1"/>
  <c r="IC28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DP67" i="1" l="1"/>
  <c r="DO67" i="1"/>
  <c r="DU66" i="1"/>
  <c r="CB72" i="1"/>
  <c r="CE72" i="1"/>
  <c r="CC72" i="1"/>
  <c r="CK72" i="1" s="1"/>
  <c r="CN71" i="1"/>
  <c r="CA73" i="1"/>
  <c r="BU73" i="1"/>
  <c r="BX73" i="1"/>
  <c r="CN70" i="1"/>
  <c r="CP70" i="1" s="1"/>
  <c r="CV68" i="1"/>
  <c r="CW68" i="1"/>
  <c r="CX68" i="1"/>
  <c r="DR65" i="1"/>
  <c r="DW65" i="1"/>
  <c r="DX65" i="1" s="1"/>
  <c r="EA65" i="1" s="1"/>
  <c r="DV65" i="1"/>
  <c r="DW66" i="1"/>
  <c r="DX66" i="1" s="1"/>
  <c r="DR66" i="1"/>
  <c r="DV66" i="1"/>
  <c r="CS69" i="1"/>
  <c r="CU69" i="1" s="1"/>
  <c r="DS66" i="1"/>
  <c r="DY66" i="1" s="1"/>
  <c r="EC64" i="1"/>
  <c r="ED64" i="1"/>
  <c r="EB64" i="1"/>
  <c r="DU65" i="1"/>
  <c r="DS65" i="1"/>
  <c r="CU68" i="1"/>
  <c r="DU67" i="1"/>
  <c r="DS67" i="1"/>
  <c r="DN67" i="1"/>
  <c r="DM67" i="1"/>
  <c r="DL67" i="1"/>
  <c r="EK63" i="1"/>
  <c r="EG63" i="1"/>
  <c r="EF63" i="1"/>
  <c r="EE63" i="1"/>
  <c r="EL63" i="1"/>
  <c r="EH63" i="1"/>
  <c r="EJ63" i="1"/>
  <c r="EI63" i="1"/>
  <c r="IA34" i="1"/>
  <c r="FT58" i="1"/>
  <c r="FJ59" i="1"/>
  <c r="GQ59" i="1" s="1"/>
  <c r="FM59" i="1"/>
  <c r="FN59" i="1" s="1"/>
  <c r="FW59" i="1"/>
  <c r="FG61" i="1"/>
  <c r="FU61" i="1"/>
  <c r="EM62" i="1"/>
  <c r="EN62" i="1"/>
  <c r="EO62" i="1"/>
  <c r="ER62" i="1" s="1"/>
  <c r="FX59" i="1"/>
  <c r="FZ59" i="1" s="1"/>
  <c r="FH60" i="1"/>
  <c r="FH61" i="1"/>
  <c r="GB58" i="1"/>
  <c r="GO58" i="1"/>
  <c r="GC58" i="1"/>
  <c r="FG60" i="1"/>
  <c r="FU60" i="1"/>
  <c r="GR54" i="1"/>
  <c r="IB34" i="1" s="1"/>
  <c r="GT54" i="1"/>
  <c r="HA54" i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34" i="1"/>
  <c r="IC9" i="1"/>
  <c r="IE34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40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HQ46" i="1" s="1"/>
  <c r="FM56" i="1"/>
  <c r="FN56" i="1" s="1"/>
  <c r="FU57" i="1"/>
  <c r="AS74" i="1"/>
  <c r="AT74" i="1" s="1"/>
  <c r="BB74" i="1" s="1"/>
  <c r="BE74" i="1" s="1"/>
  <c r="DY67" i="1" l="1"/>
  <c r="DZ66" i="1"/>
  <c r="CP71" i="1"/>
  <c r="CQ71" i="1"/>
  <c r="CN72" i="1"/>
  <c r="CR72" i="1"/>
  <c r="CE73" i="1"/>
  <c r="CC73" i="1"/>
  <c r="CK73" i="1" s="1"/>
  <c r="CR73" i="1" s="1"/>
  <c r="CB73" i="1"/>
  <c r="BX74" i="1"/>
  <c r="BU74" i="1"/>
  <c r="CA74" i="1"/>
  <c r="CQ70" i="1"/>
  <c r="CY69" i="1"/>
  <c r="CZ69" i="1"/>
  <c r="DA69" i="1"/>
  <c r="CY68" i="1"/>
  <c r="DO68" i="1" s="1"/>
  <c r="CZ68" i="1"/>
  <c r="DP68" i="1" s="1"/>
  <c r="DA68" i="1"/>
  <c r="DQ68" i="1" s="1"/>
  <c r="CT69" i="1"/>
  <c r="DY65" i="1"/>
  <c r="EL64" i="1"/>
  <c r="EI64" i="1"/>
  <c r="EJ64" i="1"/>
  <c r="EH64" i="1"/>
  <c r="DN68" i="1"/>
  <c r="DV67" i="1"/>
  <c r="DR67" i="1"/>
  <c r="DW67" i="1"/>
  <c r="DX67" i="1" s="1"/>
  <c r="EK64" i="1"/>
  <c r="EF64" i="1"/>
  <c r="EG64" i="1"/>
  <c r="EE64" i="1"/>
  <c r="EA66" i="1"/>
  <c r="EB66" i="1" s="1"/>
  <c r="DM68" i="1"/>
  <c r="DZ65" i="1"/>
  <c r="DL68" i="1"/>
  <c r="EM63" i="1"/>
  <c r="EO63" i="1"/>
  <c r="ER63" i="1" s="1"/>
  <c r="EN63" i="1"/>
  <c r="GE58" i="1"/>
  <c r="GF58" i="1" s="1"/>
  <c r="GG58" i="1"/>
  <c r="FJ61" i="1"/>
  <c r="GQ61" i="1" s="1"/>
  <c r="FW61" i="1"/>
  <c r="FX61" i="1" s="1"/>
  <c r="FZ61" i="1" s="1"/>
  <c r="FM61" i="1"/>
  <c r="FN61" i="1" s="1"/>
  <c r="GP59" i="1"/>
  <c r="GD59" i="1"/>
  <c r="GA59" i="1"/>
  <c r="FW60" i="1"/>
  <c r="FX60" i="1" s="1"/>
  <c r="FZ60" i="1" s="1"/>
  <c r="FJ60" i="1"/>
  <c r="GQ60" i="1" s="1"/>
  <c r="FM60" i="1"/>
  <c r="FN60" i="1" s="1"/>
  <c r="GI58" i="1"/>
  <c r="GH58" i="1"/>
  <c r="EQ62" i="1"/>
  <c r="EZ62" i="1" s="1"/>
  <c r="FC62" i="1" s="1"/>
  <c r="EP62" i="1"/>
  <c r="FP59" i="1"/>
  <c r="FQ59" i="1"/>
  <c r="FR59" i="1"/>
  <c r="FT59" i="1" s="1"/>
  <c r="HC54" i="1"/>
  <c r="HD54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46" i="1" s="1"/>
  <c r="GA56" i="1"/>
  <c r="GD56" i="1"/>
  <c r="GD55" i="1"/>
  <c r="GA55" i="1"/>
  <c r="GP55" i="1"/>
  <c r="HR40" i="1" s="1"/>
  <c r="FR56" i="1"/>
  <c r="FQ56" i="1"/>
  <c r="FP56" i="1"/>
  <c r="FP55" i="1"/>
  <c r="FR55" i="1"/>
  <c r="FQ55" i="1"/>
  <c r="AS75" i="1"/>
  <c r="AT75" i="1" s="1"/>
  <c r="BB75" i="1" s="1"/>
  <c r="BE75" i="1" s="1"/>
  <c r="CP72" i="1" l="1"/>
  <c r="CQ72" i="1"/>
  <c r="CS71" i="1"/>
  <c r="CT71" i="1"/>
  <c r="CU71" i="1"/>
  <c r="BU75" i="1"/>
  <c r="BX75" i="1"/>
  <c r="CA75" i="1"/>
  <c r="ED66" i="1"/>
  <c r="CS70" i="1"/>
  <c r="CT70" i="1" s="1"/>
  <c r="CN73" i="1"/>
  <c r="CC74" i="1"/>
  <c r="CK74" i="1" s="1"/>
  <c r="CR74" i="1" s="1"/>
  <c r="CB74" i="1"/>
  <c r="CE74" i="1"/>
  <c r="EC65" i="1"/>
  <c r="ED65" i="1"/>
  <c r="EB65" i="1"/>
  <c r="EN64" i="1"/>
  <c r="EM64" i="1"/>
  <c r="EO64" i="1"/>
  <c r="ER64" i="1" s="1"/>
  <c r="CV69" i="1"/>
  <c r="DO69" i="1" s="1"/>
  <c r="CW69" i="1"/>
  <c r="DP69" i="1" s="1"/>
  <c r="CX69" i="1"/>
  <c r="DQ69" i="1" s="1"/>
  <c r="EA67" i="1"/>
  <c r="DU68" i="1"/>
  <c r="DS68" i="1"/>
  <c r="DZ67" i="1"/>
  <c r="EL66" i="1"/>
  <c r="EH66" i="1"/>
  <c r="EI66" i="1"/>
  <c r="EJ66" i="1"/>
  <c r="EC66" i="1"/>
  <c r="DV68" i="1"/>
  <c r="DW68" i="1"/>
  <c r="DX68" i="1" s="1"/>
  <c r="DR68" i="1"/>
  <c r="EQ63" i="1"/>
  <c r="EZ63" i="1" s="1"/>
  <c r="FC63" i="1" s="1"/>
  <c r="EP63" i="1"/>
  <c r="GA61" i="1"/>
  <c r="GP61" i="1"/>
  <c r="GD61" i="1"/>
  <c r="GP60" i="1"/>
  <c r="GD60" i="1"/>
  <c r="GA60" i="1"/>
  <c r="FP61" i="1"/>
  <c r="FR61" i="1"/>
  <c r="FT61" i="1" s="1"/>
  <c r="FQ61" i="1"/>
  <c r="FS59" i="1"/>
  <c r="FQ60" i="1"/>
  <c r="FP60" i="1"/>
  <c r="FR60" i="1"/>
  <c r="FT60" i="1" s="1"/>
  <c r="GO59" i="1"/>
  <c r="GB59" i="1"/>
  <c r="GC59" i="1"/>
  <c r="GH59" i="1" s="1"/>
  <c r="EV62" i="1"/>
  <c r="FB62" i="1"/>
  <c r="FA62" i="1"/>
  <c r="GS58" i="1"/>
  <c r="GY58" i="1"/>
  <c r="FY62" i="1"/>
  <c r="HE62" i="1" s="1"/>
  <c r="FF62" i="1"/>
  <c r="FI62" i="1" s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HM40" i="1" s="1"/>
  <c r="GC55" i="1"/>
  <c r="GB55" i="1"/>
  <c r="GO56" i="1"/>
  <c r="HM46" i="1" s="1"/>
  <c r="GB56" i="1"/>
  <c r="GC56" i="1"/>
  <c r="FP57" i="1"/>
  <c r="FQ57" i="1"/>
  <c r="FR57" i="1"/>
  <c r="FT56" i="1"/>
  <c r="FS56" i="1"/>
  <c r="AS76" i="1"/>
  <c r="AT76" i="1" s="1"/>
  <c r="CU70" i="1" l="1"/>
  <c r="CY71" i="1"/>
  <c r="CZ71" i="1"/>
  <c r="DA71" i="1"/>
  <c r="CV71" i="1"/>
  <c r="CW71" i="1"/>
  <c r="CX71" i="1"/>
  <c r="CS72" i="1"/>
  <c r="CU72" i="1" s="1"/>
  <c r="CT72" i="1"/>
  <c r="CP73" i="1"/>
  <c r="CQ73" i="1"/>
  <c r="CV70" i="1"/>
  <c r="CW70" i="1"/>
  <c r="CX70" i="1"/>
  <c r="CY70" i="1"/>
  <c r="DO70" i="1" s="1"/>
  <c r="CZ70" i="1"/>
  <c r="DP70" i="1" s="1"/>
  <c r="DA70" i="1"/>
  <c r="CN74" i="1"/>
  <c r="CB75" i="1"/>
  <c r="CE75" i="1"/>
  <c r="CC75" i="1"/>
  <c r="CK75" i="1" s="1"/>
  <c r="CR75" i="1" s="1"/>
  <c r="EC67" i="1"/>
  <c r="ED67" i="1"/>
  <c r="EB67" i="1"/>
  <c r="EK66" i="1"/>
  <c r="EE66" i="1"/>
  <c r="EG66" i="1"/>
  <c r="EF66" i="1"/>
  <c r="DY68" i="1"/>
  <c r="DU69" i="1"/>
  <c r="DS69" i="1"/>
  <c r="EL65" i="1"/>
  <c r="EJ65" i="1"/>
  <c r="EI65" i="1"/>
  <c r="EH65" i="1"/>
  <c r="DN69" i="1"/>
  <c r="EK65" i="1"/>
  <c r="EG65" i="1"/>
  <c r="EF65" i="1"/>
  <c r="EE65" i="1"/>
  <c r="EA68" i="1"/>
  <c r="DM69" i="1"/>
  <c r="EP64" i="1"/>
  <c r="EQ64" i="1"/>
  <c r="EZ64" i="1" s="1"/>
  <c r="FC64" i="1" s="1"/>
  <c r="DZ68" i="1"/>
  <c r="DL69" i="1"/>
  <c r="EV63" i="1"/>
  <c r="FA63" i="1"/>
  <c r="FB63" i="1"/>
  <c r="FF63" i="1"/>
  <c r="FI63" i="1" s="1"/>
  <c r="FY63" i="1"/>
  <c r="HE63" i="1" s="1"/>
  <c r="GE59" i="1"/>
  <c r="GF59" i="1" s="1"/>
  <c r="GG59" i="1"/>
  <c r="GB61" i="1"/>
  <c r="GO61" i="1"/>
  <c r="GC61" i="1"/>
  <c r="GH61" i="1" s="1"/>
  <c r="GZ58" i="1"/>
  <c r="GR58" i="1"/>
  <c r="GT58" i="1"/>
  <c r="HA58" i="1"/>
  <c r="GB60" i="1"/>
  <c r="GC60" i="1"/>
  <c r="GO60" i="1"/>
  <c r="GS59" i="1"/>
  <c r="FL62" i="1"/>
  <c r="FO62" i="1"/>
  <c r="FS60" i="1"/>
  <c r="GI61" i="1"/>
  <c r="GI59" i="1"/>
  <c r="GY59" i="1" s="1"/>
  <c r="FD62" i="1"/>
  <c r="FV62" i="1" s="1"/>
  <c r="HB62" i="1"/>
  <c r="HF62" i="1" s="1"/>
  <c r="HH62" i="1" s="1"/>
  <c r="EX62" i="1"/>
  <c r="FH62" i="1" s="1"/>
  <c r="EW62" i="1"/>
  <c r="FE62" i="1"/>
  <c r="FS6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DQ70" i="1" l="1"/>
  <c r="CY72" i="1"/>
  <c r="CZ72" i="1"/>
  <c r="DA72" i="1"/>
  <c r="DQ72" i="1" s="1"/>
  <c r="DN71" i="1"/>
  <c r="CV72" i="1"/>
  <c r="CW72" i="1"/>
  <c r="CX72" i="1"/>
  <c r="DM71" i="1"/>
  <c r="DL71" i="1"/>
  <c r="CP74" i="1"/>
  <c r="CQ74" i="1"/>
  <c r="CS73" i="1"/>
  <c r="CT73" i="1" s="1"/>
  <c r="CU73" i="1"/>
  <c r="DQ71" i="1"/>
  <c r="DP71" i="1"/>
  <c r="DO71" i="1"/>
  <c r="CN75" i="1"/>
  <c r="DU70" i="1"/>
  <c r="DS70" i="1"/>
  <c r="DN70" i="1"/>
  <c r="DM70" i="1"/>
  <c r="DL70" i="1"/>
  <c r="ED68" i="1"/>
  <c r="EB68" i="1"/>
  <c r="EC68" i="1"/>
  <c r="FF64" i="1"/>
  <c r="FI64" i="1" s="1"/>
  <c r="FY64" i="1"/>
  <c r="HE64" i="1" s="1"/>
  <c r="EN66" i="1"/>
  <c r="EO66" i="1"/>
  <c r="ER66" i="1" s="1"/>
  <c r="EM66" i="1"/>
  <c r="EM65" i="1"/>
  <c r="EN65" i="1"/>
  <c r="EO65" i="1"/>
  <c r="ER65" i="1" s="1"/>
  <c r="FB64" i="1"/>
  <c r="EV64" i="1"/>
  <c r="FA64" i="1"/>
  <c r="DV69" i="1"/>
  <c r="DW69" i="1"/>
  <c r="DX69" i="1" s="1"/>
  <c r="DR69" i="1"/>
  <c r="DY69" i="1"/>
  <c r="EL67" i="1"/>
  <c r="EJ67" i="1"/>
  <c r="EI67" i="1"/>
  <c r="EH67" i="1"/>
  <c r="EK67" i="1"/>
  <c r="EE67" i="1"/>
  <c r="EG67" i="1"/>
  <c r="EF67" i="1"/>
  <c r="HG62" i="1"/>
  <c r="FL63" i="1"/>
  <c r="FO63" i="1"/>
  <c r="HB63" i="1"/>
  <c r="HF63" i="1" s="1"/>
  <c r="HG63" i="1" s="1"/>
  <c r="EW63" i="1"/>
  <c r="FD63" i="1"/>
  <c r="FV63" i="1" s="1"/>
  <c r="FE63" i="1"/>
  <c r="EX63" i="1"/>
  <c r="GZ59" i="1"/>
  <c r="GH60" i="1"/>
  <c r="HD58" i="1"/>
  <c r="HC58" i="1"/>
  <c r="GY61" i="1"/>
  <c r="FG62" i="1"/>
  <c r="FU62" i="1"/>
  <c r="GE60" i="1"/>
  <c r="GF60" i="1" s="1"/>
  <c r="GG60" i="1"/>
  <c r="GT59" i="1"/>
  <c r="GR59" i="1"/>
  <c r="HA59" i="1"/>
  <c r="GE61" i="1"/>
  <c r="GF61" i="1" s="1"/>
  <c r="GG61" i="1"/>
  <c r="GS61" i="1" s="1"/>
  <c r="GI6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40" i="1" s="1"/>
  <c r="GY55" i="1"/>
  <c r="IA40" i="1" s="1"/>
  <c r="GE57" i="1"/>
  <c r="GF57" i="1" s="1"/>
  <c r="GG57" i="1"/>
  <c r="GH57" i="1"/>
  <c r="GI57" i="1"/>
  <c r="AS78" i="1"/>
  <c r="AT78" i="1" s="1"/>
  <c r="BB78" i="1" s="1"/>
  <c r="BE78" i="1" s="1"/>
  <c r="BU78" i="1" l="1"/>
  <c r="CA78" i="1"/>
  <c r="BX78" i="1"/>
  <c r="CV73" i="1"/>
  <c r="CW73" i="1"/>
  <c r="CX73" i="1"/>
  <c r="DU71" i="1"/>
  <c r="DS71" i="1"/>
  <c r="DV71" i="1"/>
  <c r="DZ71" i="1" s="1"/>
  <c r="DR71" i="1"/>
  <c r="DW71" i="1"/>
  <c r="DX71" i="1" s="1"/>
  <c r="EA71" i="1" s="1"/>
  <c r="DL72" i="1"/>
  <c r="DM72" i="1"/>
  <c r="CY73" i="1"/>
  <c r="DO73" i="1" s="1"/>
  <c r="CZ73" i="1"/>
  <c r="DP73" i="1" s="1"/>
  <c r="DA73" i="1"/>
  <c r="DQ73" i="1" s="1"/>
  <c r="CQ75" i="1"/>
  <c r="CP75" i="1"/>
  <c r="DP72" i="1"/>
  <c r="CS74" i="1"/>
  <c r="CT74" i="1" s="1"/>
  <c r="DN72" i="1"/>
  <c r="DO72" i="1"/>
  <c r="DY70" i="1"/>
  <c r="EA69" i="1"/>
  <c r="ED69" i="1" s="1"/>
  <c r="DZ69" i="1"/>
  <c r="DW70" i="1"/>
  <c r="DX70" i="1" s="1"/>
  <c r="DV70" i="1"/>
  <c r="DR70" i="1"/>
  <c r="EX64" i="1"/>
  <c r="FD64" i="1"/>
  <c r="FV64" i="1" s="1"/>
  <c r="HB64" i="1"/>
  <c r="HF64" i="1" s="1"/>
  <c r="HH64" i="1" s="1"/>
  <c r="FE64" i="1"/>
  <c r="EW64" i="1"/>
  <c r="FL64" i="1"/>
  <c r="FO64" i="1"/>
  <c r="EK68" i="1"/>
  <c r="EF68" i="1"/>
  <c r="EE68" i="1"/>
  <c r="EG68" i="1"/>
  <c r="EQ65" i="1"/>
  <c r="EZ65" i="1" s="1"/>
  <c r="FC65" i="1" s="1"/>
  <c r="EP65" i="1"/>
  <c r="EL68" i="1"/>
  <c r="EH68" i="1"/>
  <c r="EI68" i="1"/>
  <c r="EJ68" i="1"/>
  <c r="EP66" i="1"/>
  <c r="EQ66" i="1"/>
  <c r="EZ66" i="1" s="1"/>
  <c r="FC66" i="1" s="1"/>
  <c r="EN67" i="1"/>
  <c r="EM67" i="1"/>
  <c r="EO67" i="1"/>
  <c r="ER67" i="1" s="1"/>
  <c r="FH63" i="1"/>
  <c r="HH63" i="1"/>
  <c r="FG63" i="1"/>
  <c r="FU63" i="1"/>
  <c r="HY46" i="1"/>
  <c r="IA46" i="1"/>
  <c r="GT61" i="1"/>
  <c r="GR61" i="1"/>
  <c r="HA61" i="1"/>
  <c r="GZ61" i="1"/>
  <c r="GS60" i="1"/>
  <c r="GY60" i="1"/>
  <c r="HC59" i="1"/>
  <c r="HD59" i="1"/>
  <c r="FM62" i="1"/>
  <c r="FN62" i="1" s="1"/>
  <c r="FW62" i="1"/>
  <c r="FX62" i="1" s="1"/>
  <c r="FZ62" i="1" s="1"/>
  <c r="FJ62" i="1"/>
  <c r="GQ62" i="1" s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46" i="1" s="1"/>
  <c r="GT56" i="1"/>
  <c r="IC46" i="1" s="1"/>
  <c r="HA56" i="1"/>
  <c r="HD56" i="1" s="1"/>
  <c r="GR56" i="1"/>
  <c r="IB46" i="1" s="1"/>
  <c r="GZ55" i="1"/>
  <c r="IE40" i="1" s="1"/>
  <c r="GT55" i="1"/>
  <c r="IC40" i="1" s="1"/>
  <c r="GR55" i="1"/>
  <c r="IB40" i="1" s="1"/>
  <c r="HA55" i="1"/>
  <c r="GS57" i="1"/>
  <c r="GY57" i="1"/>
  <c r="AS79" i="1"/>
  <c r="AT79" i="1" s="1"/>
  <c r="BB79" i="1" s="1"/>
  <c r="BE79" i="1" s="1"/>
  <c r="EB69" i="1" l="1"/>
  <c r="EC69" i="1"/>
  <c r="EE69" i="1" s="1"/>
  <c r="HG64" i="1"/>
  <c r="DZ70" i="1"/>
  <c r="BU79" i="1"/>
  <c r="BX79" i="1"/>
  <c r="CA79" i="1"/>
  <c r="EA70" i="1"/>
  <c r="ED70" i="1" s="1"/>
  <c r="CB78" i="1"/>
  <c r="CG78" i="1" s="1"/>
  <c r="CC78" i="1"/>
  <c r="CE78" i="1"/>
  <c r="CV74" i="1"/>
  <c r="CW74" i="1"/>
  <c r="CX74" i="1"/>
  <c r="CS75" i="1"/>
  <c r="CU75" i="1" s="1"/>
  <c r="DY71" i="1"/>
  <c r="ED71" i="1" s="1"/>
  <c r="DN73" i="1"/>
  <c r="DS73" i="1"/>
  <c r="DU73" i="1"/>
  <c r="DY73" i="1" s="1"/>
  <c r="DW72" i="1"/>
  <c r="DX72" i="1" s="1"/>
  <c r="EA72" i="1" s="1"/>
  <c r="DV72" i="1"/>
  <c r="DR72" i="1"/>
  <c r="DM73" i="1"/>
  <c r="CU74" i="1"/>
  <c r="DL73" i="1"/>
  <c r="DU72" i="1"/>
  <c r="DS72" i="1"/>
  <c r="FF65" i="1"/>
  <c r="FI65" i="1" s="1"/>
  <c r="FY65" i="1"/>
  <c r="HE65" i="1" s="1"/>
  <c r="FF66" i="1"/>
  <c r="FI66" i="1" s="1"/>
  <c r="FY66" i="1"/>
  <c r="HE66" i="1" s="1"/>
  <c r="EV66" i="1"/>
  <c r="FB66" i="1"/>
  <c r="FA66" i="1"/>
  <c r="FG64" i="1"/>
  <c r="FU64" i="1"/>
  <c r="EV65" i="1"/>
  <c r="FA65" i="1"/>
  <c r="FB65" i="1"/>
  <c r="EG69" i="1"/>
  <c r="EL69" i="1"/>
  <c r="EJ69" i="1"/>
  <c r="EI69" i="1"/>
  <c r="EH69" i="1"/>
  <c r="EM68" i="1"/>
  <c r="EO68" i="1"/>
  <c r="ER68" i="1" s="1"/>
  <c r="EN68" i="1"/>
  <c r="EQ67" i="1"/>
  <c r="EZ67" i="1" s="1"/>
  <c r="FC67" i="1" s="1"/>
  <c r="EP67" i="1"/>
  <c r="FH64" i="1"/>
  <c r="FW63" i="1"/>
  <c r="FX63" i="1" s="1"/>
  <c r="FZ63" i="1" s="1"/>
  <c r="FJ63" i="1"/>
  <c r="GQ63" i="1" s="1"/>
  <c r="FM63" i="1"/>
  <c r="FN63" i="1" s="1"/>
  <c r="GA62" i="1"/>
  <c r="GP62" i="1"/>
  <c r="GD62" i="1"/>
  <c r="GT60" i="1"/>
  <c r="GR60" i="1"/>
  <c r="HA60" i="1"/>
  <c r="FQ62" i="1"/>
  <c r="FP62" i="1"/>
  <c r="FR62" i="1"/>
  <c r="HD61" i="1"/>
  <c r="HC61" i="1"/>
  <c r="GZ60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BB80" i="1" s="1"/>
  <c r="BE80" i="1" s="1"/>
  <c r="EK69" i="1" l="1"/>
  <c r="EF69" i="1"/>
  <c r="CJ78" i="1"/>
  <c r="CM78" i="1" s="1"/>
  <c r="CK78" i="1"/>
  <c r="CH78" i="1"/>
  <c r="CN78" i="1" s="1"/>
  <c r="CF78" i="1"/>
  <c r="CL78" i="1" s="1"/>
  <c r="CB79" i="1"/>
  <c r="CG79" i="1" s="1"/>
  <c r="CE79" i="1"/>
  <c r="CC79" i="1"/>
  <c r="EC70" i="1"/>
  <c r="EK70" i="1" s="1"/>
  <c r="EB70" i="1"/>
  <c r="BU80" i="1"/>
  <c r="CA80" i="1"/>
  <c r="BX80" i="1"/>
  <c r="CY75" i="1"/>
  <c r="CZ75" i="1"/>
  <c r="DA75" i="1"/>
  <c r="EL71" i="1"/>
  <c r="EH71" i="1"/>
  <c r="EJ71" i="1"/>
  <c r="EI71" i="1"/>
  <c r="DZ72" i="1"/>
  <c r="CT75" i="1"/>
  <c r="CY74" i="1"/>
  <c r="DO74" i="1" s="1"/>
  <c r="CZ74" i="1"/>
  <c r="DP74" i="1" s="1"/>
  <c r="DA74" i="1"/>
  <c r="DQ74" i="1" s="1"/>
  <c r="DR73" i="1"/>
  <c r="DV73" i="1"/>
  <c r="DZ73" i="1" s="1"/>
  <c r="DW73" i="1"/>
  <c r="DX73" i="1" s="1"/>
  <c r="EA73" i="1" s="1"/>
  <c r="DN74" i="1"/>
  <c r="EC71" i="1"/>
  <c r="DM74" i="1"/>
  <c r="DY72" i="1"/>
  <c r="EB71" i="1"/>
  <c r="DL74" i="1"/>
  <c r="EE70" i="1"/>
  <c r="EG70" i="1"/>
  <c r="EF70" i="1"/>
  <c r="EL70" i="1"/>
  <c r="EJ70" i="1"/>
  <c r="EH70" i="1"/>
  <c r="EI70" i="1"/>
  <c r="FL66" i="1"/>
  <c r="FO66" i="1"/>
  <c r="EM69" i="1"/>
  <c r="EN69" i="1"/>
  <c r="EO69" i="1"/>
  <c r="ER69" i="1" s="1"/>
  <c r="FA67" i="1"/>
  <c r="EV67" i="1"/>
  <c r="FB67" i="1"/>
  <c r="EX66" i="1"/>
  <c r="EW66" i="1"/>
  <c r="FD66" i="1"/>
  <c r="FV66" i="1" s="1"/>
  <c r="HB66" i="1"/>
  <c r="HF66" i="1" s="1"/>
  <c r="HH66" i="1" s="1"/>
  <c r="FE66" i="1"/>
  <c r="FY67" i="1"/>
  <c r="HE67" i="1" s="1"/>
  <c r="FF67" i="1"/>
  <c r="FI67" i="1" s="1"/>
  <c r="FL65" i="1"/>
  <c r="FO65" i="1"/>
  <c r="EW65" i="1"/>
  <c r="FD65" i="1"/>
  <c r="FV65" i="1" s="1"/>
  <c r="FE65" i="1"/>
  <c r="EX65" i="1"/>
  <c r="HB65" i="1"/>
  <c r="HF65" i="1" s="1"/>
  <c r="HG65" i="1" s="1"/>
  <c r="EQ68" i="1"/>
  <c r="EZ68" i="1" s="1"/>
  <c r="FC68" i="1" s="1"/>
  <c r="EP68" i="1"/>
  <c r="FJ64" i="1"/>
  <c r="GQ64" i="1" s="1"/>
  <c r="FW64" i="1"/>
  <c r="FX64" i="1" s="1"/>
  <c r="FZ64" i="1" s="1"/>
  <c r="FM64" i="1"/>
  <c r="FN64" i="1" s="1"/>
  <c r="GP63" i="1"/>
  <c r="GD63" i="1"/>
  <c r="GA63" i="1"/>
  <c r="FS62" i="1"/>
  <c r="FR63" i="1"/>
  <c r="FP63" i="1"/>
  <c r="FQ63" i="1"/>
  <c r="FS63" i="1" s="1"/>
  <c r="HD60" i="1"/>
  <c r="HC60" i="1"/>
  <c r="FT62" i="1"/>
  <c r="GB62" i="1"/>
  <c r="GC62" i="1"/>
  <c r="GO62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CR78" i="1" l="1"/>
  <c r="CK79" i="1"/>
  <c r="CF79" i="1"/>
  <c r="CL79" i="1" s="1"/>
  <c r="CH79" i="1"/>
  <c r="CJ79" i="1"/>
  <c r="CM79" i="1" s="1"/>
  <c r="HG66" i="1"/>
  <c r="CQ78" i="1"/>
  <c r="CP78" i="1"/>
  <c r="BU81" i="1"/>
  <c r="CA81" i="1"/>
  <c r="BX81" i="1"/>
  <c r="CN79" i="1"/>
  <c r="CE80" i="1"/>
  <c r="CB80" i="1"/>
  <c r="CG80" i="1" s="1"/>
  <c r="CC80" i="1"/>
  <c r="ED72" i="1"/>
  <c r="EB72" i="1"/>
  <c r="EC72" i="1"/>
  <c r="EC73" i="1"/>
  <c r="EB73" i="1"/>
  <c r="ED73" i="1"/>
  <c r="EK71" i="1"/>
  <c r="EF71" i="1"/>
  <c r="EG71" i="1"/>
  <c r="EE71" i="1"/>
  <c r="DS74" i="1"/>
  <c r="DU74" i="1"/>
  <c r="DY74" i="1" s="1"/>
  <c r="DP75" i="1"/>
  <c r="DW74" i="1"/>
  <c r="DX74" i="1" s="1"/>
  <c r="DV74" i="1"/>
  <c r="DR74" i="1"/>
  <c r="CV75" i="1"/>
  <c r="CW75" i="1"/>
  <c r="CX75" i="1"/>
  <c r="DQ75" i="1" s="1"/>
  <c r="DO75" i="1"/>
  <c r="FH65" i="1"/>
  <c r="HQ13" i="1"/>
  <c r="HH65" i="1"/>
  <c r="EN70" i="1"/>
  <c r="EM70" i="1"/>
  <c r="EO70" i="1"/>
  <c r="ER70" i="1" s="1"/>
  <c r="GP64" i="1"/>
  <c r="GD64" i="1"/>
  <c r="GA64" i="1"/>
  <c r="FE67" i="1"/>
  <c r="EW67" i="1"/>
  <c r="FD67" i="1"/>
  <c r="FV67" i="1" s="1"/>
  <c r="HB67" i="1"/>
  <c r="HF67" i="1" s="1"/>
  <c r="HG67" i="1" s="1"/>
  <c r="EX67" i="1"/>
  <c r="EV68" i="1"/>
  <c r="FA68" i="1"/>
  <c r="FB68" i="1"/>
  <c r="FL67" i="1"/>
  <c r="FO67" i="1"/>
  <c r="FF68" i="1"/>
  <c r="FI68" i="1" s="1"/>
  <c r="FY68" i="1"/>
  <c r="HE68" i="1" s="1"/>
  <c r="FG65" i="1"/>
  <c r="FU65" i="1"/>
  <c r="EP69" i="1"/>
  <c r="EQ69" i="1"/>
  <c r="EZ69" i="1" s="1"/>
  <c r="FC69" i="1" s="1"/>
  <c r="FP64" i="1"/>
  <c r="FQ64" i="1"/>
  <c r="FR64" i="1"/>
  <c r="FU66" i="1"/>
  <c r="FG66" i="1"/>
  <c r="FH66" i="1"/>
  <c r="FT63" i="1"/>
  <c r="GC63" i="1"/>
  <c r="GB63" i="1"/>
  <c r="GI63" i="1" s="1"/>
  <c r="GO63" i="1"/>
  <c r="GH62" i="1"/>
  <c r="GE62" i="1"/>
  <c r="GF62" i="1" s="1"/>
  <c r="GG62" i="1"/>
  <c r="GI62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CK80" i="1" l="1"/>
  <c r="CF80" i="1"/>
  <c r="CL80" i="1" s="1"/>
  <c r="CH80" i="1"/>
  <c r="CJ80" i="1"/>
  <c r="CM80" i="1" s="1"/>
  <c r="CR79" i="1"/>
  <c r="CQ79" i="1"/>
  <c r="CP79" i="1"/>
  <c r="CS78" i="1"/>
  <c r="CU78" i="1" s="1"/>
  <c r="FH67" i="1"/>
  <c r="CB81" i="1"/>
  <c r="CG81" i="1" s="1"/>
  <c r="CC81" i="1"/>
  <c r="CE81" i="1"/>
  <c r="CJ81" i="1" s="1"/>
  <c r="CN80" i="1"/>
  <c r="BX82" i="1"/>
  <c r="CA82" i="1"/>
  <c r="BU82" i="1"/>
  <c r="FS64" i="1"/>
  <c r="DU75" i="1"/>
  <c r="DS75" i="1"/>
  <c r="EK73" i="1"/>
  <c r="EF73" i="1"/>
  <c r="EG73" i="1"/>
  <c r="EE73" i="1"/>
  <c r="DM75" i="1"/>
  <c r="DL75" i="1"/>
  <c r="EK72" i="1"/>
  <c r="EF72" i="1"/>
  <c r="EG72" i="1"/>
  <c r="EE72" i="1"/>
  <c r="EL73" i="1"/>
  <c r="EI73" i="1"/>
  <c r="EJ73" i="1"/>
  <c r="EH73" i="1"/>
  <c r="EL72" i="1"/>
  <c r="EJ72" i="1"/>
  <c r="EI72" i="1"/>
  <c r="EH72" i="1"/>
  <c r="DZ74" i="1"/>
  <c r="DN75" i="1"/>
  <c r="EA74" i="1"/>
  <c r="EO71" i="1"/>
  <c r="ER71" i="1" s="1"/>
  <c r="EM71" i="1"/>
  <c r="EN71" i="1"/>
  <c r="EP70" i="1"/>
  <c r="EQ70" i="1"/>
  <c r="EZ70" i="1" s="1"/>
  <c r="FC70" i="1" s="1"/>
  <c r="GH63" i="1"/>
  <c r="HR13" i="1"/>
  <c r="FF69" i="1"/>
  <c r="FI69" i="1" s="1"/>
  <c r="FY69" i="1"/>
  <c r="HE69" i="1" s="1"/>
  <c r="FA69" i="1"/>
  <c r="EV69" i="1"/>
  <c r="FB69" i="1"/>
  <c r="HH67" i="1"/>
  <c r="FU67" i="1"/>
  <c r="FG67" i="1"/>
  <c r="FW66" i="1"/>
  <c r="FX66" i="1" s="1"/>
  <c r="FZ66" i="1" s="1"/>
  <c r="FM66" i="1"/>
  <c r="FN66" i="1" s="1"/>
  <c r="FJ66" i="1"/>
  <c r="GQ66" i="1" s="1"/>
  <c r="FT64" i="1"/>
  <c r="FW65" i="1"/>
  <c r="FX65" i="1" s="1"/>
  <c r="FZ65" i="1" s="1"/>
  <c r="FJ65" i="1"/>
  <c r="GQ65" i="1" s="1"/>
  <c r="FM65" i="1"/>
  <c r="FN65" i="1" s="1"/>
  <c r="FL68" i="1"/>
  <c r="FO68" i="1"/>
  <c r="EW68" i="1"/>
  <c r="HB68" i="1"/>
  <c r="HF68" i="1" s="1"/>
  <c r="HH68" i="1" s="1"/>
  <c r="EX68" i="1"/>
  <c r="FE68" i="1"/>
  <c r="FD68" i="1"/>
  <c r="FV68" i="1" s="1"/>
  <c r="GC64" i="1"/>
  <c r="GO64" i="1"/>
  <c r="GB64" i="1"/>
  <c r="GI64" i="1" s="1"/>
  <c r="GG63" i="1"/>
  <c r="GS63" i="1" s="1"/>
  <c r="GE63" i="1"/>
  <c r="GF63" i="1" s="1"/>
  <c r="GY63" i="1"/>
  <c r="GY62" i="1"/>
  <c r="GS62" i="1"/>
  <c r="GZ62" i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CK81" i="1" l="1"/>
  <c r="CR81" i="1" s="1"/>
  <c r="CF81" i="1"/>
  <c r="CL81" i="1" s="1"/>
  <c r="CH81" i="1"/>
  <c r="HG68" i="1"/>
  <c r="CM81" i="1"/>
  <c r="CT78" i="1"/>
  <c r="CV78" i="1" s="1"/>
  <c r="CR80" i="1"/>
  <c r="CY78" i="1"/>
  <c r="CZ78" i="1"/>
  <c r="DA78" i="1"/>
  <c r="CQ80" i="1"/>
  <c r="CP80" i="1"/>
  <c r="CX78" i="1"/>
  <c r="CS79" i="1"/>
  <c r="CT79" i="1" s="1"/>
  <c r="CN81" i="1"/>
  <c r="CE82" i="1"/>
  <c r="CJ82" i="1" s="1"/>
  <c r="CC82" i="1"/>
  <c r="CB82" i="1"/>
  <c r="CG82" i="1" s="1"/>
  <c r="EP71" i="1"/>
  <c r="EQ71" i="1"/>
  <c r="EZ71" i="1" s="1"/>
  <c r="FC71" i="1" s="1"/>
  <c r="EM72" i="1"/>
  <c r="EN72" i="1"/>
  <c r="EO72" i="1"/>
  <c r="ER72" i="1" s="1"/>
  <c r="DV75" i="1"/>
  <c r="DZ75" i="1" s="1"/>
  <c r="DW75" i="1"/>
  <c r="DX75" i="1" s="1"/>
  <c r="EA75" i="1" s="1"/>
  <c r="DR75" i="1"/>
  <c r="EM73" i="1"/>
  <c r="EO73" i="1"/>
  <c r="ER73" i="1" s="1"/>
  <c r="EN73" i="1"/>
  <c r="ED74" i="1"/>
  <c r="EB74" i="1"/>
  <c r="EC74" i="1"/>
  <c r="DY75" i="1"/>
  <c r="FH68" i="1"/>
  <c r="HQ16" i="1"/>
  <c r="HM13" i="1"/>
  <c r="FF70" i="1"/>
  <c r="FI70" i="1" s="1"/>
  <c r="FY70" i="1"/>
  <c r="HE70" i="1" s="1"/>
  <c r="GH64" i="1"/>
  <c r="GY64" i="1" s="1"/>
  <c r="IA13" i="1" s="1"/>
  <c r="HQ21" i="1"/>
  <c r="EV70" i="1"/>
  <c r="FA70" i="1"/>
  <c r="FB70" i="1"/>
  <c r="GD65" i="1"/>
  <c r="GP65" i="1"/>
  <c r="GA65" i="1"/>
  <c r="EX69" i="1"/>
  <c r="FE69" i="1"/>
  <c r="EW69" i="1"/>
  <c r="HB69" i="1"/>
  <c r="HF69" i="1" s="1"/>
  <c r="FD69" i="1"/>
  <c r="FV69" i="1" s="1"/>
  <c r="FL69" i="1"/>
  <c r="FO69" i="1"/>
  <c r="FR66" i="1"/>
  <c r="FP66" i="1"/>
  <c r="FQ66" i="1"/>
  <c r="GA66" i="1"/>
  <c r="GP66" i="1"/>
  <c r="GD66" i="1"/>
  <c r="FQ65" i="1"/>
  <c r="FP65" i="1"/>
  <c r="FR65" i="1"/>
  <c r="FT65" i="1" s="1"/>
  <c r="FJ67" i="1"/>
  <c r="GQ67" i="1" s="1"/>
  <c r="FW67" i="1"/>
  <c r="FX67" i="1" s="1"/>
  <c r="FZ67" i="1" s="1"/>
  <c r="FM67" i="1"/>
  <c r="FN67" i="1" s="1"/>
  <c r="HH69" i="1"/>
  <c r="HG69" i="1"/>
  <c r="GE64" i="1"/>
  <c r="GF64" i="1" s="1"/>
  <c r="GG64" i="1"/>
  <c r="FG68" i="1"/>
  <c r="FU68" i="1"/>
  <c r="HA62" i="1"/>
  <c r="GZ63" i="1"/>
  <c r="GT62" i="1"/>
  <c r="GT63" i="1"/>
  <c r="GR63" i="1"/>
  <c r="HA63" i="1"/>
  <c r="GR62" i="1"/>
  <c r="HC62" i="1"/>
  <c r="HD62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GS64" i="1" l="1"/>
  <c r="HY13" i="1" s="1"/>
  <c r="CW78" i="1"/>
  <c r="CM82" i="1"/>
  <c r="CK82" i="1"/>
  <c r="CR82" i="1" s="1"/>
  <c r="CF82" i="1"/>
  <c r="CL82" i="1" s="1"/>
  <c r="CH82" i="1"/>
  <c r="CU79" i="1"/>
  <c r="CZ79" i="1" s="1"/>
  <c r="DP79" i="1" s="1"/>
  <c r="CV79" i="1"/>
  <c r="CW79" i="1"/>
  <c r="CX79" i="1"/>
  <c r="DN78" i="1"/>
  <c r="DM78" i="1"/>
  <c r="DL78" i="1"/>
  <c r="CQ81" i="1"/>
  <c r="CP81" i="1"/>
  <c r="CS80" i="1"/>
  <c r="CT80" i="1" s="1"/>
  <c r="DQ78" i="1"/>
  <c r="DP78" i="1"/>
  <c r="DO78" i="1"/>
  <c r="FT66" i="1"/>
  <c r="CN82" i="1"/>
  <c r="EC75" i="1"/>
  <c r="EB75" i="1"/>
  <c r="ED75" i="1"/>
  <c r="EK74" i="1"/>
  <c r="EE74" i="1"/>
  <c r="EF74" i="1"/>
  <c r="EG74" i="1"/>
  <c r="EL74" i="1"/>
  <c r="EI74" i="1"/>
  <c r="EJ74" i="1"/>
  <c r="EH74" i="1"/>
  <c r="EP72" i="1"/>
  <c r="EQ72" i="1"/>
  <c r="EZ72" i="1" s="1"/>
  <c r="FC72" i="1" s="1"/>
  <c r="FF71" i="1"/>
  <c r="FI71" i="1" s="1"/>
  <c r="FY71" i="1"/>
  <c r="HE71" i="1" s="1"/>
  <c r="EP73" i="1"/>
  <c r="EQ73" i="1"/>
  <c r="EZ73" i="1" s="1"/>
  <c r="FC73" i="1" s="1"/>
  <c r="EV71" i="1"/>
  <c r="FA71" i="1"/>
  <c r="FB71" i="1"/>
  <c r="HR21" i="1"/>
  <c r="FL70" i="1"/>
  <c r="FO70" i="1"/>
  <c r="HQ27" i="1"/>
  <c r="HB70" i="1"/>
  <c r="HF70" i="1" s="1"/>
  <c r="HG70" i="1" s="1"/>
  <c r="EW70" i="1"/>
  <c r="FD70" i="1"/>
  <c r="FV70" i="1" s="1"/>
  <c r="EX70" i="1"/>
  <c r="FE70" i="1"/>
  <c r="HR16" i="1"/>
  <c r="GR64" i="1"/>
  <c r="IB13" i="1" s="1"/>
  <c r="GT64" i="1"/>
  <c r="HA64" i="1"/>
  <c r="FJ68" i="1"/>
  <c r="GQ68" i="1" s="1"/>
  <c r="FW68" i="1"/>
  <c r="FX68" i="1" s="1"/>
  <c r="FZ68" i="1" s="1"/>
  <c r="FM68" i="1"/>
  <c r="FN68" i="1" s="1"/>
  <c r="GO66" i="1"/>
  <c r="GC66" i="1"/>
  <c r="GB66" i="1"/>
  <c r="GI66" i="1" s="1"/>
  <c r="FG69" i="1"/>
  <c r="FU69" i="1"/>
  <c r="GO65" i="1"/>
  <c r="GC65" i="1"/>
  <c r="GB65" i="1"/>
  <c r="FH69" i="1"/>
  <c r="GP67" i="1"/>
  <c r="GD67" i="1"/>
  <c r="GA67" i="1"/>
  <c r="FS65" i="1"/>
  <c r="GZ64" i="1"/>
  <c r="FP67" i="1"/>
  <c r="FQ67" i="1"/>
  <c r="FR67" i="1"/>
  <c r="FS66" i="1"/>
  <c r="HD63" i="1"/>
  <c r="HC6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CY79" i="1" l="1"/>
  <c r="DO79" i="1" s="1"/>
  <c r="DS79" i="1" s="1"/>
  <c r="DA79" i="1"/>
  <c r="DQ79" i="1"/>
  <c r="GI65" i="1"/>
  <c r="CV80" i="1"/>
  <c r="CW80" i="1"/>
  <c r="CX80" i="1"/>
  <c r="CU80" i="1"/>
  <c r="DU78" i="1"/>
  <c r="DY78" i="1" s="1"/>
  <c r="DS78" i="1"/>
  <c r="CS81" i="1"/>
  <c r="CU81" i="1" s="1"/>
  <c r="DV78" i="1"/>
  <c r="DW78" i="1"/>
  <c r="DX78" i="1" s="1"/>
  <c r="DR78" i="1"/>
  <c r="DN79" i="1"/>
  <c r="DU79" i="1"/>
  <c r="DM79" i="1"/>
  <c r="CQ82" i="1"/>
  <c r="CP82" i="1"/>
  <c r="DL79" i="1"/>
  <c r="FH70" i="1"/>
  <c r="FF72" i="1"/>
  <c r="FI72" i="1" s="1"/>
  <c r="FY72" i="1"/>
  <c r="HE72" i="1" s="1"/>
  <c r="FL71" i="1"/>
  <c r="FO71" i="1"/>
  <c r="FB72" i="1"/>
  <c r="FA72" i="1"/>
  <c r="EV72" i="1"/>
  <c r="EX71" i="1"/>
  <c r="HB71" i="1"/>
  <c r="HF71" i="1" s="1"/>
  <c r="HH71" i="1" s="1"/>
  <c r="FD71" i="1"/>
  <c r="FV71" i="1" s="1"/>
  <c r="FE71" i="1"/>
  <c r="EW71" i="1"/>
  <c r="EM74" i="1"/>
  <c r="EO74" i="1"/>
  <c r="ER74" i="1" s="1"/>
  <c r="EN74" i="1"/>
  <c r="FF73" i="1"/>
  <c r="FI73" i="1" s="1"/>
  <c r="FY73" i="1"/>
  <c r="HE73" i="1" s="1"/>
  <c r="EL75" i="1"/>
  <c r="EI75" i="1"/>
  <c r="EJ75" i="1"/>
  <c r="EH75" i="1"/>
  <c r="FA73" i="1"/>
  <c r="EV73" i="1"/>
  <c r="FB73" i="1"/>
  <c r="EK75" i="1"/>
  <c r="EE75" i="1"/>
  <c r="EG75" i="1"/>
  <c r="EF75" i="1"/>
  <c r="IC13" i="1"/>
  <c r="FS67" i="1"/>
  <c r="HR27" i="1"/>
  <c r="GH66" i="1"/>
  <c r="GY66" i="1" s="1"/>
  <c r="IA21" i="1" s="1"/>
  <c r="HH70" i="1"/>
  <c r="HM21" i="1"/>
  <c r="FU70" i="1"/>
  <c r="FG70" i="1"/>
  <c r="IE13" i="1"/>
  <c r="HM16" i="1"/>
  <c r="HQ33" i="1"/>
  <c r="GE65" i="1"/>
  <c r="GF65" i="1" s="1"/>
  <c r="GG65" i="1"/>
  <c r="FP68" i="1"/>
  <c r="FR68" i="1"/>
  <c r="FQ68" i="1"/>
  <c r="GH65" i="1"/>
  <c r="GP68" i="1"/>
  <c r="GD68" i="1"/>
  <c r="GA68" i="1"/>
  <c r="FT67" i="1"/>
  <c r="FJ69" i="1"/>
  <c r="GQ69" i="1" s="1"/>
  <c r="FM69" i="1"/>
  <c r="FN69" i="1" s="1"/>
  <c r="FW69" i="1"/>
  <c r="FX69" i="1" s="1"/>
  <c r="FZ69" i="1" s="1"/>
  <c r="GO67" i="1"/>
  <c r="GC67" i="1"/>
  <c r="GB67" i="1"/>
  <c r="GI67" i="1" s="1"/>
  <c r="GE66" i="1"/>
  <c r="GF66" i="1" s="1"/>
  <c r="GG66" i="1"/>
  <c r="HD64" i="1"/>
  <c r="HC6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DY79" i="1" l="1"/>
  <c r="FS68" i="1"/>
  <c r="EA78" i="1"/>
  <c r="DZ78" i="1"/>
  <c r="ED78" i="1" s="1"/>
  <c r="CY81" i="1"/>
  <c r="CZ81" i="1"/>
  <c r="DA81" i="1"/>
  <c r="EB78" i="1"/>
  <c r="CY80" i="1"/>
  <c r="DO80" i="1" s="1"/>
  <c r="CZ80" i="1"/>
  <c r="DP80" i="1" s="1"/>
  <c r="DA80" i="1"/>
  <c r="DQ80" i="1" s="1"/>
  <c r="DN80" i="1"/>
  <c r="DM80" i="1"/>
  <c r="DR79" i="1"/>
  <c r="DV79" i="1"/>
  <c r="DW79" i="1"/>
  <c r="DX79" i="1" s="1"/>
  <c r="CS82" i="1"/>
  <c r="CT82" i="1" s="1"/>
  <c r="CU82" i="1"/>
  <c r="CT81" i="1"/>
  <c r="DL80" i="1"/>
  <c r="FU71" i="1"/>
  <c r="FG71" i="1"/>
  <c r="HG73" i="1"/>
  <c r="HH73" i="1"/>
  <c r="EQ74" i="1"/>
  <c r="EZ74" i="1" s="1"/>
  <c r="FC74" i="1" s="1"/>
  <c r="EP74" i="1"/>
  <c r="EN75" i="1"/>
  <c r="EO75" i="1"/>
  <c r="ER75" i="1" s="1"/>
  <c r="EM75" i="1"/>
  <c r="FH71" i="1"/>
  <c r="HB73" i="1"/>
  <c r="HF73" i="1" s="1"/>
  <c r="EW73" i="1"/>
  <c r="FE73" i="1"/>
  <c r="FD73" i="1"/>
  <c r="FV73" i="1" s="1"/>
  <c r="EX73" i="1"/>
  <c r="FH73" i="1" s="1"/>
  <c r="FD72" i="1"/>
  <c r="FV72" i="1" s="1"/>
  <c r="FE72" i="1"/>
  <c r="EX72" i="1"/>
  <c r="EW72" i="1"/>
  <c r="HB72" i="1"/>
  <c r="HF72" i="1" s="1"/>
  <c r="HG72" i="1" s="1"/>
  <c r="HG71" i="1"/>
  <c r="FL73" i="1"/>
  <c r="FO73" i="1"/>
  <c r="FL72" i="1"/>
  <c r="FO72" i="1"/>
  <c r="FT68" i="1"/>
  <c r="HQ39" i="1"/>
  <c r="GS66" i="1"/>
  <c r="HY21" i="1" s="1"/>
  <c r="FM70" i="1"/>
  <c r="FN70" i="1" s="1"/>
  <c r="FJ70" i="1"/>
  <c r="GQ70" i="1" s="1"/>
  <c r="HQ45" i="1" s="1"/>
  <c r="FW70" i="1"/>
  <c r="FX70" i="1" s="1"/>
  <c r="FZ70" i="1" s="1"/>
  <c r="HR33" i="1"/>
  <c r="HM27" i="1"/>
  <c r="GD69" i="1"/>
  <c r="GA69" i="1"/>
  <c r="GP69" i="1"/>
  <c r="GS65" i="1"/>
  <c r="HY16" i="1" s="1"/>
  <c r="GY65" i="1"/>
  <c r="IA16" i="1" s="1"/>
  <c r="FR69" i="1"/>
  <c r="FQ69" i="1"/>
  <c r="FP69" i="1"/>
  <c r="GE67" i="1"/>
  <c r="GF67" i="1" s="1"/>
  <c r="GG67" i="1"/>
  <c r="GB68" i="1"/>
  <c r="GO68" i="1"/>
  <c r="GC68" i="1"/>
  <c r="GH67" i="1"/>
  <c r="GZ66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EC78" i="1" l="1"/>
  <c r="EF78" i="1" s="1"/>
  <c r="HA66" i="1"/>
  <c r="GT66" i="1"/>
  <c r="CV82" i="1"/>
  <c r="CW82" i="1"/>
  <c r="CX82" i="1"/>
  <c r="DS80" i="1"/>
  <c r="DU80" i="1"/>
  <c r="DV80" i="1"/>
  <c r="DR80" i="1"/>
  <c r="DW80" i="1"/>
  <c r="DX80" i="1" s="1"/>
  <c r="CV81" i="1"/>
  <c r="CW81" i="1"/>
  <c r="CX81" i="1"/>
  <c r="DQ81" i="1" s="1"/>
  <c r="EL78" i="1"/>
  <c r="EH78" i="1"/>
  <c r="EI78" i="1"/>
  <c r="EJ78" i="1"/>
  <c r="CY82" i="1"/>
  <c r="DO82" i="1" s="1"/>
  <c r="CZ82" i="1"/>
  <c r="DA82" i="1"/>
  <c r="EK78" i="1"/>
  <c r="EG78" i="1"/>
  <c r="EE78" i="1"/>
  <c r="EA79" i="1"/>
  <c r="DP81" i="1"/>
  <c r="DZ79" i="1"/>
  <c r="DO81" i="1"/>
  <c r="GR66" i="1"/>
  <c r="IB21" i="1" s="1"/>
  <c r="GH68" i="1"/>
  <c r="FH72" i="1"/>
  <c r="HH72" i="1"/>
  <c r="EQ75" i="1"/>
  <c r="EZ75" i="1" s="1"/>
  <c r="FC75" i="1" s="1"/>
  <c r="EP75" i="1"/>
  <c r="FA74" i="1"/>
  <c r="EV74" i="1"/>
  <c r="FB74" i="1"/>
  <c r="FG73" i="1"/>
  <c r="FU73" i="1"/>
  <c r="FF74" i="1"/>
  <c r="FI74" i="1" s="1"/>
  <c r="FY74" i="1"/>
  <c r="HE74" i="1" s="1"/>
  <c r="FW71" i="1"/>
  <c r="FJ71" i="1"/>
  <c r="GQ71" i="1" s="1"/>
  <c r="FM71" i="1"/>
  <c r="FN71" i="1" s="1"/>
  <c r="FU72" i="1"/>
  <c r="FG72" i="1"/>
  <c r="FX71" i="1"/>
  <c r="FZ71" i="1" s="1"/>
  <c r="IC21" i="1"/>
  <c r="GP70" i="1"/>
  <c r="HR45" i="1" s="1"/>
  <c r="GD70" i="1"/>
  <c r="GA70" i="1"/>
  <c r="IE21" i="1"/>
  <c r="FS69" i="1"/>
  <c r="HR39" i="1"/>
  <c r="FP70" i="1"/>
  <c r="FR70" i="1"/>
  <c r="FQ70" i="1"/>
  <c r="HM33" i="1"/>
  <c r="GC69" i="1"/>
  <c r="GB69" i="1"/>
  <c r="GO69" i="1"/>
  <c r="HD66" i="1"/>
  <c r="HC66" i="1"/>
  <c r="GY67" i="1"/>
  <c r="IA27" i="1" s="1"/>
  <c r="GS67" i="1"/>
  <c r="HY27" i="1" s="1"/>
  <c r="GR65" i="1"/>
  <c r="IB16" i="1" s="1"/>
  <c r="GT65" i="1"/>
  <c r="HA65" i="1"/>
  <c r="FT69" i="1"/>
  <c r="GZ65" i="1"/>
  <c r="GE68" i="1"/>
  <c r="GF68" i="1" s="1"/>
  <c r="GG68" i="1"/>
  <c r="GI68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DY80" i="1" l="1"/>
  <c r="GI69" i="1"/>
  <c r="DQ82" i="1"/>
  <c r="GY68" i="1"/>
  <c r="IA33" i="1" s="1"/>
  <c r="GS68" i="1"/>
  <c r="HY33" i="1" s="1"/>
  <c r="DP82" i="1"/>
  <c r="EA80" i="1"/>
  <c r="DZ80" i="1"/>
  <c r="ED80" i="1" s="1"/>
  <c r="EM78" i="1"/>
  <c r="EN78" i="1"/>
  <c r="EO78" i="1"/>
  <c r="ER78" i="1" s="1"/>
  <c r="DS81" i="1"/>
  <c r="DU81" i="1"/>
  <c r="DN81" i="1"/>
  <c r="DM81" i="1"/>
  <c r="DS82" i="1"/>
  <c r="DU82" i="1"/>
  <c r="DL81" i="1"/>
  <c r="DN82" i="1"/>
  <c r="EC79" i="1"/>
  <c r="ED79" i="1"/>
  <c r="EB79" i="1"/>
  <c r="DM82" i="1"/>
  <c r="DL82" i="1"/>
  <c r="FT70" i="1"/>
  <c r="FL74" i="1"/>
  <c r="FO74" i="1"/>
  <c r="FJ72" i="1"/>
  <c r="GQ72" i="1" s="1"/>
  <c r="FM72" i="1"/>
  <c r="FN72" i="1" s="1"/>
  <c r="FW72" i="1"/>
  <c r="FW73" i="1"/>
  <c r="FJ73" i="1"/>
  <c r="GQ73" i="1" s="1"/>
  <c r="FM73" i="1"/>
  <c r="FN73" i="1" s="1"/>
  <c r="FA75" i="1"/>
  <c r="EV75" i="1"/>
  <c r="FB75" i="1"/>
  <c r="FQ71" i="1"/>
  <c r="FS71" i="1" s="1"/>
  <c r="FR71" i="1"/>
  <c r="FP71" i="1"/>
  <c r="FY75" i="1"/>
  <c r="HE75" i="1" s="1"/>
  <c r="FF75" i="1"/>
  <c r="FI75" i="1" s="1"/>
  <c r="GA71" i="1"/>
  <c r="GD71" i="1"/>
  <c r="GP71" i="1"/>
  <c r="FX73" i="1"/>
  <c r="FZ73" i="1" s="1"/>
  <c r="FX72" i="1"/>
  <c r="FZ72" i="1" s="1"/>
  <c r="HG74" i="1"/>
  <c r="HH74" i="1"/>
  <c r="EW74" i="1"/>
  <c r="HB74" i="1"/>
  <c r="HF74" i="1" s="1"/>
  <c r="FE74" i="1"/>
  <c r="FD74" i="1"/>
  <c r="FV74" i="1" s="1"/>
  <c r="EX74" i="1"/>
  <c r="IE16" i="1"/>
  <c r="FS70" i="1"/>
  <c r="HM39" i="1"/>
  <c r="GC70" i="1"/>
  <c r="GH70" i="1" s="1"/>
  <c r="GO70" i="1"/>
  <c r="HM45" i="1" s="1"/>
  <c r="GB70" i="1"/>
  <c r="IC16" i="1"/>
  <c r="GT68" i="1"/>
  <c r="GR68" i="1"/>
  <c r="HA68" i="1"/>
  <c r="GZ68" i="1"/>
  <c r="GT67" i="1"/>
  <c r="GR67" i="1"/>
  <c r="HA67" i="1"/>
  <c r="GZ67" i="1"/>
  <c r="HC65" i="1"/>
  <c r="HD65" i="1"/>
  <c r="GE69" i="1"/>
  <c r="GF69" i="1" s="1"/>
  <c r="GG69" i="1"/>
  <c r="GH69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EC80" i="1" l="1"/>
  <c r="EG80" i="1" s="1"/>
  <c r="EB80" i="1"/>
  <c r="GI70" i="1"/>
  <c r="GY70" i="1" s="1"/>
  <c r="DY82" i="1"/>
  <c r="DY81" i="1"/>
  <c r="EK79" i="1"/>
  <c r="EG79" i="1"/>
  <c r="EF79" i="1"/>
  <c r="EE79" i="1"/>
  <c r="EQ78" i="1"/>
  <c r="EZ78" i="1" s="1"/>
  <c r="FC78" i="1" s="1"/>
  <c r="EP78" i="1"/>
  <c r="EL79" i="1"/>
  <c r="EJ79" i="1"/>
  <c r="EH79" i="1"/>
  <c r="EI79" i="1"/>
  <c r="DV81" i="1"/>
  <c r="DR81" i="1"/>
  <c r="DW81" i="1"/>
  <c r="DX81" i="1" s="1"/>
  <c r="EK80" i="1"/>
  <c r="EF80" i="1"/>
  <c r="DW82" i="1"/>
  <c r="DX82" i="1" s="1"/>
  <c r="DV82" i="1"/>
  <c r="DR82" i="1"/>
  <c r="EL80" i="1"/>
  <c r="EJ80" i="1"/>
  <c r="EH80" i="1"/>
  <c r="EI80" i="1"/>
  <c r="FQ73" i="1"/>
  <c r="FR73" i="1"/>
  <c r="FT73" i="1" s="1"/>
  <c r="FP73" i="1"/>
  <c r="GC71" i="1"/>
  <c r="GO71" i="1"/>
  <c r="GB71" i="1"/>
  <c r="GI71" i="1" s="1"/>
  <c r="FH74" i="1"/>
  <c r="GA72" i="1"/>
  <c r="GP72" i="1"/>
  <c r="GD72" i="1"/>
  <c r="FT71" i="1"/>
  <c r="GP73" i="1"/>
  <c r="GA73" i="1"/>
  <c r="GD73" i="1"/>
  <c r="FQ72" i="1"/>
  <c r="FR72" i="1"/>
  <c r="FT72" i="1" s="1"/>
  <c r="FP72" i="1"/>
  <c r="FE75" i="1"/>
  <c r="HB75" i="1"/>
  <c r="HF75" i="1" s="1"/>
  <c r="HG75" i="1" s="1"/>
  <c r="EW75" i="1"/>
  <c r="FD75" i="1"/>
  <c r="FV75" i="1" s="1"/>
  <c r="EX75" i="1"/>
  <c r="FG74" i="1"/>
  <c r="FU74" i="1"/>
  <c r="FL75" i="1"/>
  <c r="FO75" i="1"/>
  <c r="IE27" i="1"/>
  <c r="IE33" i="1"/>
  <c r="IB33" i="1"/>
  <c r="IB27" i="1"/>
  <c r="IC33" i="1"/>
  <c r="IC27" i="1"/>
  <c r="GG70" i="1"/>
  <c r="GS70" i="1" s="1"/>
  <c r="GE70" i="1"/>
  <c r="GF70" i="1" s="1"/>
  <c r="HD67" i="1"/>
  <c r="HC67" i="1"/>
  <c r="GS69" i="1"/>
  <c r="HY39" i="1" s="1"/>
  <c r="GY69" i="1"/>
  <c r="IA39" i="1" s="1"/>
  <c r="HD68" i="1"/>
  <c r="HC68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EE80" i="1" l="1"/>
  <c r="DZ82" i="1"/>
  <c r="EB82" i="1" s="1"/>
  <c r="EA82" i="1"/>
  <c r="FF78" i="1"/>
  <c r="FI78" i="1" s="1"/>
  <c r="FY78" i="1"/>
  <c r="HE78" i="1" s="1"/>
  <c r="DZ81" i="1"/>
  <c r="EN79" i="1"/>
  <c r="EO79" i="1"/>
  <c r="ER79" i="1" s="1"/>
  <c r="EM79" i="1"/>
  <c r="EO80" i="1"/>
  <c r="ER80" i="1" s="1"/>
  <c r="EN80" i="1"/>
  <c r="EM80" i="1"/>
  <c r="FA78" i="1"/>
  <c r="FB78" i="1"/>
  <c r="EV78" i="1"/>
  <c r="ED82" i="1"/>
  <c r="EC82" i="1"/>
  <c r="EA81" i="1"/>
  <c r="FU75" i="1"/>
  <c r="FG75" i="1"/>
  <c r="GH71" i="1"/>
  <c r="HH75" i="1"/>
  <c r="GB73" i="1"/>
  <c r="GC73" i="1"/>
  <c r="GH73" i="1" s="1"/>
  <c r="GO73" i="1"/>
  <c r="GG71" i="1"/>
  <c r="GE71" i="1"/>
  <c r="GF71" i="1" s="1"/>
  <c r="FM74" i="1"/>
  <c r="FN74" i="1" s="1"/>
  <c r="FW74" i="1"/>
  <c r="FX74" i="1" s="1"/>
  <c r="FZ74" i="1" s="1"/>
  <c r="FJ74" i="1"/>
  <c r="GQ74" i="1" s="1"/>
  <c r="GC72" i="1"/>
  <c r="GB72" i="1"/>
  <c r="GO72" i="1"/>
  <c r="FH75" i="1"/>
  <c r="FS72" i="1"/>
  <c r="FS73" i="1"/>
  <c r="GT70" i="1"/>
  <c r="IC45" i="1" s="1"/>
  <c r="GR70" i="1"/>
  <c r="IB45" i="1" s="1"/>
  <c r="HY45" i="1"/>
  <c r="HA70" i="1"/>
  <c r="GZ70" i="1"/>
  <c r="IE45" i="1" s="1"/>
  <c r="IA45" i="1"/>
  <c r="GR69" i="1"/>
  <c r="IB39" i="1" s="1"/>
  <c r="GT69" i="1"/>
  <c r="HA69" i="1"/>
  <c r="GZ69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EP79" i="1" l="1"/>
  <c r="EQ79" i="1"/>
  <c r="EZ79" i="1" s="1"/>
  <c r="FC79" i="1" s="1"/>
  <c r="EX78" i="1"/>
  <c r="FD78" i="1"/>
  <c r="FV78" i="1" s="1"/>
  <c r="FE78" i="1"/>
  <c r="EW78" i="1"/>
  <c r="HB78" i="1"/>
  <c r="HF78" i="1" s="1"/>
  <c r="HH78" i="1" s="1"/>
  <c r="FL78" i="1"/>
  <c r="FO78" i="1"/>
  <c r="EP80" i="1"/>
  <c r="EQ80" i="1"/>
  <c r="EZ80" i="1" s="1"/>
  <c r="FC80" i="1" s="1"/>
  <c r="ED81" i="1"/>
  <c r="EB81" i="1"/>
  <c r="EC81" i="1"/>
  <c r="EK82" i="1"/>
  <c r="EF82" i="1"/>
  <c r="EG82" i="1"/>
  <c r="EE82" i="1"/>
  <c r="EL82" i="1"/>
  <c r="EI82" i="1"/>
  <c r="EH82" i="1"/>
  <c r="EJ82" i="1"/>
  <c r="GD74" i="1"/>
  <c r="GA74" i="1"/>
  <c r="GP74" i="1"/>
  <c r="FP74" i="1"/>
  <c r="FQ74" i="1"/>
  <c r="FR74" i="1"/>
  <c r="FT74" i="1" s="1"/>
  <c r="GS71" i="1"/>
  <c r="GY71" i="1"/>
  <c r="GG72" i="1"/>
  <c r="GE72" i="1"/>
  <c r="GF72" i="1" s="1"/>
  <c r="GY73" i="1"/>
  <c r="GI73" i="1"/>
  <c r="GH72" i="1"/>
  <c r="GG73" i="1"/>
  <c r="GS73" i="1" s="1"/>
  <c r="GE73" i="1"/>
  <c r="GF73" i="1" s="1"/>
  <c r="FW75" i="1"/>
  <c r="FJ75" i="1"/>
  <c r="GQ75" i="1" s="1"/>
  <c r="FM75" i="1"/>
  <c r="FN75" i="1" s="1"/>
  <c r="GI72" i="1"/>
  <c r="FX75" i="1"/>
  <c r="FZ75" i="1" s="1"/>
  <c r="IC39" i="1"/>
  <c r="IE39" i="1"/>
  <c r="HC70" i="1"/>
  <c r="HD70" i="1"/>
  <c r="HC69" i="1"/>
  <c r="HD69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G78" i="1" l="1"/>
  <c r="EL81" i="1"/>
  <c r="EH81" i="1"/>
  <c r="EJ81" i="1"/>
  <c r="EI81" i="1"/>
  <c r="FG78" i="1"/>
  <c r="FU78" i="1"/>
  <c r="FY80" i="1"/>
  <c r="HE80" i="1" s="1"/>
  <c r="FF80" i="1"/>
  <c r="FI80" i="1" s="1"/>
  <c r="EN82" i="1"/>
  <c r="EO82" i="1"/>
  <c r="ER82" i="1" s="1"/>
  <c r="EM82" i="1"/>
  <c r="EV80" i="1"/>
  <c r="FB80" i="1"/>
  <c r="FA80" i="1"/>
  <c r="FH78" i="1"/>
  <c r="FY79" i="1"/>
  <c r="HE79" i="1" s="1"/>
  <c r="FF79" i="1"/>
  <c r="FI79" i="1" s="1"/>
  <c r="EK81" i="1"/>
  <c r="EG81" i="1"/>
  <c r="EE81" i="1"/>
  <c r="EF81" i="1"/>
  <c r="FB79" i="1"/>
  <c r="EV79" i="1"/>
  <c r="FA79" i="1"/>
  <c r="GT73" i="1"/>
  <c r="GR73" i="1"/>
  <c r="HA73" i="1"/>
  <c r="GR71" i="1"/>
  <c r="GT71" i="1"/>
  <c r="HA71" i="1"/>
  <c r="GY72" i="1"/>
  <c r="GS72" i="1"/>
  <c r="GA75" i="1"/>
  <c r="GD75" i="1"/>
  <c r="GP75" i="1"/>
  <c r="FS74" i="1"/>
  <c r="GO74" i="1"/>
  <c r="GB74" i="1"/>
  <c r="GC74" i="1"/>
  <c r="GH74" i="1" s="1"/>
  <c r="FR75" i="1"/>
  <c r="FT75" i="1" s="1"/>
  <c r="FP75" i="1"/>
  <c r="FQ75" i="1"/>
  <c r="FS75" i="1" s="1"/>
  <c r="GZ73" i="1"/>
  <c r="GZ71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FL80" i="1" l="1"/>
  <c r="FO80" i="1"/>
  <c r="EM81" i="1"/>
  <c r="EN81" i="1"/>
  <c r="EO81" i="1"/>
  <c r="ER81" i="1" s="1"/>
  <c r="FD80" i="1"/>
  <c r="FV80" i="1" s="1"/>
  <c r="EX80" i="1"/>
  <c r="EW80" i="1"/>
  <c r="HB80" i="1"/>
  <c r="HF80" i="1" s="1"/>
  <c r="FE80" i="1"/>
  <c r="FM78" i="1"/>
  <c r="FN78" i="1" s="1"/>
  <c r="FJ78" i="1"/>
  <c r="GQ78" i="1" s="1"/>
  <c r="HQ20" i="1" s="1"/>
  <c r="FW78" i="1"/>
  <c r="FX78" i="1" s="1"/>
  <c r="FZ78" i="1" s="1"/>
  <c r="FL79" i="1"/>
  <c r="FO79" i="1"/>
  <c r="EQ82" i="1"/>
  <c r="EZ82" i="1" s="1"/>
  <c r="FC82" i="1" s="1"/>
  <c r="EP82" i="1"/>
  <c r="FD79" i="1"/>
  <c r="FV79" i="1" s="1"/>
  <c r="FE79" i="1"/>
  <c r="EX79" i="1"/>
  <c r="HB79" i="1"/>
  <c r="HF79" i="1" s="1"/>
  <c r="HG79" i="1" s="1"/>
  <c r="EW79" i="1"/>
  <c r="HH80" i="1"/>
  <c r="HG80" i="1"/>
  <c r="HC71" i="1"/>
  <c r="HD71" i="1"/>
  <c r="GC75" i="1"/>
  <c r="GH75" i="1" s="1"/>
  <c r="GB75" i="1"/>
  <c r="GO75" i="1"/>
  <c r="GI74" i="1"/>
  <c r="GS74" i="1"/>
  <c r="GY74" i="1"/>
  <c r="GR72" i="1"/>
  <c r="GT72" i="1"/>
  <c r="HA72" i="1"/>
  <c r="GE74" i="1"/>
  <c r="GF74" i="1" s="1"/>
  <c r="GG74" i="1"/>
  <c r="GZ72" i="1"/>
  <c r="HC73" i="1"/>
  <c r="HD73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P78" i="1" l="1"/>
  <c r="HR20" i="1" s="1"/>
  <c r="GD78" i="1"/>
  <c r="GA78" i="1"/>
  <c r="HH79" i="1"/>
  <c r="FB82" i="1"/>
  <c r="EV82" i="1"/>
  <c r="FA82" i="1"/>
  <c r="FQ78" i="1"/>
  <c r="FR78" i="1"/>
  <c r="FP78" i="1"/>
  <c r="FF82" i="1"/>
  <c r="FI82" i="1" s="1"/>
  <c r="FY82" i="1"/>
  <c r="HE82" i="1" s="1"/>
  <c r="EP81" i="1"/>
  <c r="EQ81" i="1"/>
  <c r="EZ81" i="1" s="1"/>
  <c r="FC81" i="1" s="1"/>
  <c r="FU79" i="1"/>
  <c r="FG79" i="1"/>
  <c r="FU80" i="1"/>
  <c r="FG80" i="1"/>
  <c r="FH79" i="1"/>
  <c r="FH80" i="1"/>
  <c r="HC72" i="1"/>
  <c r="HD72" i="1"/>
  <c r="GE75" i="1"/>
  <c r="GF75" i="1" s="1"/>
  <c r="GG75" i="1"/>
  <c r="GS75" i="1" s="1"/>
  <c r="GZ74" i="1"/>
  <c r="GT74" i="1"/>
  <c r="GR74" i="1"/>
  <c r="HA74" i="1"/>
  <c r="GI75" i="1"/>
  <c r="GY75" i="1" s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FT78" i="1" l="1"/>
  <c r="FS78" i="1"/>
  <c r="FW80" i="1"/>
  <c r="FM80" i="1"/>
  <c r="FN80" i="1" s="1"/>
  <c r="FJ80" i="1"/>
  <c r="GQ80" i="1" s="1"/>
  <c r="HQ32" i="1" s="1"/>
  <c r="FE82" i="1"/>
  <c r="EX82" i="1"/>
  <c r="FH82" i="1" s="1"/>
  <c r="FD82" i="1"/>
  <c r="FV82" i="1" s="1"/>
  <c r="HB82" i="1"/>
  <c r="HF82" i="1" s="1"/>
  <c r="HG82" i="1" s="1"/>
  <c r="EW82" i="1"/>
  <c r="FX80" i="1"/>
  <c r="FZ80" i="1" s="1"/>
  <c r="FM79" i="1"/>
  <c r="FN79" i="1" s="1"/>
  <c r="FJ79" i="1"/>
  <c r="GQ79" i="1" s="1"/>
  <c r="HQ26" i="1" s="1"/>
  <c r="FW79" i="1"/>
  <c r="FX79" i="1" s="1"/>
  <c r="FZ79" i="1" s="1"/>
  <c r="GB78" i="1"/>
  <c r="GO78" i="1"/>
  <c r="HM20" i="1" s="1"/>
  <c r="GC78" i="1"/>
  <c r="GH78" i="1" s="1"/>
  <c r="FF81" i="1"/>
  <c r="FI81" i="1" s="1"/>
  <c r="FY81" i="1"/>
  <c r="HE81" i="1" s="1"/>
  <c r="FA81" i="1"/>
  <c r="EV81" i="1"/>
  <c r="FB81" i="1"/>
  <c r="FL82" i="1"/>
  <c r="FO82" i="1"/>
  <c r="GR75" i="1"/>
  <c r="GT75" i="1"/>
  <c r="HA75" i="1"/>
  <c r="GZ75" i="1"/>
  <c r="HC74" i="1"/>
  <c r="HD74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H82" i="1" l="1"/>
  <c r="GP79" i="1"/>
  <c r="HR26" i="1" s="1"/>
  <c r="GA79" i="1"/>
  <c r="GD79" i="1"/>
  <c r="FU82" i="1"/>
  <c r="FG82" i="1"/>
  <c r="FQ79" i="1"/>
  <c r="FP79" i="1"/>
  <c r="FR79" i="1"/>
  <c r="EW81" i="1"/>
  <c r="FE81" i="1"/>
  <c r="EX81" i="1"/>
  <c r="FH81" i="1" s="1"/>
  <c r="HB81" i="1"/>
  <c r="HF81" i="1" s="1"/>
  <c r="HG81" i="1" s="1"/>
  <c r="HG8" i="1" s="1"/>
  <c r="FD81" i="1"/>
  <c r="FV81" i="1" s="1"/>
  <c r="GG78" i="1"/>
  <c r="GS78" i="1" s="1"/>
  <c r="GE78" i="1"/>
  <c r="GF78" i="1" s="1"/>
  <c r="FL81" i="1"/>
  <c r="FO81" i="1"/>
  <c r="FQ80" i="1"/>
  <c r="FR80" i="1"/>
  <c r="FT80" i="1" s="1"/>
  <c r="FP80" i="1"/>
  <c r="GI78" i="1"/>
  <c r="GY78" i="1" s="1"/>
  <c r="GD80" i="1"/>
  <c r="GA80" i="1"/>
  <c r="GP80" i="1"/>
  <c r="HR32" i="1" s="1"/>
  <c r="HD75" i="1"/>
  <c r="HC75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FT79" i="1" l="1"/>
  <c r="GT78" i="1"/>
  <c r="IC20" i="1" s="1"/>
  <c r="GR78" i="1"/>
  <c r="HA78" i="1"/>
  <c r="HY20" i="1"/>
  <c r="GZ78" i="1"/>
  <c r="IE20" i="1" s="1"/>
  <c r="IA20" i="1"/>
  <c r="HH81" i="1"/>
  <c r="HH8" i="1" s="1"/>
  <c r="HF8" i="1" s="1"/>
  <c r="GB80" i="1"/>
  <c r="GC80" i="1"/>
  <c r="GH80" i="1" s="1"/>
  <c r="GO80" i="1"/>
  <c r="HM32" i="1" s="1"/>
  <c r="GO79" i="1"/>
  <c r="HM26" i="1" s="1"/>
  <c r="GC79" i="1"/>
  <c r="GB79" i="1"/>
  <c r="FS80" i="1"/>
  <c r="FS79" i="1"/>
  <c r="FG81" i="1"/>
  <c r="FU81" i="1"/>
  <c r="FW82" i="1"/>
  <c r="FX82" i="1" s="1"/>
  <c r="FZ82" i="1" s="1"/>
  <c r="FM82" i="1"/>
  <c r="FN82" i="1" s="1"/>
  <c r="FJ82" i="1"/>
  <c r="GQ82" i="1" s="1"/>
  <c r="HQ44" i="1" s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GH79" i="1" l="1"/>
  <c r="GP82" i="1"/>
  <c r="HR44" i="1" s="1"/>
  <c r="GA82" i="1"/>
  <c r="GD82" i="1"/>
  <c r="FJ81" i="1"/>
  <c r="GQ81" i="1" s="1"/>
  <c r="HQ38" i="1" s="1"/>
  <c r="FM81" i="1"/>
  <c r="FN81" i="1" s="1"/>
  <c r="FW81" i="1"/>
  <c r="FX81" i="1" s="1"/>
  <c r="FZ81" i="1" s="1"/>
  <c r="GI79" i="1"/>
  <c r="GY79" i="1" s="1"/>
  <c r="GE80" i="1"/>
  <c r="GF80" i="1" s="1"/>
  <c r="GG80" i="1"/>
  <c r="GS80" i="1" s="1"/>
  <c r="FP82" i="1"/>
  <c r="FQ82" i="1"/>
  <c r="FR82" i="1"/>
  <c r="GI80" i="1"/>
  <c r="GY80" i="1" s="1"/>
  <c r="HD78" i="1"/>
  <c r="HC78" i="1"/>
  <c r="GG79" i="1"/>
  <c r="GE79" i="1"/>
  <c r="GF79" i="1" s="1"/>
  <c r="IB20" i="1"/>
  <c r="GS79" i="1"/>
  <c r="HE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S82" i="1" l="1"/>
  <c r="GZ80" i="1"/>
  <c r="IE32" i="1" s="1"/>
  <c r="IA32" i="1"/>
  <c r="GT80" i="1"/>
  <c r="IC32" i="1" s="1"/>
  <c r="GR80" i="1"/>
  <c r="IB32" i="1" s="1"/>
  <c r="HY32" i="1"/>
  <c r="HA80" i="1"/>
  <c r="GZ79" i="1"/>
  <c r="IE26" i="1" s="1"/>
  <c r="IA26" i="1"/>
  <c r="GD81" i="1"/>
  <c r="GA81" i="1"/>
  <c r="GP81" i="1"/>
  <c r="HR38" i="1" s="1"/>
  <c r="FT82" i="1"/>
  <c r="GT79" i="1"/>
  <c r="IC26" i="1" s="1"/>
  <c r="GR79" i="1"/>
  <c r="HY26" i="1"/>
  <c r="HA79" i="1"/>
  <c r="FR81" i="1"/>
  <c r="FP81" i="1"/>
  <c r="FQ81" i="1"/>
  <c r="GB82" i="1"/>
  <c r="GO82" i="1"/>
  <c r="HM44" i="1" s="1"/>
  <c r="GC82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T81" i="1" l="1"/>
  <c r="IB26" i="1"/>
  <c r="GG82" i="1"/>
  <c r="GE82" i="1"/>
  <c r="GF82" i="1" s="1"/>
  <c r="GI82" i="1"/>
  <c r="FS81" i="1"/>
  <c r="HD80" i="1"/>
  <c r="HC80" i="1"/>
  <c r="GC81" i="1"/>
  <c r="GB81" i="1"/>
  <c r="GO81" i="1"/>
  <c r="HM38" i="1" s="1"/>
  <c r="GH82" i="1"/>
  <c r="HC79" i="1"/>
  <c r="HD79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GH81" i="1" l="1"/>
  <c r="GI81" i="1"/>
  <c r="GY82" i="1"/>
  <c r="GS82" i="1"/>
  <c r="GE81" i="1"/>
  <c r="GF81" i="1" s="1"/>
  <c r="GG81" i="1"/>
  <c r="GS81" i="1" s="1"/>
  <c r="GY81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GT81" i="1" l="1"/>
  <c r="IC38" i="1" s="1"/>
  <c r="GR81" i="1"/>
  <c r="HY38" i="1"/>
  <c r="HA81" i="1"/>
  <c r="GS2" i="1"/>
  <c r="GR82" i="1"/>
  <c r="IB44" i="1" s="1"/>
  <c r="GT82" i="1"/>
  <c r="IC44" i="1" s="1"/>
  <c r="HY44" i="1"/>
  <c r="HA82" i="1"/>
  <c r="GZ82" i="1"/>
  <c r="IE44" i="1" s="1"/>
  <c r="IA44" i="1"/>
  <c r="GZ81" i="1"/>
  <c r="IE38" i="1" s="1"/>
  <c r="IA38" i="1"/>
  <c r="GY2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C81" i="1" l="1"/>
  <c r="HD81" i="1"/>
  <c r="IB38" i="1"/>
  <c r="GR2" i="1"/>
  <c r="HD82" i="1"/>
  <c r="HC82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D8" i="1" l="1"/>
  <c r="HH3" i="1" s="1"/>
  <c r="HC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A8" i="1" l="1"/>
  <c r="HB8" i="1"/>
  <c r="HG3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F3" i="1" l="1"/>
  <c r="HE3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A4" i="1" l="1"/>
  <c r="HW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<sst xmlns="http://schemas.openxmlformats.org/spreadsheetml/2006/main" count="903" uniqueCount="423">
  <si>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</si>
  <si>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</si>
  <si>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</si>
  <si>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</si>
  <si>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</si>
  <si>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</si>
  <si>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</si>
  <si>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</si>
  <si>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</si>
  <si>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</si>
  <si>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</si>
  <si>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</si>
  <si>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</si>
  <si>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</si>
  <si>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</si>
  <si>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</si>
  <si>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</si>
  <si>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</si>
  <si>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</si>
  <si>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</si>
  <si>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</si>
  <si>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</si>
  <si>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</si>
  <si>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</si>
  <si>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</si>
  <si>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</si>
  <si>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</si>
  <si>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</si>
  <si>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</si>
  <si>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</si>
  <si>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</si>
  <si>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</si>
  <si>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</si>
  <si>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</si>
  <si>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</si>
  <si>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</si>
  <si>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</si>
  <si>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</si>
  <si>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</si>
  <si>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</si>
  <si>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</si>
  <si>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</si>
  <si>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</si>
  <si>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</si>
  <si>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</si>
  <si>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</si>
  <si>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</si>
  <si>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</si>
  <si>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</si>
  <si>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</si>
  <si>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</si>
  <si>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</si>
  <si>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</si>
  <si>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</si>
  <si>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</si>
  <si>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</si>
  <si>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</si>
  <si>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</si>
  <si>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</si>
  <si>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</si>
  <si>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</si>
  <si>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</si>
  <si>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</si>
  <si>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</si>
  <si>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</si>
  <si>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</si>
  <si>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</si>
  <si>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</si>
  <si>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</si>
  <si>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</si>
  <si>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</si>
  <si>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</si>
  <si>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</si>
  <si>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</si>
  <si>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</si>
  <si>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</si>
  <si>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</si>
  <si>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</si>
  <si>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</si>
  <si>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</si>
  <si>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</si>
  <si>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</si>
  <si>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</si>
  <si>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</si>
  <si>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</si>
  <si>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</si>
  <si>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</si>
  <si>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</si>
  <si>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</si>
  <si>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</si>
  <si>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</si>
  <si>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</si>
  <si>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</si>
  <si>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</si>
  <si>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</si>
  <si>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</si>
  <si>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</si>
  <si>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</si>
  <si>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</si>
  <si>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</si>
  <si>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</si>
  <si>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</si>
  <si>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</si>
  <si>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</si>
  <si>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</si>
  <si>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</si>
  <si>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</si>
  <si>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</si>
  <si>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</si>
  <si>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</si>
  <si>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</si>
  <si>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</si>
  <si>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</si>
  <si>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</si>
  <si>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</si>
  <si>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</si>
  <si>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</si>
  <si>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</si>
  <si>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</si>
  <si>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</si>
  <si>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</si>
  <si>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</si>
  <si>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</si>
  <si>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</si>
  <si>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</si>
  <si>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</si>
  <si>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</si>
  <si>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</si>
  <si>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</si>
  <si>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</si>
  <si>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</si>
  <si>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</si>
  <si>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</si>
  <si>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</si>
  <si>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</si>
  <si>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</si>
  <si>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</si>
  <si>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</si>
  <si>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</si>
  <si>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</si>
  <si>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</si>
  <si>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</si>
  <si>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</si>
  <si>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</si>
  <si>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</si>
  <si>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</si>
  <si>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</si>
  <si>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</si>
  <si>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</si>
  <si>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</si>
  <si>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</si>
  <si>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</si>
  <si>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</si>
  <si>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</si>
  <si>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</si>
  <si>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</si>
  <si>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</si>
  <si>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</si>
  <si>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</si>
  <si>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</si>
  <si>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</si>
  <si>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</si>
  <si>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</si>
  <si>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</si>
  <si>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</si>
  <si>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</si>
  <si>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</si>
  <si>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</si>
  <si>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</si>
  <si>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</si>
  <si>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</si>
  <si>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</si>
  <si>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</si>
  <si>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</si>
  <si>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</si>
  <si>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</si>
  <si>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</si>
  <si>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</si>
  <si>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</si>
  <si>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</si>
  <si>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</si>
  <si>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</si>
  <si>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</si>
  <si>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</si>
  <si>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</si>
  <si>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</si>
  <si>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</si>
  <si>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</si>
  <si>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</si>
  <si>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</si>
  <si>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</si>
  <si>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</si>
  <si>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</si>
  <si>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</si>
  <si>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</si>
  <si>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</si>
  <si>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</si>
  <si>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</si>
  <si>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</si>
  <si>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</si>
  <si>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</si>
  <si>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</si>
  <si>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</si>
  <si>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</si>
  <si>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</si>
  <si>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</si>
  <si>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</si>
  <si>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</si>
  <si>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</si>
  <si>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</si>
  <si>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</si>
  <si>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</si>
  <si>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</si>
  <si>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</si>
  <si>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</si>
  <si>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</si>
  <si>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</si>
  <si>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</si>
  <si>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</si>
  <si>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</si>
  <si>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</si>
  <si>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</si>
  <si>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</si>
  <si>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</si>
  <si>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</si>
  <si>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</si>
  <si>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</si>
  <si>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</si>
  <si>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</si>
  <si>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</si>
  <si>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</si>
  <si>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</si>
  <si>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</si>
  <si>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</si>
  <si>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</si>
  <si>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</si>
  <si>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</si>
  <si>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</si>
  <si>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</si>
  <si>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</si>
  <si>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</si>
  <si>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</si>
  <si>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</si>
  <si>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</si>
  <si>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</si>
  <si>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</si>
  <si>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</si>
  <si>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</si>
  <si>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</si>
  <si>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</si>
  <si>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</si>
  <si>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</si>
  <si>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</si>
  <si>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</si>
  <si>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</si>
  <si>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</si>
  <si>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</si>
  <si>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</si>
  <si>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</si>
  <si>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</si>
  <si>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</si>
  <si>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</si>
  <si>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</si>
  <si>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</si>
  <si>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</si>
  <si>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</si>
  <si>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</si>
  <si>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</si>
  <si>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</si>
  <si>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</si>
  <si>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</si>
  <si>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</si>
  <si>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</si>
  <si>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</si>
  <si>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</si>
  <si>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</si>
  <si>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</si>
  <si>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</si>
  <si>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</si>
  <si>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</si>
  <si>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</si>
  <si>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</si>
  <si>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</si>
  <si>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</si>
  <si>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</si>
  <si>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</si>
  <si>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</si>
  <si>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</si>
  <si>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</si>
  <si>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</si>
  <si>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</si>
  <si>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</si>
  <si>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</si>
  <si>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</si>
  <si>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</si>
  <si>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</si>
  <si>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</si>
  <si>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</si>
  <si>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</si>
  <si>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</si>
  <si>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</si>
  <si>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</si>
  <si>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</si>
  <si>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</si>
  <si>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</si>
  <si>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</si>
  <si>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</si>
  <si>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</si>
  <si>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</si>
  <si>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</si>
  <si>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</si>
  <si>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</si>
  <si>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</si>
  <si>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</si>
  <si>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</si>
  <si>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</si>
  <si>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</si>
  <si>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</si>
  <si>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</si>
  <si>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</si>
  <si>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</si>
  <si>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</si>
  <si>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</si>
  <si>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</si>
  <si>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</si>
  <si>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</si>
  <si>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</si>
  <si>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</si>
  <si>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</si>
  <si>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</si>
  <si>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</si>
  <si>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</si>
  <si>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</si>
  <si>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</si>
  <si>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</si>
  <si>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</si>
  <si>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</si>
  <si>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</si>
  <si>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</si>
  <si>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</si>
  <si>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</si>
  <si>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</si>
  <si>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</si>
  <si>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</si>
  <si>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</si>
  <si>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</si>
  <si>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</si>
  <si>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</si>
  <si>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</si>
  <si>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</si>
  <si>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</si>
  <si>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</si>
  <si>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</si>
  <si>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</si>
  <si>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</si>
  <si>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</si>
  <si>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</si>
  <si>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</si>
  <si>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</si>
  <si>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</si>
  <si>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</si>
  <si>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</si>
  <si>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</si>
  <si>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</si>
  <si>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</si>
  <si>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</si>
  <si>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</si>
  <si>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</si>
  <si>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</si>
  <si>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</si>
  <si>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</si>
  <si>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</si>
  <si>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</si>
  <si>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</si>
  <si>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</si>
  <si>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</si>
  <si>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</si>
  <si>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</si>
  <si>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</si>
  <si>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</si>
  <si>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</si>
  <si>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</si>
  <si>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</si>
  <si>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</si>
  <si>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</si>
  <si>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</si>
  <si>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</si>
  <si>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</si>
  <si>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</si>
  <si>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</si>
  <si>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</si>
  <si>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</si>
  <si>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</si>
  <si>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</si>
  <si>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</si>
  <si>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</si>
  <si>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</si>
  <si>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</si>
  <si>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</si>
  <si>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</si>
  <si>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</si>
  <si>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</si>
  <si>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</si>
  <si>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</si>
  <si>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</si>
  <si>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</si>
  <si>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</si>
  <si>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</si>
  <si>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</si>
  <si>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</si>
  <si>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</si>
  <si>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</si>
  <si>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</si>
  <si>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</si>
  <si>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</si>
  <si>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</si>
  <si>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</si>
  <si>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</si>
  <si>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</si>
  <si>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5749r00</t>
  </si>
  <si>
    <t>1613.par</t>
  </si>
  <si>
    <t>1313.par</t>
  </si>
  <si>
    <t>pattern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</si>
</sst>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4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2" t="s">
        <v>77</v>
      </c>
      <c r="D1" s="1012"/>
      <c r="E1" s="1012"/>
      <c r="F1" s="1012"/>
      <c r="G1" s="1012"/>
      <c r="H1" s="1012"/>
      <c r="I1" s="1012"/>
      <c r="J1" s="1012"/>
      <c r="K1" s="1012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9" t="s">
        <v>80</v>
      </c>
      <c r="B6" s="99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8" t="s">
        <v>370</v>
      </c>
      <c r="AQ7" s="998"/>
      <c r="AR7" s="99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04">
        <v>9</v>
      </c>
      <c r="D9" s="974"/>
      <c r="E9" s="974"/>
      <c r="F9" s="974"/>
      <c r="G9" s="974"/>
      <c r="H9" s="974"/>
      <c r="I9" s="974"/>
      <c r="J9" s="974"/>
      <c r="K9" s="100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3"/>
      <c r="C10" s="994"/>
      <c r="D10" s="994"/>
      <c r="E10" s="994"/>
      <c r="F10" s="994"/>
      <c r="G10" s="994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0"/>
      <c r="B11" s="1000" t="s">
        <v>33</v>
      </c>
      <c r="C11" s="1009" t="s">
        <v>34</v>
      </c>
      <c r="D11" s="1009"/>
      <c r="E11" s="1006" t="s">
        <v>39</v>
      </c>
      <c r="F11" s="1000" t="s">
        <v>35</v>
      </c>
      <c r="G11" s="1000" t="s">
        <v>36</v>
      </c>
      <c r="H11" s="1000" t="s">
        <v>43</v>
      </c>
      <c r="I11" s="1007" t="s">
        <v>67</v>
      </c>
      <c r="J11" s="1009" t="s">
        <v>56</v>
      </c>
      <c r="K11" s="100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73" t="s">
        <v>338</v>
      </c>
      <c r="AN11" s="974"/>
      <c r="AO11" s="974"/>
      <c r="AP11" s="974"/>
      <c r="AQ11" s="974"/>
      <c r="AR11" s="975"/>
      <c r="AS11" s="984" t="s">
        <v>345</v>
      </c>
      <c r="AT11" s="985"/>
      <c r="AU11" s="985"/>
      <c r="AV11" s="986"/>
      <c r="BC11" s="419"/>
    </row>
    <row r="12" spans="1:55" ht="15.75" thickBot="1" x14ac:dyDescent="0.3">
      <c r="A12" s="1011"/>
      <c r="B12" s="1001"/>
      <c r="C12" s="48" t="s">
        <v>8</v>
      </c>
      <c r="D12" s="49" t="s">
        <v>10</v>
      </c>
      <c r="E12" s="1001"/>
      <c r="F12" s="1001"/>
      <c r="G12" s="1001"/>
      <c r="H12" s="1001"/>
      <c r="I12" s="1008"/>
      <c r="J12" s="52" t="s">
        <v>8</v>
      </c>
      <c r="K12" s="53" t="s">
        <v>10</v>
      </c>
      <c r="M12" s="31"/>
      <c r="N12" s="31"/>
      <c r="O12" s="1021" t="s">
        <v>46</v>
      </c>
      <c r="P12" s="1022"/>
      <c r="Q12" s="1002" t="s">
        <v>45</v>
      </c>
      <c r="R12" s="1003"/>
      <c r="S12" s="1003"/>
      <c r="T12" s="1003"/>
      <c r="U12" s="1003"/>
      <c r="V12" s="1003"/>
      <c r="W12" s="1003"/>
      <c r="X12" s="1003"/>
      <c r="Y12" s="1003"/>
      <c r="Z12" s="1003"/>
      <c r="AA12" s="1003"/>
      <c r="AB12" s="1003"/>
      <c r="AC12" s="1003"/>
      <c r="AD12" s="1003"/>
      <c r="AE12" s="1004"/>
      <c r="AF12" s="1015" t="s">
        <v>56</v>
      </c>
      <c r="AG12" s="1016"/>
      <c r="AH12" s="31"/>
      <c r="AK12" s="979" t="s">
        <v>346</v>
      </c>
      <c r="AL12" s="995"/>
      <c r="AM12" s="976" t="s">
        <v>343</v>
      </c>
      <c r="AN12" s="977"/>
      <c r="AO12" s="978"/>
      <c r="AP12" s="979" t="s">
        <v>371</v>
      </c>
      <c r="AQ12" s="978"/>
      <c r="AR12" s="743" t="s">
        <v>369</v>
      </c>
      <c r="AS12" s="981" t="s">
        <v>343</v>
      </c>
      <c r="AT12" s="978"/>
      <c r="AU12" s="982" t="s">
        <v>344</v>
      </c>
      <c r="AV12" s="983"/>
      <c r="AW12" s="987" t="s">
        <v>342</v>
      </c>
      <c r="AX12" s="988"/>
      <c r="AZ12" s="979" t="s">
        <v>60</v>
      </c>
      <c r="BA12" s="978"/>
      <c r="BC12" s="980" t="s">
        <v>374</v>
      </c>
    </row>
    <row r="13" spans="1:55" ht="15.75" thickBot="1" x14ac:dyDescent="0.3">
      <c r="A13" s="63" t="s">
        <v>57</v>
      </c>
      <c r="B13" s="989" t="s">
        <v>97</v>
      </c>
      <c r="C13" s="991" t="str">
        <f>SUBSTITUTE(ADDRESS(1,COLUMN(Assy.Model!X9),4),"1","")</f>
        <v>X</v>
      </c>
      <c r="D13" s="97" t="str">
        <f>SUBSTITUTE(ADDRESS(1,COLUMN(Assy.Model!Y9),4),"1","")</f>
        <v>Y</v>
      </c>
      <c r="E13" s="996" t="str">
        <f>SUBSTITUTE(ADDRESS(1,COLUMN(Assy.Model!H9),4),"1","")</f>
        <v>H</v>
      </c>
      <c r="F13" s="996" t="str">
        <f>SUBSTITUTE(ADDRESS(1,COLUMN(Assy.Model!AN9),4),"1","")</f>
        <v>AN</v>
      </c>
      <c r="G13" s="996" t="str">
        <f>SUBSTITUTE(ADDRESS(1,COLUMN(Assy.Model!AO9),4),"1","")</f>
        <v>AO</v>
      </c>
      <c r="H13" s="996" t="str">
        <f>SUBSTITUTE(ADDRESS(1,COLUMN(Assy.Model!AO9),4),"1","")</f>
        <v>AO</v>
      </c>
      <c r="I13" s="99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23"/>
      <c r="P13" s="102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0"/>
    </row>
    <row r="14" spans="1:55" x14ac:dyDescent="0.25">
      <c r="A14" s="61" t="s">
        <v>58</v>
      </c>
      <c r="B14" s="990"/>
      <c r="C14" s="992"/>
      <c r="D14" s="98" t="str">
        <f>SUBSTITUTE(ADDRESS(1,COLUMN(Assy.Model!AT9),4),"1","")</f>
        <v>AT</v>
      </c>
      <c r="E14" s="997"/>
      <c r="F14" s="997"/>
      <c r="G14" s="997"/>
      <c r="H14" s="997"/>
      <c r="I14" s="997"/>
      <c r="J14" s="87">
        <v>0</v>
      </c>
      <c r="K14" s="88">
        <v>0</v>
      </c>
      <c r="L14" s="31"/>
      <c r="M14" s="185">
        <v>6.25E-2</v>
      </c>
      <c r="N14" s="31">
        <v>32</v>
      </c>
      <c r="O14" s="1019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19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19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19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19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19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0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04" t="s">
        <v>64</v>
      </c>
      <c r="C21" s="974"/>
      <c r="D21" s="974"/>
      <c r="E21" s="974"/>
      <c r="F21" s="1005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10"/>
      <c r="C22" s="1004" t="s">
        <v>63</v>
      </c>
      <c r="D22" s="1005"/>
      <c r="E22" s="1007" t="s">
        <v>60</v>
      </c>
      <c r="F22" s="100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25"/>
      <c r="C23" s="56" t="s">
        <v>8</v>
      </c>
      <c r="D23" s="56" t="s">
        <v>9</v>
      </c>
      <c r="E23" s="1008"/>
      <c r="F23" s="100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17">
        <v>0</v>
      </c>
      <c r="E24" s="1017">
        <v>2</v>
      </c>
      <c r="F24" s="1017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018"/>
      <c r="E25" s="1018"/>
      <c r="F25" s="1018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13" t="s">
        <v>302</v>
      </c>
      <c r="C27" s="1013"/>
      <c r="D27" s="1013"/>
      <c r="E27" s="1013"/>
      <c r="F27" s="1013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14" t="s">
        <v>419</v>
      </c>
      <c r="C28" s="1014"/>
      <c r="D28" s="1014"/>
      <c r="E28" s="1014"/>
      <c r="F28" s="101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74" t="s">
        <v>95</v>
      </c>
      <c r="D3" s="974"/>
      <c r="E3" s="974"/>
      <c r="F3" s="974"/>
      <c r="G3" s="974"/>
      <c r="H3" s="974"/>
      <c r="I3" s="974"/>
      <c r="J3" s="974"/>
      <c r="K3" s="975"/>
      <c r="L3" s="1031"/>
      <c r="M3" s="974"/>
      <c r="N3" s="974"/>
      <c r="O3" s="974"/>
      <c r="P3" s="974"/>
      <c r="Q3" s="974"/>
      <c r="R3" s="100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53" t="s">
        <v>86</v>
      </c>
      <c r="C4" s="1070" t="s">
        <v>82</v>
      </c>
      <c r="D4" s="974" t="s">
        <v>83</v>
      </c>
      <c r="E4" s="974"/>
      <c r="F4" s="974"/>
      <c r="G4" s="974"/>
      <c r="H4" s="974"/>
      <c r="I4" s="974"/>
      <c r="J4" s="974"/>
      <c r="K4" s="974"/>
      <c r="L4" s="146" t="s">
        <v>91</v>
      </c>
      <c r="M4" s="1004" t="s">
        <v>94</v>
      </c>
      <c r="N4" s="974"/>
      <c r="O4" s="974"/>
      <c r="P4" s="975"/>
      <c r="Q4" s="974" t="s">
        <v>52</v>
      </c>
      <c r="R4" s="1005"/>
      <c r="S4" s="103"/>
      <c r="T4" s="1004">
        <v>350</v>
      </c>
      <c r="U4" s="974"/>
      <c r="V4" s="974" t="s">
        <v>76</v>
      </c>
      <c r="W4" s="974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54"/>
      <c r="C5" s="1071"/>
      <c r="D5" s="1059" t="s">
        <v>85</v>
      </c>
      <c r="E5" s="1073" t="s">
        <v>89</v>
      </c>
      <c r="F5" s="1009" t="s">
        <v>34</v>
      </c>
      <c r="G5" s="1009"/>
      <c r="H5" s="1006" t="s">
        <v>39</v>
      </c>
      <c r="I5" s="1000" t="s">
        <v>35</v>
      </c>
      <c r="J5" s="1000" t="s">
        <v>36</v>
      </c>
      <c r="K5" s="1043" t="s">
        <v>67</v>
      </c>
      <c r="L5" s="147" t="s">
        <v>92</v>
      </c>
      <c r="M5" s="1007" t="s">
        <v>90</v>
      </c>
      <c r="N5" s="1007" t="s">
        <v>47</v>
      </c>
      <c r="O5" s="1026" t="s">
        <v>84</v>
      </c>
      <c r="P5" s="1027"/>
      <c r="Q5" s="1028" t="s">
        <v>84</v>
      </c>
      <c r="R5" s="1029"/>
      <c r="S5" s="103"/>
      <c r="T5" s="1021" t="s">
        <v>46</v>
      </c>
      <c r="U5" s="1032"/>
      <c r="V5" s="988" t="s">
        <v>45</v>
      </c>
      <c r="W5" s="1016"/>
      <c r="X5" s="1016"/>
      <c r="Y5" s="1016"/>
      <c r="Z5" s="1016"/>
      <c r="AA5" s="1016"/>
      <c r="AB5" s="1016"/>
      <c r="AC5" s="1016"/>
      <c r="AD5" s="1016"/>
      <c r="AE5" s="1016"/>
      <c r="AF5" s="1016"/>
      <c r="AG5" s="1016"/>
      <c r="AH5" s="1016"/>
      <c r="AI5" s="1016"/>
      <c r="AJ5" s="1016"/>
      <c r="AK5" s="31"/>
      <c r="AL5" s="31"/>
    </row>
    <row r="6" spans="2:38" ht="15" customHeight="1" thickBot="1" x14ac:dyDescent="0.3">
      <c r="B6" s="1055"/>
      <c r="C6" s="1072"/>
      <c r="D6" s="1060"/>
      <c r="E6" s="1074"/>
      <c r="F6" s="104" t="s">
        <v>8</v>
      </c>
      <c r="G6" s="105" t="s">
        <v>10</v>
      </c>
      <c r="H6" s="1044"/>
      <c r="I6" s="1044"/>
      <c r="J6" s="1044"/>
      <c r="K6" s="1033"/>
      <c r="L6" s="148" t="s">
        <v>93</v>
      </c>
      <c r="M6" s="1030"/>
      <c r="N6" s="103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33"/>
      <c r="U6" s="103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1">
        <f>ROW(Assy.Model!B9)</f>
        <v>9</v>
      </c>
      <c r="D7" s="1050" t="str">
        <f>SUBSTITUTE(ADDRESS(1,COLUMN(Assy.Model!B9),4),"1","")</f>
        <v>B</v>
      </c>
      <c r="E7" s="1064" t="str">
        <f>SUBSTITUTE(ADDRESS(1,COLUMN(Assy.Model!M9),4),"1","")</f>
        <v>M</v>
      </c>
      <c r="F7" s="1067" t="str">
        <f>SUBSTITUTE(ADDRESS(1,COLUMN(Assy.Model!X9),4),"1","")</f>
        <v>X</v>
      </c>
      <c r="G7" s="1056" t="str">
        <f>SUBSTITUTE(ADDRESS(1,COLUMN(Assy.Model!AT9),4),"1","")</f>
        <v>AT</v>
      </c>
      <c r="H7" s="1035" t="str">
        <f>SUBSTITUTE(ADDRESS(1,COLUMN(Assy.Model!H9),4),"1","")</f>
        <v>H</v>
      </c>
      <c r="I7" s="1035" t="str">
        <f>SUBSTITUTE(ADDRESS(1,COLUMN(Assy.Model!AN9),4),"1","")</f>
        <v>AN</v>
      </c>
      <c r="J7" s="1035" t="str">
        <f>SUBSTITUTE(ADDRESS(1,COLUMN(Assy.Model!AO9),4),"1","")</f>
        <v>AO</v>
      </c>
      <c r="K7" s="103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47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45" t="s">
        <v>81</v>
      </c>
      <c r="C8" s="1062"/>
      <c r="D8" s="1051"/>
      <c r="E8" s="1065"/>
      <c r="F8" s="1068"/>
      <c r="G8" s="1057"/>
      <c r="H8" s="1036"/>
      <c r="I8" s="1036"/>
      <c r="J8" s="1036"/>
      <c r="K8" s="1039"/>
      <c r="L8" s="149" t="s">
        <v>93</v>
      </c>
      <c r="M8" s="104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8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45"/>
      <c r="C9" s="1062"/>
      <c r="D9" s="1051"/>
      <c r="E9" s="1065"/>
      <c r="F9" s="1068"/>
      <c r="G9" s="1057"/>
      <c r="H9" s="1036"/>
      <c r="I9" s="1036"/>
      <c r="J9" s="1036"/>
      <c r="K9" s="1039"/>
      <c r="L9" s="149" t="s">
        <v>92</v>
      </c>
      <c r="M9" s="104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8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45"/>
      <c r="C10" s="1062"/>
      <c r="D10" s="1051"/>
      <c r="E10" s="1065"/>
      <c r="F10" s="1068"/>
      <c r="G10" s="1057"/>
      <c r="H10" s="1036"/>
      <c r="I10" s="1036"/>
      <c r="J10" s="1036"/>
      <c r="K10" s="1039"/>
      <c r="L10" s="149" t="s">
        <v>92</v>
      </c>
      <c r="M10" s="104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8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45"/>
      <c r="C11" s="1062"/>
      <c r="D11" s="1051"/>
      <c r="E11" s="1065"/>
      <c r="F11" s="1068"/>
      <c r="G11" s="1057"/>
      <c r="H11" s="1036"/>
      <c r="I11" s="1036"/>
      <c r="J11" s="1036"/>
      <c r="K11" s="1039"/>
      <c r="L11" s="149" t="s">
        <v>92</v>
      </c>
      <c r="M11" s="104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8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45"/>
      <c r="C12" s="1062"/>
      <c r="D12" s="1051"/>
      <c r="E12" s="1065"/>
      <c r="F12" s="1068"/>
      <c r="G12" s="1057"/>
      <c r="H12" s="1036"/>
      <c r="I12" s="1036"/>
      <c r="J12" s="1036"/>
      <c r="K12" s="1039"/>
      <c r="L12" s="149" t="s">
        <v>92</v>
      </c>
      <c r="M12" s="104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8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45"/>
      <c r="C13" s="1062"/>
      <c r="D13" s="1051"/>
      <c r="E13" s="1065"/>
      <c r="F13" s="1068"/>
      <c r="G13" s="1057"/>
      <c r="H13" s="1036"/>
      <c r="I13" s="1036"/>
      <c r="J13" s="1036"/>
      <c r="K13" s="1039"/>
      <c r="L13" s="149" t="s">
        <v>92</v>
      </c>
      <c r="M13" s="104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8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46"/>
      <c r="C14" s="1063"/>
      <c r="D14" s="1052"/>
      <c r="E14" s="1066"/>
      <c r="F14" s="1069"/>
      <c r="G14" s="1058"/>
      <c r="H14" s="1037"/>
      <c r="I14" s="1037"/>
      <c r="J14" s="1037"/>
      <c r="K14" s="1040"/>
      <c r="L14" s="150" t="s">
        <v>93</v>
      </c>
      <c r="M14" s="104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9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topLeftCell="T1" zoomScaleNormal="100" workbookViewId="0">
      <selection activeCell="AR1" sqref="AR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57" t="str">
        <f>CONCATENATE(Settings!$C$19," ",Settings!$B$28)</f>
        <v>9.875 5749r00</v>
      </c>
      <c r="D1" s="1257"/>
      <c r="E1" s="1257"/>
      <c r="F1" s="1257"/>
      <c r="G1" s="1257"/>
      <c r="H1" s="1257"/>
      <c r="I1" s="1257"/>
      <c r="J1" s="1257"/>
      <c r="K1" s="1257"/>
      <c r="L1" s="709"/>
      <c r="M1" s="141">
        <f>LARGE(M9:M150,1)</f>
        <v>6.242</v>
      </c>
      <c r="N1" s="419"/>
      <c r="O1" s="419"/>
      <c r="P1" s="935"/>
      <c r="Q1" s="970">
        <f>90-Q14</f>
        <v>1.5099997819830122</v>
      </c>
      <c r="R1" s="935"/>
      <c r="S1" s="166"/>
      <c r="T1" s="166"/>
      <c r="U1" s="82"/>
      <c r="V1" s="162">
        <f>Q1-W1</f>
        <v>8.999998700561207E-2</v>
      </c>
      <c r="W1" s="162">
        <f>360-W14</f>
        <v>1.4199997949774001</v>
      </c>
      <c r="X1" s="162">
        <f>V1+W1</f>
        <v>1.5099997819830122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#NUM!</v>
      </c>
      <c r="FJ1" s="219" t="e">
        <f>DEGREES(ACOS((2-SQRT((EW14-FD14)^2+(EX14-FE14)^2+(EY14-FF14)^2)^2)/2))</f>
        <v>#NUM!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65" t="s">
        <v>306</v>
      </c>
      <c r="C2" s="1266"/>
      <c r="D2" s="1266"/>
      <c r="E2" s="1266"/>
      <c r="F2" s="1266"/>
      <c r="G2" s="1266"/>
      <c r="H2" s="1266"/>
      <c r="I2" s="1266"/>
      <c r="J2" s="1266"/>
      <c r="K2" s="1267"/>
      <c r="L2" s="1141" t="str" cm="1">
        <f t="array" ref="L2">IF(OR($K$9:$K$150="Undefined"),"Undefined Element","")</f>
        <v/>
      </c>
      <c r="M2" s="1276" t="s">
        <v>0</v>
      </c>
      <c r="N2" s="1235" t="s">
        <v>1</v>
      </c>
      <c r="O2" s="1236"/>
      <c r="P2" s="1236"/>
      <c r="Q2" s="1236"/>
      <c r="R2" s="1236"/>
      <c r="S2" s="1236"/>
      <c r="T2" s="1236"/>
      <c r="U2" s="1236"/>
      <c r="V2" s="1236"/>
      <c r="W2" s="1236"/>
      <c r="X2" s="1236"/>
      <c r="Y2" s="1310"/>
      <c r="Z2" s="1235" t="s">
        <v>2</v>
      </c>
      <c r="AA2" s="1236"/>
      <c r="AB2" s="1236"/>
      <c r="AC2" s="1236"/>
      <c r="AD2" s="1236"/>
      <c r="AE2" s="1236"/>
      <c r="AF2" s="1236"/>
      <c r="AG2" s="1236"/>
      <c r="AH2" s="1236"/>
      <c r="AI2" s="1236"/>
      <c r="AJ2" s="1236"/>
      <c r="AK2" s="1236"/>
      <c r="AL2" s="1236"/>
      <c r="AM2" s="1236"/>
      <c r="AN2" s="1236"/>
      <c r="AO2" s="1236"/>
      <c r="AP2" s="1236"/>
      <c r="AQ2" s="1237"/>
      <c r="AS2" s="1316" t="s">
        <v>44</v>
      </c>
      <c r="AT2" s="1317"/>
      <c r="AV2" s="1308" t="s">
        <v>0</v>
      </c>
      <c r="AW2" s="1235" t="s">
        <v>109</v>
      </c>
      <c r="AX2" s="1236"/>
      <c r="AY2" s="1236"/>
      <c r="AZ2" s="1236"/>
      <c r="BA2" s="1236"/>
      <c r="BB2" s="1236"/>
      <c r="BC2" s="1236"/>
      <c r="BD2" s="1236"/>
      <c r="BE2" s="1237"/>
      <c r="BF2" s="1338" t="s">
        <v>115</v>
      </c>
      <c r="BG2" s="1236"/>
      <c r="BH2" s="1236"/>
      <c r="BI2" s="1236"/>
      <c r="BJ2" s="1236"/>
      <c r="BK2" s="1236"/>
      <c r="BL2" s="1236"/>
      <c r="BM2" s="1236"/>
      <c r="BN2" s="1236"/>
      <c r="BO2" s="1236"/>
      <c r="BP2" s="1236"/>
      <c r="BQ2" s="1236"/>
      <c r="BR2" s="1236"/>
      <c r="BS2" s="1236"/>
      <c r="BT2" s="1236"/>
      <c r="BU2" s="1236"/>
      <c r="BV2" s="1236"/>
      <c r="BW2" s="1236"/>
      <c r="BX2" s="1236"/>
      <c r="BY2" s="1236"/>
      <c r="BZ2" s="1236"/>
      <c r="CA2" s="1236"/>
      <c r="CB2" s="1236"/>
      <c r="CC2" s="1236"/>
      <c r="CD2" s="1236"/>
      <c r="CE2" s="1236"/>
      <c r="CF2" s="1236"/>
      <c r="CG2" s="1236"/>
      <c r="CH2" s="1236"/>
      <c r="CI2" s="1236"/>
      <c r="CJ2" s="1236"/>
      <c r="CK2" s="1236"/>
      <c r="CL2" s="1236"/>
      <c r="CM2" s="1236"/>
      <c r="CN2" s="1236"/>
      <c r="CO2" s="1236"/>
      <c r="CP2" s="1236"/>
      <c r="CQ2" s="1236"/>
      <c r="CR2" s="1236"/>
      <c r="CS2" s="1236"/>
      <c r="CT2" s="1236"/>
      <c r="CU2" s="1236"/>
      <c r="CV2" s="1236"/>
      <c r="CW2" s="1236"/>
      <c r="CX2" s="1236"/>
      <c r="CY2" s="1236"/>
      <c r="CZ2" s="1236"/>
      <c r="DA2" s="1236"/>
      <c r="DB2" s="1236"/>
      <c r="DC2" s="1236"/>
      <c r="DD2" s="1236"/>
      <c r="DE2" s="1236"/>
      <c r="DF2" s="1236"/>
      <c r="DG2" s="1236"/>
      <c r="DH2" s="1236"/>
      <c r="DI2" s="1236"/>
      <c r="DJ2" s="1236"/>
      <c r="DK2" s="1236"/>
      <c r="DL2" s="1236"/>
      <c r="DM2" s="1236"/>
      <c r="DN2" s="1236"/>
      <c r="DO2" s="1236"/>
      <c r="DP2" s="1236"/>
      <c r="DQ2" s="1236"/>
      <c r="DR2" s="1236"/>
      <c r="DS2" s="1236"/>
      <c r="DT2" s="1236"/>
      <c r="DU2" s="1236"/>
      <c r="DV2" s="1236"/>
      <c r="DW2" s="1236"/>
      <c r="DX2" s="1236"/>
      <c r="DY2" s="1236"/>
      <c r="DZ2" s="1236"/>
      <c r="EA2" s="1236"/>
      <c r="EB2" s="1236"/>
      <c r="EC2" s="1236"/>
      <c r="ED2" s="1236"/>
      <c r="EE2" s="1236"/>
      <c r="EF2" s="1236"/>
      <c r="EG2" s="1236"/>
      <c r="EH2" s="1236"/>
      <c r="EI2" s="1236"/>
      <c r="EJ2" s="1236"/>
      <c r="EK2" s="1236"/>
      <c r="EL2" s="1236"/>
      <c r="EM2" s="1236"/>
      <c r="EN2" s="1236"/>
      <c r="EO2" s="1236"/>
      <c r="EP2" s="1236"/>
      <c r="EQ2" s="1236"/>
      <c r="ER2" s="1310"/>
      <c r="ES2" s="1116" t="s">
        <v>196</v>
      </c>
      <c r="ET2" s="1117"/>
      <c r="EU2" s="1117"/>
      <c r="EV2" s="1117"/>
      <c r="EW2" s="1117"/>
      <c r="EX2" s="1117"/>
      <c r="EY2" s="1117"/>
      <c r="EZ2" s="1117"/>
      <c r="FA2" s="1117"/>
      <c r="FB2" s="1117"/>
      <c r="FC2" s="1117"/>
      <c r="FD2" s="1117"/>
      <c r="FE2" s="1117"/>
      <c r="FF2" s="1118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1.2251999999999996</v>
      </c>
      <c r="GM2" s="322">
        <f>SUM(GM9:GM150)</f>
        <v>19.134294990681433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47038.475185425203</v>
      </c>
      <c r="GV2" s="309"/>
      <c r="GW2" s="369">
        <v>29500</v>
      </c>
      <c r="GX2" s="309">
        <f>SUM(GX9:GX150)</f>
        <v>7485.5058445833329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82" t="str">
        <f>IFERROR(CONCATENATE("Sum of Lateral Forces = ",ROUND(HE3,0)," lbs @ ",ROUND(HF3,1),"° Relative to Blade 1"),"")</f>
        <v/>
      </c>
      <c r="HX2" s="1082"/>
      <c r="HY2" s="1082"/>
      <c r="HZ2" s="1082"/>
      <c r="IA2" s="1082"/>
      <c r="IB2" s="1082"/>
      <c r="IC2" s="1082"/>
      <c r="ID2" s="1082"/>
      <c r="IE2" s="1082"/>
      <c r="IF2" s="846"/>
      <c r="IN2" s="31"/>
      <c r="IO2" s="323"/>
      <c r="JC2" s="82"/>
      <c r="JD2" s="82"/>
      <c r="JE2" s="82"/>
    </row>
    <row r="3" spans="1:285" ht="15" customHeight="1" x14ac:dyDescent="0.25">
      <c r="B3" s="1268"/>
      <c r="C3" s="1269"/>
      <c r="D3" s="1269"/>
      <c r="E3" s="1269"/>
      <c r="F3" s="1269"/>
      <c r="G3" s="1269"/>
      <c r="H3" s="1269"/>
      <c r="I3" s="1269"/>
      <c r="J3" s="1269"/>
      <c r="K3" s="1270"/>
      <c r="L3" s="1141"/>
      <c r="M3" s="1268"/>
      <c r="N3" s="1311"/>
      <c r="O3" s="1312"/>
      <c r="P3" s="1312"/>
      <c r="Q3" s="1312"/>
      <c r="R3" s="1312"/>
      <c r="S3" s="1312"/>
      <c r="T3" s="1312"/>
      <c r="U3" s="1312"/>
      <c r="V3" s="1312"/>
      <c r="W3" s="1312"/>
      <c r="X3" s="1312"/>
      <c r="Y3" s="1313"/>
      <c r="Z3" s="1311"/>
      <c r="AA3" s="1312"/>
      <c r="AB3" s="1312"/>
      <c r="AC3" s="1312"/>
      <c r="AD3" s="1312"/>
      <c r="AE3" s="1312"/>
      <c r="AF3" s="1312"/>
      <c r="AG3" s="1312"/>
      <c r="AH3" s="1312"/>
      <c r="AI3" s="1312"/>
      <c r="AJ3" s="1312"/>
      <c r="AK3" s="1312"/>
      <c r="AL3" s="1312"/>
      <c r="AM3" s="1312"/>
      <c r="AN3" s="1312"/>
      <c r="AO3" s="1312"/>
      <c r="AP3" s="1312"/>
      <c r="AQ3" s="1332"/>
      <c r="AS3" s="415">
        <v>180</v>
      </c>
      <c r="AT3" s="412" t="s">
        <v>45</v>
      </c>
      <c r="AV3" s="1309"/>
      <c r="AW3" s="1119"/>
      <c r="AX3" s="1120"/>
      <c r="AY3" s="1120"/>
      <c r="AZ3" s="1120"/>
      <c r="BA3" s="1120"/>
      <c r="BB3" s="1120"/>
      <c r="BC3" s="1120"/>
      <c r="BD3" s="1120"/>
      <c r="BE3" s="1238"/>
      <c r="BF3" s="1339"/>
      <c r="BG3" s="1120"/>
      <c r="BH3" s="1120"/>
      <c r="BI3" s="1120"/>
      <c r="BJ3" s="1120"/>
      <c r="BK3" s="1120"/>
      <c r="BL3" s="1120"/>
      <c r="BM3" s="1120"/>
      <c r="BN3" s="1120"/>
      <c r="BO3" s="1120"/>
      <c r="BP3" s="1120"/>
      <c r="BQ3" s="1120"/>
      <c r="BR3" s="1120"/>
      <c r="BS3" s="1120"/>
      <c r="BT3" s="1120"/>
      <c r="BU3" s="1120"/>
      <c r="BV3" s="1120"/>
      <c r="BW3" s="1120"/>
      <c r="BX3" s="1120"/>
      <c r="BY3" s="1120"/>
      <c r="BZ3" s="1120"/>
      <c r="CA3" s="1120"/>
      <c r="CB3" s="1120"/>
      <c r="CC3" s="1120"/>
      <c r="CD3" s="1120"/>
      <c r="CE3" s="1120"/>
      <c r="CF3" s="1120"/>
      <c r="CG3" s="1120"/>
      <c r="CH3" s="1120"/>
      <c r="CI3" s="1120"/>
      <c r="CJ3" s="1120"/>
      <c r="CK3" s="1120"/>
      <c r="CL3" s="1120"/>
      <c r="CM3" s="1120"/>
      <c r="CN3" s="1120"/>
      <c r="CO3" s="1120"/>
      <c r="CP3" s="1120"/>
      <c r="CQ3" s="1120"/>
      <c r="CR3" s="1120"/>
      <c r="CS3" s="1120"/>
      <c r="CT3" s="1120"/>
      <c r="CU3" s="1120"/>
      <c r="CV3" s="1120"/>
      <c r="CW3" s="1120"/>
      <c r="CX3" s="1120"/>
      <c r="CY3" s="1120"/>
      <c r="CZ3" s="1120"/>
      <c r="DA3" s="1120"/>
      <c r="DB3" s="1120"/>
      <c r="DC3" s="1120"/>
      <c r="DD3" s="1120"/>
      <c r="DE3" s="1120"/>
      <c r="DF3" s="1120"/>
      <c r="DG3" s="1120"/>
      <c r="DH3" s="1120"/>
      <c r="DI3" s="1120"/>
      <c r="DJ3" s="1120"/>
      <c r="DK3" s="1120"/>
      <c r="DL3" s="1120"/>
      <c r="DM3" s="1120"/>
      <c r="DN3" s="1120"/>
      <c r="DO3" s="1120"/>
      <c r="DP3" s="1120"/>
      <c r="DQ3" s="1120"/>
      <c r="DR3" s="1120"/>
      <c r="DS3" s="1120"/>
      <c r="DT3" s="1120"/>
      <c r="DU3" s="1120"/>
      <c r="DV3" s="1120"/>
      <c r="DW3" s="1120"/>
      <c r="DX3" s="1120"/>
      <c r="DY3" s="1120"/>
      <c r="DZ3" s="1120"/>
      <c r="EA3" s="1120"/>
      <c r="EB3" s="1120"/>
      <c r="EC3" s="1120"/>
      <c r="ED3" s="1120"/>
      <c r="EE3" s="1120"/>
      <c r="EF3" s="1120"/>
      <c r="EG3" s="1120"/>
      <c r="EH3" s="1120"/>
      <c r="EI3" s="1120"/>
      <c r="EJ3" s="1120"/>
      <c r="EK3" s="1120"/>
      <c r="EL3" s="1120"/>
      <c r="EM3" s="1120"/>
      <c r="EN3" s="1120"/>
      <c r="EO3" s="1120"/>
      <c r="EP3" s="1120"/>
      <c r="EQ3" s="1120"/>
      <c r="ER3" s="1121"/>
      <c r="ES3" s="1119"/>
      <c r="ET3" s="1120"/>
      <c r="EU3" s="1120"/>
      <c r="EV3" s="1120"/>
      <c r="EW3" s="1120"/>
      <c r="EX3" s="1120"/>
      <c r="EY3" s="1120"/>
      <c r="EZ3" s="1120"/>
      <c r="FA3" s="1120"/>
      <c r="FB3" s="1120"/>
      <c r="FC3" s="1120"/>
      <c r="FD3" s="1120"/>
      <c r="FE3" s="1120"/>
      <c r="FF3" s="112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HX3" s="972">
        <f>($HX$6*$AS$3)/5252.113112</f>
        <v>256.54265688727992</v>
      </c>
      <c r="HZ3" s="972">
        <f>($HZ$6*$AS$3)/5252.113112</f>
        <v>1612.0988548459379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71"/>
      <c r="C4" s="1272"/>
      <c r="D4" s="1272"/>
      <c r="E4" s="1272"/>
      <c r="F4" s="1272"/>
      <c r="G4" s="1272"/>
      <c r="H4" s="1272"/>
      <c r="I4" s="1272"/>
      <c r="J4" s="1272"/>
      <c r="K4" s="1273"/>
      <c r="L4" s="1141"/>
      <c r="M4" s="1268"/>
      <c r="N4" s="1278" t="s">
        <v>3</v>
      </c>
      <c r="O4" s="1275"/>
      <c r="P4" s="1275"/>
      <c r="Q4" s="1274" t="s">
        <v>4</v>
      </c>
      <c r="R4" s="1275"/>
      <c r="S4" s="1293"/>
      <c r="T4" s="1287" t="str">
        <f>N4</f>
        <v>Cartesian Coordinates</v>
      </c>
      <c r="U4" s="1242"/>
      <c r="V4" s="1288"/>
      <c r="W4" s="1242" t="str">
        <f>$Q$4</f>
        <v>Polar XY; Cartesian Z</v>
      </c>
      <c r="X4" s="1242"/>
      <c r="Y4" s="1258"/>
      <c r="Z4" s="1278" t="s">
        <v>3</v>
      </c>
      <c r="AA4" s="1275"/>
      <c r="AB4" s="1275"/>
      <c r="AC4" s="1275"/>
      <c r="AD4" s="1275"/>
      <c r="AE4" s="1275"/>
      <c r="AF4" s="1275"/>
      <c r="AG4" s="1305" t="s">
        <v>31</v>
      </c>
      <c r="AH4" s="1275"/>
      <c r="AI4" s="1275"/>
      <c r="AJ4" s="1293"/>
      <c r="AK4" s="1333" t="s">
        <v>32</v>
      </c>
      <c r="AL4" s="1334"/>
      <c r="AM4" s="1334"/>
      <c r="AN4" s="1334"/>
      <c r="AO4" s="1334"/>
      <c r="AP4" s="1334"/>
      <c r="AQ4" s="1335"/>
      <c r="AS4" s="416">
        <v>150</v>
      </c>
      <c r="AT4" s="413" t="s">
        <v>46</v>
      </c>
      <c r="AV4" s="1309"/>
      <c r="AW4" s="1210" t="s">
        <v>112</v>
      </c>
      <c r="AX4" s="1157"/>
      <c r="AY4" s="1022"/>
      <c r="AZ4" s="1233"/>
      <c r="BA4" s="1234"/>
      <c r="BB4" s="1239" t="s">
        <v>113</v>
      </c>
      <c r="BC4" s="1242" t="str">
        <f>$Q$4</f>
        <v>Polar XY; Cartesian Z</v>
      </c>
      <c r="BD4" s="1242"/>
      <c r="BE4" s="1243"/>
      <c r="BF4" s="1254" t="s">
        <v>129</v>
      </c>
      <c r="BG4" s="1255"/>
      <c r="BH4" s="1255"/>
      <c r="BI4" s="1255"/>
      <c r="BJ4" s="1255"/>
      <c r="BK4" s="1255"/>
      <c r="BL4" s="1255"/>
      <c r="BM4" s="1255"/>
      <c r="BN4" s="1255"/>
      <c r="BO4" s="1255"/>
      <c r="BP4" s="1255"/>
      <c r="BQ4" s="1255"/>
      <c r="BR4" s="1255"/>
      <c r="BS4" s="1255"/>
      <c r="BT4" s="1255"/>
      <c r="BU4" s="1255"/>
      <c r="BV4" s="1255"/>
      <c r="BW4" s="1255"/>
      <c r="BX4" s="1255"/>
      <c r="BY4" s="1255"/>
      <c r="BZ4" s="1255"/>
      <c r="CA4" s="1255"/>
      <c r="CB4" s="1255"/>
      <c r="CC4" s="1255"/>
      <c r="CD4" s="1255"/>
      <c r="CE4" s="1255"/>
      <c r="CF4" s="1255"/>
      <c r="CG4" s="1255"/>
      <c r="CH4" s="1255"/>
      <c r="CI4" s="1255"/>
      <c r="CJ4" s="1255"/>
      <c r="CK4" s="1255"/>
      <c r="CL4" s="1255"/>
      <c r="CM4" s="1255"/>
      <c r="CN4" s="1256"/>
      <c r="CO4" s="1228" t="s">
        <v>192</v>
      </c>
      <c r="CP4" s="1229"/>
      <c r="CQ4" s="1229"/>
      <c r="CR4" s="1229"/>
      <c r="CS4" s="1229"/>
      <c r="CT4" s="1229"/>
      <c r="CU4" s="1229"/>
      <c r="CV4" s="1229"/>
      <c r="CW4" s="1229"/>
      <c r="CX4" s="1229"/>
      <c r="CY4" s="1229"/>
      <c r="CZ4" s="1229"/>
      <c r="DA4" s="1230"/>
      <c r="DB4" s="1113" t="s">
        <v>389</v>
      </c>
      <c r="DC4" s="1114"/>
      <c r="DD4" s="1114"/>
      <c r="DE4" s="1114"/>
      <c r="DF4" s="1114"/>
      <c r="DG4" s="1114"/>
      <c r="DH4" s="1114"/>
      <c r="DI4" s="1114"/>
      <c r="DJ4" s="1114"/>
      <c r="DK4" s="1114"/>
      <c r="DL4" s="1114"/>
      <c r="DM4" s="1114"/>
      <c r="DN4" s="1114"/>
      <c r="DO4" s="1114"/>
      <c r="DP4" s="1114"/>
      <c r="DQ4" s="1114"/>
      <c r="DR4" s="1114"/>
      <c r="DS4" s="1114"/>
      <c r="DT4" s="1114"/>
      <c r="DU4" s="1114"/>
      <c r="DV4" s="1114"/>
      <c r="DW4" s="1114"/>
      <c r="DX4" s="1114"/>
      <c r="DY4" s="1114"/>
      <c r="DZ4" s="1114"/>
      <c r="EA4" s="1114"/>
      <c r="EB4" s="1114"/>
      <c r="EC4" s="1114"/>
      <c r="ED4" s="1114"/>
      <c r="EE4" s="1114"/>
      <c r="EF4" s="1114"/>
      <c r="EG4" s="1114"/>
      <c r="EH4" s="1114"/>
      <c r="EI4" s="1114"/>
      <c r="EJ4" s="1114"/>
      <c r="EK4" s="1114"/>
      <c r="EL4" s="1114"/>
      <c r="EM4" s="1114"/>
      <c r="EN4" s="1114"/>
      <c r="EO4" s="1114"/>
      <c r="EP4" s="1114"/>
      <c r="EQ4" s="1114"/>
      <c r="ER4" s="1115"/>
      <c r="ES4" s="1204" t="s">
        <v>195</v>
      </c>
      <c r="ET4" s="1205"/>
      <c r="EU4" s="1205"/>
      <c r="EV4" s="1205"/>
      <c r="EW4" s="1205"/>
      <c r="EX4" s="1205"/>
      <c r="EY4" s="1206"/>
      <c r="EZ4" s="1214" t="s">
        <v>200</v>
      </c>
      <c r="FA4" s="1215"/>
      <c r="FB4" s="1215"/>
      <c r="FC4" s="1215"/>
      <c r="FD4" s="1215"/>
      <c r="FE4" s="1215"/>
      <c r="FF4" s="1216"/>
      <c r="FG4" s="325"/>
      <c r="FP4" s="1129" t="s">
        <v>228</v>
      </c>
      <c r="FZ4" s="112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2" t="s">
        <v>235</v>
      </c>
      <c r="GK4" s="1003"/>
      <c r="GL4" s="1003"/>
      <c r="GM4" s="1003"/>
      <c r="GN4" s="1147"/>
      <c r="GO4" s="1149" t="s">
        <v>228</v>
      </c>
      <c r="GP4" s="1153" t="s">
        <v>227</v>
      </c>
      <c r="GR4" s="1159" t="s">
        <v>257</v>
      </c>
      <c r="GS4" s="1031" t="s">
        <v>255</v>
      </c>
      <c r="GT4" s="974"/>
      <c r="GU4" s="974"/>
      <c r="GV4" s="974"/>
      <c r="GW4" s="974"/>
      <c r="GX4" s="974"/>
      <c r="GY4" s="974"/>
      <c r="GZ4" s="974"/>
      <c r="HA4" s="1183" t="str">
        <f>IFERROR(CONCATENATE("Lateral Forces = ",ROUND(HE3,0)," lbs @ ",ROUND(HF3,1),"° Relative to Blade 1"),"")</f>
        <v/>
      </c>
      <c r="HB4" s="1184"/>
      <c r="HC4" s="1184"/>
      <c r="HD4" s="1184"/>
      <c r="HE4" s="1184"/>
      <c r="HF4" s="1184"/>
      <c r="HG4" s="1184"/>
      <c r="HH4" s="1185"/>
      <c r="HI4" s="1188" t="s">
        <v>0</v>
      </c>
      <c r="HV4" s="847"/>
      <c r="HW4" s="1083" t="str">
        <f>CONCATENATE("Yeield Strength of Rock = ",IF(HW6&gt;1000,(ROUNDDOWN(HW6,-3)/1000),""), IF(HW6&gt;1000,",",""),RIGHT(HW6,3)," psi (Tangential Force)")</f>
        <v>Yeield Strength of Rock = 29,500 psi (Tangential Force)</v>
      </c>
      <c r="HX4" s="1083"/>
      <c r="HY4" s="1083"/>
      <c r="HZ4" s="1083"/>
      <c r="IA4" s="1083"/>
      <c r="IB4" s="1083"/>
      <c r="IC4" s="1083"/>
      <c r="ID4" s="1083"/>
      <c r="IE4" s="1083"/>
      <c r="IF4" s="844"/>
      <c r="IG4" s="999" t="s">
        <v>372</v>
      </c>
      <c r="IH4" s="999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259" t="str">
        <f>CONCATENATE(B7," ; ",E7," ; ",H7)</f>
        <v>Absolute-Point ; Incremental-Vector Point ; Pocket Info.</v>
      </c>
      <c r="C5" s="1260"/>
      <c r="D5" s="1260"/>
      <c r="E5" s="1260"/>
      <c r="F5" s="1260"/>
      <c r="G5" s="1260"/>
      <c r="H5" s="1260"/>
      <c r="I5" s="1260"/>
      <c r="J5" s="1260"/>
      <c r="K5" s="1261"/>
      <c r="L5" s="813" t="str" cm="1">
        <f t="array" ref="L5">IF(OR(IF(LEFT($K$9:$K$150,4)="&lt;&gt;CS",TRUE,FALSE)),"Wrong CS","")</f>
        <v/>
      </c>
      <c r="M5" s="1268"/>
      <c r="N5" s="1298" t="s">
        <v>5</v>
      </c>
      <c r="O5" s="1299"/>
      <c r="P5" s="1299"/>
      <c r="Q5" s="1351" t="s">
        <v>6</v>
      </c>
      <c r="R5" s="1299"/>
      <c r="S5" s="1337"/>
      <c r="T5" s="1304" t="str">
        <f>CONCATENATE("Relative to ",M8,"'s θ about Z Axis")</f>
        <v>Relative to 1.111's θ about Z Axis</v>
      </c>
      <c r="U5" s="1249"/>
      <c r="V5" s="1328"/>
      <c r="W5" s="1249" t="str">
        <f>CONCATENATE("Relative to ",M8,"'s θ about Z Axis")</f>
        <v>Relative to 1.111's θ about Z Axis</v>
      </c>
      <c r="X5" s="1249"/>
      <c r="Y5" s="1289"/>
      <c r="Z5" s="1279" t="str">
        <f>N5</f>
        <v>Relative to World_CS</v>
      </c>
      <c r="AA5" s="1249"/>
      <c r="AB5" s="1249"/>
      <c r="AC5" s="1249"/>
      <c r="AD5" s="1249"/>
      <c r="AE5" s="1249"/>
      <c r="AF5" s="1249"/>
      <c r="AG5" s="1304" t="str">
        <f>N5</f>
        <v>Relative to World_CS</v>
      </c>
      <c r="AH5" s="1249"/>
      <c r="AI5" s="1249"/>
      <c r="AJ5" s="1250"/>
      <c r="AK5" s="1336" t="s">
        <v>7</v>
      </c>
      <c r="AL5" s="1299"/>
      <c r="AM5" s="1299"/>
      <c r="AN5" s="1299"/>
      <c r="AO5" s="1299"/>
      <c r="AP5" s="1299"/>
      <c r="AQ5" s="1337"/>
      <c r="AS5" s="167">
        <f>(((AS4*12)/60)/AS3)</f>
        <v>0.16666666666666666</v>
      </c>
      <c r="AT5" s="413" t="s">
        <v>47</v>
      </c>
      <c r="AV5" s="1309"/>
      <c r="AW5" s="1087"/>
      <c r="AX5" s="1088"/>
      <c r="AY5" s="1253"/>
      <c r="AZ5" s="1165"/>
      <c r="BA5" s="1012"/>
      <c r="BB5" s="1240"/>
      <c r="BC5" s="1248" t="str">
        <f>$W$5</f>
        <v>Relative to 1.111's θ about Z Axis</v>
      </c>
      <c r="BD5" s="1249"/>
      <c r="BE5" s="1250"/>
      <c r="BF5" s="1031" t="s">
        <v>128</v>
      </c>
      <c r="BG5" s="974"/>
      <c r="BH5" s="974"/>
      <c r="BI5" s="974"/>
      <c r="BJ5" s="974"/>
      <c r="BK5" s="974"/>
      <c r="BL5" s="974"/>
      <c r="BM5" s="974"/>
      <c r="BN5" s="974"/>
      <c r="BO5" s="974"/>
      <c r="BP5" s="974"/>
      <c r="BQ5" s="974"/>
      <c r="BR5" s="975"/>
      <c r="BS5" s="1031" t="s">
        <v>130</v>
      </c>
      <c r="BT5" s="974"/>
      <c r="BU5" s="974"/>
      <c r="BV5" s="974"/>
      <c r="BW5" s="974"/>
      <c r="BX5" s="974"/>
      <c r="BY5" s="974"/>
      <c r="BZ5" s="974"/>
      <c r="CA5" s="974"/>
      <c r="CB5" s="974"/>
      <c r="CC5" s="974"/>
      <c r="CD5" s="974"/>
      <c r="CE5" s="975"/>
      <c r="CF5" s="1031" t="s">
        <v>138</v>
      </c>
      <c r="CG5" s="974"/>
      <c r="CH5" s="975"/>
      <c r="CI5" s="1031" t="s">
        <v>139</v>
      </c>
      <c r="CJ5" s="974"/>
      <c r="CK5" s="974"/>
      <c r="CL5" s="974"/>
      <c r="CM5" s="974"/>
      <c r="CN5" s="975"/>
      <c r="CO5" s="1171" t="s">
        <v>266</v>
      </c>
      <c r="CP5" s="1171" t="s">
        <v>149</v>
      </c>
      <c r="CQ5" s="1157"/>
      <c r="CR5" s="1157"/>
      <c r="CS5" s="1032"/>
      <c r="CT5" s="1157" t="s">
        <v>150</v>
      </c>
      <c r="CU5" s="1022"/>
      <c r="CV5" s="1031" t="s">
        <v>161</v>
      </c>
      <c r="CW5" s="974"/>
      <c r="CX5" s="974"/>
      <c r="CY5" s="974"/>
      <c r="CZ5" s="974"/>
      <c r="DA5" s="975"/>
      <c r="DB5" s="1031" t="s">
        <v>162</v>
      </c>
      <c r="DC5" s="974"/>
      <c r="DD5" s="974"/>
      <c r="DE5" s="974"/>
      <c r="DF5" s="974"/>
      <c r="DG5" s="974"/>
      <c r="DH5" s="975"/>
      <c r="DI5" s="1096" t="s">
        <v>172</v>
      </c>
      <c r="DJ5" s="1096"/>
      <c r="DK5" s="1367"/>
      <c r="DL5" s="1095" t="s">
        <v>173</v>
      </c>
      <c r="DM5" s="1096"/>
      <c r="DN5" s="1097"/>
      <c r="DO5" s="1369" t="s">
        <v>174</v>
      </c>
      <c r="DP5" s="1370"/>
      <c r="DQ5" s="1370"/>
      <c r="DR5" s="1170" t="s">
        <v>186</v>
      </c>
      <c r="DS5" s="1170"/>
      <c r="DT5" s="1170"/>
      <c r="DU5" s="1170"/>
      <c r="DV5" s="1170"/>
      <c r="DW5" s="1170"/>
      <c r="DX5" s="1171" t="s">
        <v>189</v>
      </c>
      <c r="DY5" s="1053" t="s">
        <v>149</v>
      </c>
      <c r="DZ5" s="1170"/>
      <c r="EA5" s="1170"/>
      <c r="EB5" s="1170"/>
      <c r="EC5" s="1170" t="s">
        <v>150</v>
      </c>
      <c r="ED5" s="1170"/>
      <c r="EE5" s="1159" t="s">
        <v>193</v>
      </c>
      <c r="EF5" s="1159"/>
      <c r="EG5" s="1167"/>
      <c r="EH5" s="1101" t="s">
        <v>194</v>
      </c>
      <c r="EI5" s="1102"/>
      <c r="EJ5" s="1103"/>
      <c r="EK5" s="1170" t="s">
        <v>187</v>
      </c>
      <c r="EL5" s="1171"/>
      <c r="EM5" s="1031" t="s">
        <v>188</v>
      </c>
      <c r="EN5" s="974"/>
      <c r="EO5" s="974"/>
      <c r="EP5" s="974"/>
      <c r="EQ5" s="974"/>
      <c r="ER5" s="1361"/>
      <c r="ES5" s="1210" t="s">
        <v>201</v>
      </c>
      <c r="ET5" s="1157"/>
      <c r="EU5" s="1032"/>
      <c r="EV5" s="1207" t="s">
        <v>221</v>
      </c>
      <c r="EW5" s="1208"/>
      <c r="EX5" s="1208"/>
      <c r="EY5" s="1209"/>
      <c r="EZ5" s="1131" t="s">
        <v>199</v>
      </c>
      <c r="FA5" s="1026" t="s">
        <v>201</v>
      </c>
      <c r="FB5" s="1124"/>
      <c r="FC5" s="1027"/>
      <c r="FD5" s="1226" t="s">
        <v>221</v>
      </c>
      <c r="FE5" s="1193"/>
      <c r="FF5" s="1194"/>
      <c r="FJ5" s="31" t="s">
        <v>390</v>
      </c>
      <c r="FP5" s="1130"/>
      <c r="FQ5" s="31"/>
      <c r="FR5" s="31"/>
      <c r="FS5" s="31"/>
      <c r="FT5" s="31"/>
      <c r="FZ5" s="1130"/>
      <c r="GJ5" s="1145" t="s">
        <v>262</v>
      </c>
      <c r="GK5" s="1107" t="s">
        <v>260</v>
      </c>
      <c r="GL5" s="1109" t="s">
        <v>110</v>
      </c>
      <c r="GM5" s="1109" t="s">
        <v>111</v>
      </c>
      <c r="GN5" s="1110"/>
      <c r="GO5" s="1150"/>
      <c r="GP5" s="1154"/>
      <c r="GQ5" s="31"/>
      <c r="GR5" s="1141"/>
      <c r="GS5" s="1165" t="s">
        <v>244</v>
      </c>
      <c r="GT5" s="1166"/>
      <c r="GU5" s="1161" t="s">
        <v>245</v>
      </c>
      <c r="GV5" s="1162"/>
      <c r="GW5" s="1163"/>
      <c r="GX5" s="1164"/>
      <c r="GY5" s="1148" t="s">
        <v>107</v>
      </c>
      <c r="GZ5" s="1014"/>
      <c r="HA5" s="1180" t="s">
        <v>244</v>
      </c>
      <c r="HB5" s="1181"/>
      <c r="HC5" s="1181"/>
      <c r="HD5" s="1182"/>
      <c r="HE5" s="1191" t="s">
        <v>245</v>
      </c>
      <c r="HF5" s="1181"/>
      <c r="HG5" s="1181"/>
      <c r="HH5" s="1192"/>
      <c r="HI5" s="1189"/>
      <c r="HM5" s="895"/>
      <c r="HS5" s="895"/>
      <c r="HT5" s="895"/>
      <c r="HU5" s="895"/>
      <c r="HV5" s="896"/>
      <c r="HW5" s="1085" t="s">
        <v>245</v>
      </c>
      <c r="HX5" s="1086"/>
      <c r="HY5" s="1084" t="s">
        <v>388</v>
      </c>
      <c r="HZ5" s="1085"/>
      <c r="IA5" s="1085"/>
      <c r="IB5" s="1086"/>
      <c r="IC5" s="1084" t="s">
        <v>254</v>
      </c>
      <c r="ID5" s="1085"/>
      <c r="IE5" s="1086"/>
      <c r="IF5" s="844"/>
    </row>
    <row r="6" spans="1:285" ht="15" customHeight="1" thickBot="1" x14ac:dyDescent="0.4">
      <c r="B6" s="1262"/>
      <c r="C6" s="1263"/>
      <c r="D6" s="1263"/>
      <c r="E6" s="1263"/>
      <c r="F6" s="1263"/>
      <c r="G6" s="1263"/>
      <c r="H6" s="1263"/>
      <c r="I6" s="1263"/>
      <c r="J6" s="1263"/>
      <c r="K6" s="1264"/>
      <c r="L6" s="1141" t="str" cm="1">
        <f t="array" ref="L6">IF(OR($K$9:$K$150="Inactive"),"Inactive Element","")</f>
        <v/>
      </c>
      <c r="M6" s="1268"/>
      <c r="N6" s="1294" t="s">
        <v>8</v>
      </c>
      <c r="O6" s="1296" t="s">
        <v>9</v>
      </c>
      <c r="P6" s="1349" t="s">
        <v>10</v>
      </c>
      <c r="Q6" s="1300" t="s">
        <v>11</v>
      </c>
      <c r="R6" s="1301"/>
      <c r="S6" s="1290" t="s">
        <v>10</v>
      </c>
      <c r="T6" s="1324" t="str">
        <f>N6</f>
        <v>X</v>
      </c>
      <c r="U6" s="1326" t="str">
        <f>O6</f>
        <v>Y</v>
      </c>
      <c r="V6" s="1285" t="str">
        <f>P6</f>
        <v>Z</v>
      </c>
      <c r="W6" s="1244" t="str">
        <f>$Q$6</f>
        <v>Projected XY</v>
      </c>
      <c r="X6" s="1245"/>
      <c r="Y6" s="1322" t="str">
        <f>$S$6</f>
        <v>Z</v>
      </c>
      <c r="Z6" s="1306" t="s">
        <v>12</v>
      </c>
      <c r="AA6" s="1269"/>
      <c r="AB6" s="1269"/>
      <c r="AC6" s="1307"/>
      <c r="AD6" s="1274" t="s">
        <v>13</v>
      </c>
      <c r="AE6" s="1275"/>
      <c r="AF6" s="1275"/>
      <c r="AG6" s="1305" t="s">
        <v>7</v>
      </c>
      <c r="AH6" s="1275"/>
      <c r="AI6" s="1274" t="s">
        <v>14</v>
      </c>
      <c r="AJ6" s="1293"/>
      <c r="AK6" s="1329" t="str">
        <f>AD6</f>
        <v>Unit Vector</v>
      </c>
      <c r="AL6" s="1330"/>
      <c r="AM6" s="1331"/>
      <c r="AN6" s="34" t="s">
        <v>15</v>
      </c>
      <c r="AO6" s="35" t="s">
        <v>16</v>
      </c>
      <c r="AP6" s="680" t="s">
        <v>17</v>
      </c>
      <c r="AQ6" s="1314" t="s">
        <v>108</v>
      </c>
      <c r="AS6" s="168">
        <f>(AS5/360)</f>
        <v>4.6296296296296293E-4</v>
      </c>
      <c r="AT6" s="414" t="s">
        <v>48</v>
      </c>
      <c r="AV6" s="1309"/>
      <c r="AW6" s="1302" t="s">
        <v>105</v>
      </c>
      <c r="AX6" s="1303"/>
      <c r="AY6" s="188" t="s">
        <v>110</v>
      </c>
      <c r="AZ6" s="1251" t="s">
        <v>111</v>
      </c>
      <c r="BA6" s="1252"/>
      <c r="BB6" s="1241"/>
      <c r="BC6" s="1244" t="str">
        <f>$Q$6</f>
        <v>Projected XY</v>
      </c>
      <c r="BD6" s="1245"/>
      <c r="BE6" s="1246" t="str">
        <f>$S$6</f>
        <v>Z</v>
      </c>
      <c r="BF6" s="981" t="s">
        <v>125</v>
      </c>
      <c r="BG6" s="977"/>
      <c r="BH6" s="1144"/>
      <c r="BI6" s="979" t="s">
        <v>126</v>
      </c>
      <c r="BJ6" s="977"/>
      <c r="BK6" s="978"/>
      <c r="BL6" s="982" t="s">
        <v>127</v>
      </c>
      <c r="BM6" s="977"/>
      <c r="BN6" s="983"/>
      <c r="BO6" s="981" t="s">
        <v>135</v>
      </c>
      <c r="BP6" s="977"/>
      <c r="BQ6" s="977"/>
      <c r="BR6" s="983"/>
      <c r="BS6" s="981" t="s">
        <v>125</v>
      </c>
      <c r="BT6" s="977"/>
      <c r="BU6" s="1144"/>
      <c r="BV6" s="979" t="s">
        <v>126</v>
      </c>
      <c r="BW6" s="977"/>
      <c r="BX6" s="978"/>
      <c r="BY6" s="982" t="s">
        <v>127</v>
      </c>
      <c r="BZ6" s="977"/>
      <c r="CA6" s="983"/>
      <c r="CB6" s="981" t="s">
        <v>135</v>
      </c>
      <c r="CC6" s="977"/>
      <c r="CD6" s="977"/>
      <c r="CE6" s="983"/>
      <c r="CF6" s="987" t="s">
        <v>136</v>
      </c>
      <c r="CG6" s="1232"/>
      <c r="CH6" s="1232"/>
      <c r="CI6" s="1364" t="s">
        <v>137</v>
      </c>
      <c r="CJ6" s="1232"/>
      <c r="CK6" s="988"/>
      <c r="CL6" s="1362" t="s">
        <v>140</v>
      </c>
      <c r="CM6" s="1232"/>
      <c r="CN6" s="1363"/>
      <c r="CO6" s="1173"/>
      <c r="CP6" s="1173"/>
      <c r="CQ6" s="1212"/>
      <c r="CR6" s="1212"/>
      <c r="CS6" s="1213"/>
      <c r="CT6" s="1212"/>
      <c r="CU6" s="1231"/>
      <c r="CV6" s="1292" t="s">
        <v>147</v>
      </c>
      <c r="CW6" s="977"/>
      <c r="CX6" s="978"/>
      <c r="CY6" s="1197" t="s">
        <v>148</v>
      </c>
      <c r="CZ6" s="1179"/>
      <c r="DA6" s="1198"/>
      <c r="DB6" s="1365" t="s">
        <v>175</v>
      </c>
      <c r="DC6" s="1202"/>
      <c r="DD6" s="1203"/>
      <c r="DE6" s="1366" t="s">
        <v>176</v>
      </c>
      <c r="DF6" s="1202"/>
      <c r="DG6" s="1203"/>
      <c r="DH6" s="242" t="s">
        <v>29</v>
      </c>
      <c r="DI6" s="1099"/>
      <c r="DJ6" s="1099"/>
      <c r="DK6" s="1368"/>
      <c r="DL6" s="1098"/>
      <c r="DM6" s="1099"/>
      <c r="DN6" s="1100"/>
      <c r="DO6" s="1371"/>
      <c r="DP6" s="1372"/>
      <c r="DQ6" s="1372"/>
      <c r="DR6" s="1172"/>
      <c r="DS6" s="1172"/>
      <c r="DT6" s="1172"/>
      <c r="DU6" s="1172"/>
      <c r="DV6" s="1172"/>
      <c r="DW6" s="1172"/>
      <c r="DX6" s="1173"/>
      <c r="DY6" s="1174"/>
      <c r="DZ6" s="1172"/>
      <c r="EA6" s="1172"/>
      <c r="EB6" s="1172"/>
      <c r="EC6" s="1172"/>
      <c r="ED6" s="1172"/>
      <c r="EE6" s="1168"/>
      <c r="EF6" s="1168"/>
      <c r="EG6" s="1169"/>
      <c r="EH6" s="1104"/>
      <c r="EI6" s="1105"/>
      <c r="EJ6" s="1106"/>
      <c r="EK6" s="1172"/>
      <c r="EL6" s="1173"/>
      <c r="EM6" s="1092" t="s">
        <v>198</v>
      </c>
      <c r="EN6" s="1093"/>
      <c r="EO6" s="1094"/>
      <c r="EP6" s="1199" t="s">
        <v>197</v>
      </c>
      <c r="EQ6" s="1093"/>
      <c r="ER6" s="1200"/>
      <c r="ES6" s="1211"/>
      <c r="ET6" s="1212"/>
      <c r="EU6" s="1213"/>
      <c r="EV6" s="263" t="s">
        <v>220</v>
      </c>
      <c r="EW6" s="1199" t="s">
        <v>201</v>
      </c>
      <c r="EX6" s="1093"/>
      <c r="EY6" s="1217"/>
      <c r="EZ6" s="1132"/>
      <c r="FA6" s="1223"/>
      <c r="FB6" s="1224"/>
      <c r="FC6" s="1225"/>
      <c r="FD6" s="1092" t="s">
        <v>201</v>
      </c>
      <c r="FE6" s="1093"/>
      <c r="FF6" s="1200"/>
      <c r="FG6" s="1220" t="s">
        <v>223</v>
      </c>
      <c r="FH6" s="1221"/>
      <c r="FI6" s="1222"/>
      <c r="FJ6" s="1218" t="s">
        <v>202</v>
      </c>
      <c r="FK6" s="1171" t="s">
        <v>213</v>
      </c>
      <c r="FL6" s="1157"/>
      <c r="FM6" s="1032"/>
      <c r="FN6" s="1125" t="s">
        <v>203</v>
      </c>
      <c r="FO6" s="1134" t="s">
        <v>226</v>
      </c>
      <c r="FP6" s="112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8" t="s">
        <v>217</v>
      </c>
      <c r="FV6" s="1124"/>
      <c r="FW6" s="1029"/>
      <c r="FX6" s="1125" t="s">
        <v>218</v>
      </c>
      <c r="FY6" s="1134" t="s">
        <v>226</v>
      </c>
      <c r="FZ6" s="1122" t="s">
        <v>224</v>
      </c>
      <c r="GA6" s="1127" t="s">
        <v>237</v>
      </c>
      <c r="GB6" s="318" t="s">
        <v>206</v>
      </c>
      <c r="GC6" s="319" t="s">
        <v>238</v>
      </c>
      <c r="GD6" s="320" t="s">
        <v>225</v>
      </c>
      <c r="GE6" s="1142"/>
      <c r="GF6" s="1167" t="s">
        <v>256</v>
      </c>
      <c r="GG6" s="318" t="s">
        <v>206</v>
      </c>
      <c r="GH6" s="319" t="s">
        <v>238</v>
      </c>
      <c r="GI6" s="320" t="s">
        <v>225</v>
      </c>
      <c r="GJ6" s="1146"/>
      <c r="GK6" s="1108"/>
      <c r="GL6" s="1111"/>
      <c r="GM6" s="1111"/>
      <c r="GN6" s="1112"/>
      <c r="GO6" s="1151" t="s">
        <v>236</v>
      </c>
      <c r="GP6" s="1155" t="s">
        <v>224</v>
      </c>
      <c r="GQ6" s="1157" t="s">
        <v>202</v>
      </c>
      <c r="GR6" s="1141"/>
      <c r="GS6" s="1186" t="s">
        <v>248</v>
      </c>
      <c r="GT6" s="1187"/>
      <c r="GU6" s="1178" t="s">
        <v>247</v>
      </c>
      <c r="GV6" s="1179"/>
      <c r="GW6" s="1179"/>
      <c r="GX6" s="340" t="s">
        <v>106</v>
      </c>
      <c r="GY6" s="979" t="s">
        <v>246</v>
      </c>
      <c r="GZ6" s="1144"/>
      <c r="HA6" s="1201" t="s">
        <v>248</v>
      </c>
      <c r="HB6" s="1202"/>
      <c r="HC6" s="1202"/>
      <c r="HD6" s="1203"/>
      <c r="HE6" s="979" t="s">
        <v>247</v>
      </c>
      <c r="HF6" s="977"/>
      <c r="HG6" s="977"/>
      <c r="HH6" s="983"/>
      <c r="HI6" s="1189"/>
      <c r="HM6" s="901" t="s">
        <v>392</v>
      </c>
      <c r="HN6" s="1195" t="s">
        <v>393</v>
      </c>
      <c r="HO6" s="1195"/>
      <c r="HP6" s="1195"/>
      <c r="HQ6" s="1195"/>
      <c r="HR6" s="1196"/>
      <c r="HS6" s="1087" t="s">
        <v>105</v>
      </c>
      <c r="HT6" s="1088"/>
      <c r="HU6" s="1088"/>
      <c r="HV6" s="1089"/>
      <c r="HW6" s="877">
        <f>AVERAGE(HW$9:HW$150)</f>
        <v>29500</v>
      </c>
      <c r="HX6" s="878">
        <f t="shared" ref="HX6:IE6" si="0">SUM(HX$9:HX$150)</f>
        <v>7485.5058445833329</v>
      </c>
      <c r="HY6" s="879" t="e">
        <f t="shared" si="0"/>
        <v>#NUM!</v>
      </c>
      <c r="HZ6" s="880">
        <f t="shared" si="0"/>
        <v>47038.475185425195</v>
      </c>
      <c r="IA6" s="881" t="e">
        <f t="shared" si="0"/>
        <v>#NUM!</v>
      </c>
      <c r="IB6" s="882" t="e">
        <f t="shared" si="0"/>
        <v>#NUM!</v>
      </c>
      <c r="IC6" s="889" t="e">
        <f t="shared" si="0"/>
        <v>#NUM!</v>
      </c>
      <c r="ID6" s="890">
        <f t="shared" si="0"/>
        <v>36143.4</v>
      </c>
      <c r="IE6" s="890" t="e">
        <f t="shared" si="0"/>
        <v>#NUM!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80" t="s">
        <v>40</v>
      </c>
      <c r="C7" s="1281"/>
      <c r="D7" s="1282"/>
      <c r="E7" s="1283" t="s">
        <v>41</v>
      </c>
      <c r="F7" s="1281"/>
      <c r="G7" s="1284"/>
      <c r="H7" s="1078" t="s">
        <v>98</v>
      </c>
      <c r="I7" s="1076"/>
      <c r="J7" s="1079"/>
      <c r="K7" s="169"/>
      <c r="L7" s="1141"/>
      <c r="M7" s="1277"/>
      <c r="N7" s="1295"/>
      <c r="O7" s="1297"/>
      <c r="P7" s="1350"/>
      <c r="Q7" s="36" t="s">
        <v>18</v>
      </c>
      <c r="R7" s="2" t="s">
        <v>19</v>
      </c>
      <c r="S7" s="1291"/>
      <c r="T7" s="1325"/>
      <c r="U7" s="1327"/>
      <c r="V7" s="1286"/>
      <c r="W7" s="37" t="str">
        <f>$Q$7</f>
        <v>&lt; θ°</v>
      </c>
      <c r="X7" s="27" t="str">
        <f>$R$7</f>
        <v>r</v>
      </c>
      <c r="Y7" s="132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15"/>
      <c r="AS7" s="1320" t="s">
        <v>54</v>
      </c>
      <c r="AT7" s="1318" t="s">
        <v>53</v>
      </c>
      <c r="AV7" s="1309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41"/>
      <c r="BC7" s="37" t="str">
        <f>$Q$7</f>
        <v>&lt; θ°</v>
      </c>
      <c r="BD7" s="27" t="str">
        <f>$R$7</f>
        <v>r</v>
      </c>
      <c r="BE7" s="1247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33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19"/>
      <c r="FK7" s="358" t="s">
        <v>210</v>
      </c>
      <c r="FL7" s="361" t="s">
        <v>211</v>
      </c>
      <c r="FM7" s="893" t="s">
        <v>212</v>
      </c>
      <c r="FN7" s="1126"/>
      <c r="FO7" s="1135"/>
      <c r="FP7" s="112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6"/>
      <c r="FY7" s="1135"/>
      <c r="FZ7" s="1123"/>
      <c r="GA7" s="1128"/>
      <c r="GB7" s="212" t="s">
        <v>231</v>
      </c>
      <c r="GC7" s="127" t="s">
        <v>232</v>
      </c>
      <c r="GD7" s="213" t="s">
        <v>233</v>
      </c>
      <c r="GE7" s="1143"/>
      <c r="GF7" s="1227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52"/>
      <c r="GP7" s="1156"/>
      <c r="GQ7" s="1158"/>
      <c r="GR7" s="1160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90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73" t="s">
        <v>394</v>
      </c>
      <c r="HP7" s="1374"/>
      <c r="HQ7" s="1193" t="s">
        <v>390</v>
      </c>
      <c r="HR7" s="1194"/>
      <c r="HS7" s="883" t="s">
        <v>29</v>
      </c>
      <c r="HT7" s="884" t="s">
        <v>110</v>
      </c>
      <c r="HU7" s="1090" t="s">
        <v>391</v>
      </c>
      <c r="HV7" s="1091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85" t="s">
        <v>33</v>
      </c>
      <c r="IJ7" s="1175" t="s">
        <v>376</v>
      </c>
      <c r="IK7" s="981" t="s">
        <v>324</v>
      </c>
      <c r="IL7" s="982"/>
      <c r="IM7" s="982"/>
      <c r="IN7" s="977"/>
      <c r="IO7" s="977"/>
      <c r="IP7" s="977"/>
      <c r="IQ7" s="978"/>
      <c r="IR7" s="979" t="s">
        <v>320</v>
      </c>
      <c r="IS7" s="977"/>
      <c r="IT7" s="977"/>
      <c r="IU7" s="977"/>
      <c r="IV7" s="977"/>
      <c r="IW7" s="979" t="s">
        <v>319</v>
      </c>
      <c r="IX7" s="977"/>
      <c r="IY7" s="977"/>
      <c r="IZ7" s="977"/>
      <c r="JA7" s="978"/>
      <c r="JC7" s="725"/>
      <c r="JD7" s="1352" t="s">
        <v>355</v>
      </c>
      <c r="JE7" s="1352"/>
      <c r="JF7" s="1352"/>
      <c r="JG7" s="1353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41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89.910000012994388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-0.15630047140222181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21"/>
      <c r="AT8" s="1319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7"/>
      <c r="IJ8" s="117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-1.7074049960401645E-17</v>
      </c>
      <c r="C9" s="641">
        <f t="shared" ref="C9:C40" si="3">IFERROR(R164+($A9*-F9),"")</f>
        <v>0.34210103177671197</v>
      </c>
      <c r="D9" s="642">
        <f t="shared" ref="D9:D40" si="4">IFERROR(S164+($A9*-G9),"")</f>
        <v>-0.5782017438564595</v>
      </c>
      <c r="E9" s="643">
        <f t="shared" ref="E9:E40" si="5">T164</f>
        <v>-0.9271838753345083</v>
      </c>
      <c r="F9" s="641">
        <f t="shared" ref="F9:F40" si="6">U164</f>
        <v>-5.8601365609243353E-2</v>
      </c>
      <c r="G9" s="644">
        <f t="shared" ref="G9:G40" si="7">V164</f>
        <v>0.36999451518693494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-1.7074049960401645E-17</v>
      </c>
      <c r="O9" s="567">
        <f t="shared" ref="O9:O40" si="14">IF(M9="","",C9)</f>
        <v>0.34210103177671197</v>
      </c>
      <c r="P9" s="568">
        <f t="shared" ref="P9:P40" si="15">IF(M9="","",D9)</f>
        <v>-0.5782017438564595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0.34210103177671197</v>
      </c>
      <c r="S9" s="569">
        <f>IF(M9="","",P9)</f>
        <v>-0.5782017438564595</v>
      </c>
      <c r="T9" s="570">
        <f>IF(M9="","",X9*COS(RADIANS(W9)))</f>
        <v>0.34210060972668954</v>
      </c>
      <c r="U9" s="567">
        <f>IF(M9="","",X9*SIN(RADIANS(W9)))</f>
        <v>5.3737074553598864E-4</v>
      </c>
      <c r="V9" s="571">
        <f>IF(M9="","",Y9)</f>
        <v>-0.5782017438564595</v>
      </c>
      <c r="W9" s="526">
        <f t="shared" ref="W9:W13" si="16">IF(M9="","",IF(Q9-$Q$8&lt;0,360+Q9-$Q$8,Q9-$Q$8))</f>
        <v>8.999998700561207E-2</v>
      </c>
      <c r="X9" s="572">
        <f>IF(M9="","",R9)</f>
        <v>0.34210103177671197</v>
      </c>
      <c r="Y9" s="573">
        <f t="shared" ref="Y9:Y15" si="17">IF(M9="","",S9)</f>
        <v>-0.5782017438564595</v>
      </c>
      <c r="Z9" s="566">
        <f t="shared" ref="Z9:Z40" si="18">IF(M9="","",-E9)</f>
        <v>0.9271838753345083</v>
      </c>
      <c r="AA9" s="567">
        <f t="shared" ref="AA9:AA40" si="19">IF(M9="","",-F9)</f>
        <v>5.8601365609243353E-2</v>
      </c>
      <c r="AB9" s="567">
        <f t="shared" ref="AB9:AB40" si="20">IF(M9="","",-G9)</f>
        <v>-0.36999451518693494</v>
      </c>
      <c r="AC9" s="571">
        <f>IF(M9="","",SQRT(Z9^2+AA9^2+AB9^2))</f>
        <v>1</v>
      </c>
      <c r="AD9" s="574">
        <f>IF(M9="","",Z9*(1/SQRT(Z9^2+AA9^2+AB9^2)))</f>
        <v>0.9271838753345083</v>
      </c>
      <c r="AE9" s="567">
        <f>IF(M9="","",AA9*(1/SQRT(Z9^2+AA9^2+AB9^2)))</f>
        <v>5.8601365609243353E-2</v>
      </c>
      <c r="AF9" s="568">
        <f>IF(M9="","",AB9*(1/SQRT(Z9^2+AA9^2+AB9^2)))</f>
        <v>-0.36999451518693494</v>
      </c>
      <c r="AG9" s="542">
        <f>IF(M9="","",DEGREES(ATAN2(-AF9,AE9)))</f>
        <v>8.9999987005609601</v>
      </c>
      <c r="AH9" s="543">
        <f>IF(M9="","",DEGREES(ACOS(AD9)))</f>
        <v>21.999996823593442</v>
      </c>
      <c r="AI9" s="526">
        <f>IF(M9="","",DEGREES(-ACOS(-AF9)))</f>
        <v>-68.284720978877004</v>
      </c>
      <c r="AJ9" s="544">
        <f>IF(M9="","",DEGREES(ATAN2(-AE9,AD9)))</f>
        <v>93.616489478973648</v>
      </c>
      <c r="AK9" s="570">
        <f>IF(M9="","",(COS(RADIANS((90-$Q$8)-W9))*AD9)+(-SIN(RADIANS((90-$Q$8)-W9))*AE9))</f>
        <v>0.9271838753345083</v>
      </c>
      <c r="AL9" s="567">
        <f>IF(M9="","",(SIN(RADIANS((90-$Q$8)-W9))*AD9)+(COS(RADIANS((90-$Q$8)-W9))*AE9))</f>
        <v>5.8601365609243353E-2</v>
      </c>
      <c r="AM9" s="569">
        <f>IF(M9="","",AF9)</f>
        <v>-0.36999451518693494</v>
      </c>
      <c r="AN9" s="524">
        <f>IF(M9="","",DEGREES(ATAN2(-AM9,AL9)))</f>
        <v>8.9999987005609601</v>
      </c>
      <c r="AO9" s="525">
        <f>IF(ROUND(IF(M9="",0,DEGREES(ACOS(AK9))),4)=90,0,IF(M9="","",DEGREES(ACOS(AK9))))</f>
        <v>21.999996823593442</v>
      </c>
      <c r="AP9" s="722">
        <f>IF(M9="","",DEGREES(ATAN2(AK9,AL9)))</f>
        <v>3.6164894789736506</v>
      </c>
      <c r="AQ9" s="527">
        <f t="shared" ref="AQ9:AQ40" si="21">IF(M9="","",DEGREES(ATAN(($AS$5*SIN(RADIANS(90)))/(($X9*2*PI())-($AS$5*COS(RADIANS(90)))))))</f>
        <v>4.4337279596458927</v>
      </c>
      <c r="AS9" s="931">
        <f>IF(M9="","",W9)</f>
        <v>8.999998700561207E-2</v>
      </c>
      <c r="AT9" s="927">
        <f t="shared" ref="AT9:AT40" si="22">IF(M9="","",Y9+(((AS9-$AS$9)*$AS$6)*-1))</f>
        <v>-0.5782017438564595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9.8263420811981084E-2</v>
      </c>
      <c r="BA9" s="296">
        <f t="shared" ref="BA9:BA40" si="24">IF(ISNUMBER(AV9),AZ9/$AZ$151,"")</f>
        <v>5.1354607452135667E-3</v>
      </c>
      <c r="BB9" s="290">
        <f>IF(ISNUMBER($AV9),$AX9-($AT9+$AS$5),"")</f>
        <v>0.20653507718979289</v>
      </c>
      <c r="BC9" s="180"/>
      <c r="BD9" s="191">
        <f>IF(ISNUMBER(AV9),AW9,"")</f>
        <v>0.2011</v>
      </c>
      <c r="BE9" s="181">
        <f t="shared" ref="BE9:BE40" si="25">IF(ISNUMBER(AV9),Y9+BB9,"")</f>
        <v>-0.37166666666666659</v>
      </c>
      <c r="BF9" s="4">
        <f t="shared" ref="BF9:BF40" si="26">IF(ISNUMBER($AV9),N9,"")</f>
        <v>-1.7074049960401645E-17</v>
      </c>
      <c r="BG9" s="5">
        <f t="shared" ref="BG9:BG40" si="27">IF(ISNUMBER($AV9),O9,"")</f>
        <v>0.34210103177671197</v>
      </c>
      <c r="BH9" s="10">
        <f t="shared" ref="BH9:BH40" si="28">IF(ISNUMBER($AV9),P9,"")</f>
        <v>-0.5782017438564595</v>
      </c>
      <c r="BI9" s="9">
        <f>IF(ISNUMBER($AV9),BF9+0,"")</f>
        <v>-1.7074049960401645E-17</v>
      </c>
      <c r="BJ9" s="5">
        <f t="shared" ref="BJ9:BJ40" si="29">IF(ISNUMBER($AV9),BG9+COS(RADIANS($AG9)),"")</f>
        <v>1.3297893759197033</v>
      </c>
      <c r="BK9" s="8">
        <f t="shared" ref="BK9:BK40" si="30">IF(ISNUMBER($AV9),BH9+SIN(RADIANS($AG9)),"")</f>
        <v>-0.42176730121649619</v>
      </c>
      <c r="BL9" s="173">
        <f t="shared" ref="BL9:BL40" si="31">IF(ISNUMBER($AV9),BF9+SIN(RADIANS($AH9)),"")</f>
        <v>0.3746065420139949</v>
      </c>
      <c r="BM9" s="5">
        <f t="shared" ref="BM9:BM40" si="32">IF(ISNUMBER($AV9),BG9-SIN(RADIANS($AG9))*COS(RADIANS($AH9)),"")</f>
        <v>0.19705753901399695</v>
      </c>
      <c r="BN9" s="6">
        <f t="shared" ref="BN9:BN40" si="33">IF(ISNUMBER($AV9),BH9+COS(RADIANS($AG9))*COS(RADIANS($AH9)),"")</f>
        <v>0.33756696268876274</v>
      </c>
      <c r="BO9" s="4">
        <f>IF(ISNUMBER($AV9),BJ9*BN9-BM9*BK9-BG9*(BN9-BK9)+BH9*(BM9-BJ9),"")</f>
        <v>0.9271838753345083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5.8601365609243311E-2</v>
      </c>
      <c r="BQ9" s="5">
        <f>IF(ISNUMBER($AV9),BF9*(BJ9-BM9)-BG9*(BI9-BL9)+(BI9*BM9-BL9*BJ9),"")</f>
        <v>-0.36999451518693455</v>
      </c>
      <c r="BR9" s="6">
        <f>IF(ISNUMBER($AV9),-(BF9*(BJ9*BN9-BM9*BK9)-BG9*(BI9*BN9-BL9*BK9)+BH9*(BI9*BM9-BL9*BJ9)),"")</f>
        <v>-0.2339790615368573</v>
      </c>
      <c r="BS9" s="4">
        <f>IF(ISNUMBER($AV9),0,"")</f>
        <v>0</v>
      </c>
      <c r="BT9" s="5">
        <f>IF(ISNUMBER($AV9),0,"")</f>
        <v>0</v>
      </c>
      <c r="BU9" s="10">
        <f>IF(ISNUMBER($AV9),$BE9,"")</f>
        <v>-0.37166666666666659</v>
      </c>
      <c r="BV9" s="9">
        <f>IF(ISNUMBER($AV9),0,"")</f>
        <v>0</v>
      </c>
      <c r="BW9" s="5">
        <f>IF(ISNUMBER($AV9),1,"")</f>
        <v>1</v>
      </c>
      <c r="BX9" s="8">
        <f>IF(ISNUMBER($AV9),$BE9,"")</f>
        <v>-0.37166666666666659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-0.37166666666666659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-0.37166666666666659</v>
      </c>
      <c r="CF9" s="4">
        <f>IF(ISNUMBER($AV9),(BP9*CD9)-(BQ9*CC9),"")</f>
        <v>-5.8601365609243311E-2</v>
      </c>
      <c r="CG9" s="5">
        <f>IF(ISNUMBER($AV9),(BQ9*CB9)-(BO9*CD9),"")</f>
        <v>0.9271838753345083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1.64611237962626</v>
      </c>
      <c r="CK9" s="8">
        <f>IF(ISNUMBER($AV9),(CC9*BR9-BP9*CE9)/(-CC9*BQ9+BP9*CD9),"")</f>
        <v>-0.37166666666666659</v>
      </c>
      <c r="CL9" s="173">
        <f>IF(ISNUMBER($AV9),CI9+CF9,"")</f>
        <v>-5.8601365609243311E-2</v>
      </c>
      <c r="CM9" s="5">
        <f>IF(ISNUMBER($AV9),CJ9+CG9,"")</f>
        <v>2.5732962549607681</v>
      </c>
      <c r="CN9" s="181">
        <f>IF(ISNUMBER($AV9),CK9+CH9,"")</f>
        <v>-0.37166666666666659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0.8631040587315848</v>
      </c>
      <c r="CQ9" s="20">
        <f>IF(ISNUMBER($AV9),2*((CL9-CI9)*(CI9-BF9)+(CM9-CJ9)*(CJ9-BG9)+(CN9-CK9)*(CK9-BH9)),"")</f>
        <v>2.4181165899586383</v>
      </c>
      <c r="CR9" s="20">
        <f>IF(ISNUMBER($AV9),BF9^2+BG9^2+BH9^2+CI9^2+CJ9^2+CK9^2-2*(BF9*CI9+BG9*CJ9+BH9*CK9)-CO9^2,"")</f>
        <v>1.6454460834301892</v>
      </c>
      <c r="CS9" s="25">
        <f>IF(ISNUMBER($AV9),CQ9^2-(4*CP9*CR9),"")</f>
        <v>0.16652307050284865</v>
      </c>
      <c r="CT9" s="24">
        <f>IF(ISNUMBER($AV9),(-CQ9+SQRT(CS9))/(CP9*2),"")</f>
        <v>-1.1644275019464885</v>
      </c>
      <c r="CU9" s="22">
        <f>IF(ISNUMBER($AV9),(-CQ9-SQRT(CS9))/(CP9*2),"")</f>
        <v>-1.6372237769413613</v>
      </c>
      <c r="CV9" s="23">
        <f t="shared" ref="CV9:CX10" si="36">IF(ISNUMBER($AV9),CI9+($CT9*(CL9-CI9)),"")</f>
        <v>6.8237041767024054E-2</v>
      </c>
      <c r="CW9" s="20">
        <f t="shared" si="36"/>
        <v>0.56647397582543446</v>
      </c>
      <c r="CX9" s="25">
        <f t="shared" si="36"/>
        <v>-0.37166666666666659</v>
      </c>
      <c r="CY9" s="24">
        <f t="shared" ref="CY9:DA10" si="37">IF(ISNUMBER($AV9),CI9+($CU9*(CL9-CI9)),"")</f>
        <v>9.5943549136686929E-2</v>
      </c>
      <c r="CZ9" s="20">
        <f t="shared" si="37"/>
        <v>0.12810489333196839</v>
      </c>
      <c r="DA9" s="22">
        <f t="shared" si="37"/>
        <v>-0.37166666666666659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6.8237041767024054E-2</v>
      </c>
      <c r="DM9" s="173">
        <f t="shared" si="39"/>
        <v>0.56647397582543446</v>
      </c>
      <c r="DN9" s="178">
        <f t="shared" si="39"/>
        <v>9.6283333333333339</v>
      </c>
      <c r="DO9" s="9">
        <f t="shared" ref="DO9:DQ10" si="40">IF(ISNUMBER($AV9),CY9-CV9,"")</f>
        <v>2.7706507369662875E-2</v>
      </c>
      <c r="DP9" s="173">
        <f t="shared" si="40"/>
        <v>-0.43836908249346607</v>
      </c>
      <c r="DQ9" s="11">
        <f t="shared" si="40"/>
        <v>0</v>
      </c>
      <c r="DR9" s="173">
        <f>IF(ISNUMBER($AV9),SUMPRODUCT(DI9:DK9,DL9:DN9),"")</f>
        <v>192.56666666666666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0.19293510303678846</v>
      </c>
      <c r="DV9" s="5">
        <f>IF(ISNUMBER($AV9),SUMPRODUCT(DL9:DN9,DO9:DQ9),"")</f>
        <v>-0.24643406693841954</v>
      </c>
      <c r="DW9" s="5">
        <f>IF(ISNUMBER($AV9),SUMPRODUCT(DL9:DN9,DL9:DN9),"")</f>
        <v>93.030351836934372</v>
      </c>
      <c r="DX9" s="167">
        <f>IF(ISNUMBER($AV9),DW9-DH9*DH9,"")</f>
        <v>92.989910626934375</v>
      </c>
      <c r="DY9" s="9">
        <f>IF(ISNUMBER($AV9),DT9*DU9-DS9*DS9,"")</f>
        <v>77.174041214715388</v>
      </c>
      <c r="DZ9" s="5">
        <f>IF(ISNUMBER($AV9),DT9*DV9-DS9*DR9,"")</f>
        <v>-98.573626775367813</v>
      </c>
      <c r="EA9" s="10">
        <f>IF(ISNUMBER($AV9),DT9*DX9-DR9*DR9,"")</f>
        <v>114.04313966264453</v>
      </c>
      <c r="EB9" s="6">
        <f>IF(ISNUMBER($AV9),DZ9*DZ9-DY9*EA9,"")</f>
        <v>915.58993506903789</v>
      </c>
      <c r="EC9" s="173">
        <f>IF(ISNUMBER($AV9),(-DZ9+SQRT(DZ9^2-DY9*EA9))/DY9,"")</f>
        <v>1.6693740722489443</v>
      </c>
      <c r="ED9" s="5">
        <f>IF(ISNUMBER($AV9),(-DZ9-SQRT(DZ9^2-DY9*EA9))/DY9,"")</f>
        <v>0.88520581559479361</v>
      </c>
      <c r="EE9" s="4">
        <f t="shared" ref="EE9:EG10" si="41">IF(ISNUMBER($AV9),CV9+DO9*$EC9,"")</f>
        <v>0.11448956680251356</v>
      </c>
      <c r="EF9" s="5">
        <f t="shared" si="41"/>
        <v>-0.16532800456471641</v>
      </c>
      <c r="EG9" s="10">
        <f t="shared" si="41"/>
        <v>-0.37166666666666659</v>
      </c>
      <c r="EH9" s="9">
        <f t="shared" ref="EH9:EJ10" si="42">IF(ISNUMBER($AV9),CV9+DO9*$ED9,"")</f>
        <v>9.2763003220469639E-2</v>
      </c>
      <c r="EI9" s="5">
        <f t="shared" si="42"/>
        <v>0.17842711462526445</v>
      </c>
      <c r="EJ9" s="6">
        <f t="shared" si="42"/>
        <v>-0.37166666666666659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9.2763003220469639E-2</v>
      </c>
      <c r="EN9" s="5">
        <f t="shared" si="43"/>
        <v>0.17842711462526445</v>
      </c>
      <c r="EO9" s="10">
        <f t="shared" si="43"/>
        <v>-0.37166666666666659</v>
      </c>
      <c r="EP9" s="9">
        <f>IF(ISNUMBER($AV9),IF(DEGREES(ATAN2(EM9,EN9))&lt;0,DEGREES(ATAN2(EM9,EN9))+360,IF(DEGREES(ATAN2(EM9,EN9))&gt;360,DEGREES(ATAN2(EM9,EN9))-360,DEGREES(ATAN2(EM9,EN9)))),"")</f>
        <v>62.530395531277492</v>
      </c>
      <c r="EQ9" s="5">
        <f>IF(ISNUMBER($AV9),SQRT(EM9^2+EN9^2),"")</f>
        <v>0.2010999999999456</v>
      </c>
      <c r="ER9" s="7">
        <f>IF(ISNUMBER($AV9),EO9,"")</f>
        <v>-0.37166666666666659</v>
      </c>
      <c r="ES9" s="274">
        <f>IF(ISNUMBER($AV9),AD9,"")</f>
        <v>0.9271838753345083</v>
      </c>
      <c r="ET9" s="267">
        <f t="shared" ref="ET9:ET40" si="44">IF(ISNUMBER($AV9),AE9,"")</f>
        <v>5.8601365609243353E-2</v>
      </c>
      <c r="EU9" s="273">
        <f t="shared" ref="EU9:EU40" si="45">IF(ISNUMBER($AV9),AF9,"")</f>
        <v>-0.36999451518693494</v>
      </c>
      <c r="EV9" s="174">
        <f t="shared" ref="EV9:EV14" si="46">IF(ISNUMBER($AV9),IF(($EV$1-EP9)&lt;0,(360+($EV$1-EP9)),($EV$1-EP9)),"")</f>
        <v>27.469604468722508</v>
      </c>
      <c r="EW9" s="9">
        <f>IF(ISNUMBER($AV9),(COS(RADIANS($EV9))*ES9)+(-SIN(RADIANS($EV9))*ET9),"")</f>
        <v>0.79561762772907185</v>
      </c>
      <c r="EX9" s="5">
        <f t="shared" ref="EX9:EX40" si="47">IF(ISNUMBER($AV9),(SIN(RADIANS($EV9))*ES9)+(COS(RADIANS($EV9))*ET9),"")</f>
        <v>0.47968390548188006</v>
      </c>
      <c r="EY9" s="6">
        <f>IF(ISNUMBER($AV9),EU9,"")</f>
        <v>-0.36999451518693494</v>
      </c>
      <c r="EZ9" s="51">
        <f>IF(ISNUMBER($AV9),DEGREES(ATAN($AS$5/($EQ9*2*PI()))),"")</f>
        <v>7.5141443034495987</v>
      </c>
      <c r="FA9" s="266">
        <f>IF(ISNUMBER($AV9),SIN(RADIANS($EP9))*COS(RADIANS($EZ9)),"")</f>
        <v>0.87963645550400593</v>
      </c>
      <c r="FB9" s="267">
        <f>IF(ISNUMBER($AV9),-1*COS(RADIANS($EP9))*COS(RADIANS($EZ9)),"")</f>
        <v>-0.45731681267240942</v>
      </c>
      <c r="FC9" s="268">
        <f t="shared" ref="FC9:FC53" si="48">IF(ISNUMBER($AV9),-1*SIN(RADIANS($EZ9)),"")</f>
        <v>-0.13077094094445199</v>
      </c>
      <c r="FD9" s="4">
        <f>IF(ISNUMBER($AV9),(COS(RADIANS($EV9))*FA9)+(-SIN(RADIANS($EV9))*FB9),"")</f>
        <v>0.99141260885894655</v>
      </c>
      <c r="FE9" s="5">
        <f t="shared" ref="FE9:FE40" si="49">IF(ISNUMBER($AV9),(SIN(RADIANS($EV9))*FA9)+(COS(RADIANS($EV9))*FB9),"")</f>
        <v>-1.1102230246251565E-16</v>
      </c>
      <c r="FF9" s="7">
        <f>IF(ISNUMBER($AV9),FC9,"")</f>
        <v>-0.13077094094445199</v>
      </c>
      <c r="FG9" s="173">
        <f>IF(ISNUMBER($AV9),EW9-FD9,"")</f>
        <v>-0.1957949811298747</v>
      </c>
      <c r="FH9" s="5">
        <f t="shared" ref="FH9:FH40" si="50">IF(ISNUMBER($AV9),EX9-FE9,"")</f>
        <v>0.47968390548188017</v>
      </c>
      <c r="FI9" s="10">
        <f t="shared" ref="FI9:FI40" si="51">IF(ISNUMBER($AV9),EY9-FF9,"")</f>
        <v>-0.23922357424248294</v>
      </c>
      <c r="FJ9" s="279">
        <f>IF(ISNUMBER($AV9),DEGREES(ACOS((2-SQRT((FG9)^2+(FH9)^2+(FI9)^2)^2)/2)),"")</f>
        <v>33.157538504543496</v>
      </c>
      <c r="FK9" s="23">
        <f t="shared" ref="FK9:FK40" si="52">IF(ISNUMBER($AV9),SQRT(ES9^2+ET9^2),"")</f>
        <v>0.92903393841752913</v>
      </c>
      <c r="FL9" s="20">
        <f>IF(ISNUMBER($AV9),SQRT(FA9^2+FB9^2),"")</f>
        <v>0.99141260885894666</v>
      </c>
      <c r="FM9" s="25">
        <f>IF(ISNUMBER($AV9),SQRT(FG9^2+FH9^2),"")</f>
        <v>0.51810454911532799</v>
      </c>
      <c r="FN9" s="24">
        <f>IF(ISNUMBER($AV9),DEGREES(ACOS((FK9^2+FL9^2-FM9^2)/(2*FK9*FL9))),"")</f>
        <v>31.08609394769616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-31.08609394769616</v>
      </c>
      <c r="FQ9" s="173">
        <f>IF(ISNUMBER($AV9),SIN(RADIANS(FN9)),"")</f>
        <v>0.51632549215473234</v>
      </c>
      <c r="FR9" s="10">
        <f>IF(ISNUMBER($AV9),COS(RADIANS(FN9)),"")</f>
        <v>0.85639242532332882</v>
      </c>
      <c r="FS9" s="9">
        <f>IF(ISNUMBER($AV9),FQ9/(FQ9+FR9),"")</f>
        <v>0.37613371660750122</v>
      </c>
      <c r="FT9" s="6">
        <f>IF(ISNUMBER($AV9),FR9/(FQ9+FR9),"")</f>
        <v>0.62386628339249872</v>
      </c>
      <c r="FU9" s="4">
        <f>IF(ISNUMBER($AV9),SQRT(EW9^2+EY9^2),"")</f>
        <v>0.8774413660306033</v>
      </c>
      <c r="FV9" s="5">
        <f>IF(ISNUMBER($AV9),SQRT(FD9^2+FF9^2),"")</f>
        <v>1</v>
      </c>
      <c r="FW9" s="8">
        <f>IF(ISNUMBER($AV9),SQRT(FG9^2+FI9^2),"")</f>
        <v>0.30913361691831048</v>
      </c>
      <c r="FX9" s="9">
        <f>IF(ISNUMBER($AV9),DEGREES(ACOS((FU9^2+FV9^2-FW9^2)/(2*FU9*FV9))),"")</f>
        <v>17.426196929161488</v>
      </c>
      <c r="FY9" s="10">
        <f t="shared" ref="FY9:FY40" si="55">IF(ISNUMBER($AV9),IF(EU9&lt;FC9,1,-1),"")</f>
        <v>1</v>
      </c>
      <c r="FZ9" s="277">
        <f>IF(ISNUMBER($AV9),FX9*FY9,"")</f>
        <v>17.426196929161488</v>
      </c>
      <c r="GA9" s="177">
        <f>IF(ISNUMBER($AV9),DEGREES(FZ9*SIN(RADIANS(FU9))),"")</f>
        <v>15.289868376681293</v>
      </c>
      <c r="GB9" s="4">
        <f>IF(ISNUMBER($AV9),COS(RADIANS(FP9+90))*COS(RADIANS(FZ9)),"")</f>
        <v>0.49262795948753441</v>
      </c>
      <c r="GC9" s="5">
        <f>IF(ISNUMBER($AV9),SIN(RADIANS(FP9+90))*COS(RADIANS(FZ9)),"")</f>
        <v>0.81708701084466751</v>
      </c>
      <c r="GD9" s="10">
        <f>IF(ISNUMBER($AV9),-SIN(RADIANS(FZ9)),"")</f>
        <v>-0.29947706129196999</v>
      </c>
      <c r="GE9" s="311">
        <f>IF(ISNUMBER($AV9),SUM(ABS(GB9),ABS(GC9),ABS(GD9)),"")</f>
        <v>1.6091920316241719</v>
      </c>
      <c r="GF9" s="341">
        <f>IF(ISNUMBER($AV9),1/GE9,"")</f>
        <v>0.62142987309643283</v>
      </c>
      <c r="GG9" s="303">
        <f t="shared" ref="GG9:GG40" si="56">IF(ISNUMBER($AV9),ABS(GB9)/(ABS($GB9)+ABS($GC9)+ABS($GD9)),"")</f>
        <v>0.30613373034809316</v>
      </c>
      <c r="GH9" s="304">
        <f t="shared" ref="GH9:GH40" si="57">IF(ISNUMBER($AV9),ABS(GC9)/(ABS($GB9)+ABS($GC9)+ABS($GD9)),"")</f>
        <v>0.50776227745794533</v>
      </c>
      <c r="GI9" s="305">
        <f t="shared" ref="GI9:GI40" si="58">IF(ISNUMBER($AV9),ABS(GD9)/(ABS($GB9)+ABS($GC9)+ABS($GD9)),"")</f>
        <v>0.18610399219396154</v>
      </c>
      <c r="GJ9" s="167">
        <f>IF(ISNUMBER($AV9),AW9,"")</f>
        <v>0.2011</v>
      </c>
      <c r="GK9" s="174">
        <f t="shared" ref="GK9:GK53" si="59">IF(ISNUMBER($AV9),SQRT((2*PI()*$GJ9)^2+$AS$5^2)/12,"")</f>
        <v>0.10620776136184724</v>
      </c>
      <c r="GL9" s="174">
        <f t="shared" ref="GL9:GN10" si="60">IF(ISNUMBER($AV9),AY9,"")</f>
        <v>7.7100000000000002E-2</v>
      </c>
      <c r="GM9" s="9">
        <f t="shared" si="60"/>
        <v>9.8263420811981084E-2</v>
      </c>
      <c r="GN9" s="281">
        <f t="shared" si="60"/>
        <v>5.1354607452135667E-3</v>
      </c>
      <c r="GO9" s="4">
        <f>IF(ISNUMBER($AV9),FP9,"")</f>
        <v>-31.08609394769616</v>
      </c>
      <c r="GP9" s="8">
        <f>IF(ISNUMBER($AV9),FZ9,"")</f>
        <v>17.426196929161488</v>
      </c>
      <c r="GQ9" s="177">
        <f>IF(ISNUMBER($AV9),FJ9,"")</f>
        <v>33.157538504543496</v>
      </c>
      <c r="GR9" s="371">
        <f>IF(ISNUMBER($AV9),GS9+GU9+GY9,"")</f>
        <v>475.74279058069783</v>
      </c>
      <c r="GS9" s="342">
        <f t="shared" ref="GS9:GS40" si="61">IF(ISNUMBER($AV9),GU9/GH9*GG9,"")</f>
        <v>145.64091516668071</v>
      </c>
      <c r="GT9" s="343">
        <f t="shared" ref="GT9:GT40" si="62">IF(ISNUMBER($AV9),GS9/$GK9,"")</f>
        <v>1371.2831651774081</v>
      </c>
      <c r="GU9" s="344">
        <f t="shared" ref="GU9:GU53" si="63">IF(ISNUMBER($AV9),$GV9*$GK9,"")</f>
        <v>241.56424282945349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88.537632584563681</v>
      </c>
      <c r="GZ9" s="345">
        <f t="shared" ref="GZ9:GZ40" si="67">IF(ISNUMBER($AV9),GY9/$GK9,"")</f>
        <v>833.62676558936346</v>
      </c>
      <c r="HA9" s="342">
        <f t="shared" ref="HA9:HA53" si="68">IF(ISNUMBER($AV9),$FO9*$GS9,"")</f>
        <v>-145.64091516668071</v>
      </c>
      <c r="HB9" s="191">
        <f>IF(ISNUMBER($AV9),$EV9,"")</f>
        <v>27.469604468722508</v>
      </c>
      <c r="HC9" s="362">
        <f>IF(ISNUMBER($AV9),HA9*COS(RADIANS(HB9)),"")</f>
        <v>-129.22072732262947</v>
      </c>
      <c r="HD9" s="365">
        <f>IF(ISNUMBER($AV9),HA9*SIN(RADIANS(HB9)),"")</f>
        <v>-67.180948198123318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117.46960446872251</v>
      </c>
      <c r="HG9" s="362">
        <f>IF(ISNUMBER($AV9),HE9*COS(RADIANS(HF9)),"")</f>
        <v>-1049.1537179256793</v>
      </c>
      <c r="HH9" s="368">
        <f>IF(ISNUMBER($AV9),HE9*SIN(RADIANS(HF9)),"")</f>
        <v>2018.0186517132902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-31.08609394769616</v>
      </c>
      <c r="HN9" s="904">
        <f t="shared" ref="HN9:HN40" si="73">IF(ISNUMBER($HL9),INDEX(AO$9:AO$150,MATCH($HL9,$AV$9:$AV$150,0)),"")</f>
        <v>21.999996823593442</v>
      </c>
      <c r="HO9" s="905"/>
      <c r="HP9" s="906"/>
      <c r="HQ9" s="907">
        <f t="shared" ref="HQ9:HQ40" si="74">IF(ISNUMBER($HL9),INDEX(GQ$9:GQ$150,MATCH($HL9,$AV$9:$AV$150,0)),"")</f>
        <v>33.157538504543496</v>
      </c>
      <c r="HR9" s="908">
        <f t="shared" ref="HR9:HR40" si="75">IF(ISNUMBER($HL9),INDEX(GP$9:GP$150,MATCH($HL9,$AV$9:$AV$150,0)),"")</f>
        <v>17.426196929161488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9.8263420811981084E-2</v>
      </c>
      <c r="HV9" s="871">
        <f t="shared" ref="HV9:HV40" si="78">IF(ISNUMBER($HL9),INDEX(GN$9:GN$150,MATCH($HL9,$AV$9:$AV$150,0)),"")</f>
        <v>5.1354607452135667E-3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145.64091516668071</v>
      </c>
      <c r="HZ9" s="862">
        <f t="shared" ref="HZ9:HZ40" si="82">IF(ISNUMBER($HL9),INDEX(GU$9:GU$150,MATCH($HL9,$AV$9:$AV$150,0)),"")</f>
        <v>241.56424282945349</v>
      </c>
      <c r="IA9" s="863">
        <f t="shared" ref="IA9:IA40" si="83">IF(ISNUMBER($HL9),INDEX(GY$9:GY$150,MATCH($HL9,$AV$9:$AV$150,0)),"")</f>
        <v>88.537632584563681</v>
      </c>
      <c r="IB9" s="864">
        <f t="shared" ref="IB9:IB40" si="84">IF(ISNUMBER($HL9),INDEX(GR$9:GR$150,MATCH($HL9,$AV$9:$AV$150,0)),"")</f>
        <v>475.74279058069783</v>
      </c>
      <c r="IC9" s="840">
        <f t="shared" ref="IC9:IC40" si="85">IF(ISNUMBER($HL9),INDEX(GT$9:GT$150,MATCH($HL9,$AV$9:$AV$150,0)),"")</f>
        <v>1371.2831651774081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833.62676558936346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2.5611074940602468E-17</v>
      </c>
      <c r="C10" s="572">
        <f t="shared" si="3"/>
        <v>1.0375031291094376</v>
      </c>
      <c r="D10" s="576">
        <f t="shared" si="4"/>
        <v>-0.39180118167236389</v>
      </c>
      <c r="E10" s="580">
        <f t="shared" si="5"/>
        <v>-0.96126170705176617</v>
      </c>
      <c r="F10" s="572">
        <f t="shared" si="6"/>
        <v>-1.4425740483648615E-2</v>
      </c>
      <c r="G10" s="579">
        <f t="shared" si="7"/>
        <v>0.27525956580548261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2.5611074940602468E-17</v>
      </c>
      <c r="O10" s="572">
        <f t="shared" si="14"/>
        <v>1.0375031291094376</v>
      </c>
      <c r="P10" s="576">
        <f t="shared" si="15"/>
        <v>-0.39180118167236389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101">IF(M10="","",SQRT(N10^2+O10^2))</f>
        <v>1.0375031291094376</v>
      </c>
      <c r="S10" s="577">
        <f t="shared" ref="S10:S105" si="102">IF(M10="","",P10)</f>
        <v>-0.39180118167236389</v>
      </c>
      <c r="T10" s="578">
        <f t="shared" ref="T10:T105" si="103">IF(M10="","",X10*COS(RADIANS(W10)))</f>
        <v>1.0375018491418893</v>
      </c>
      <c r="U10" s="572">
        <f t="shared" ref="U10:U105" si="104">IF(M10="","",X10*SIN(RADIANS(W10)))</f>
        <v>1.6297051987535461E-3</v>
      </c>
      <c r="V10" s="579">
        <f>IF(M10="","",Y10)</f>
        <v>-0.39180118167236389</v>
      </c>
      <c r="W10" s="528">
        <f t="shared" si="16"/>
        <v>8.999998700561207E-2</v>
      </c>
      <c r="X10" s="572">
        <f t="shared" ref="X10:X105" si="105">IF(M10="","",R10)</f>
        <v>1.0375031291094376</v>
      </c>
      <c r="Y10" s="573">
        <f t="shared" si="17"/>
        <v>-0.39180118167236389</v>
      </c>
      <c r="Z10" s="575">
        <f>IF(M10="","",-E10)</f>
        <v>0.96126170705176617</v>
      </c>
      <c r="AA10" s="572">
        <f t="shared" si="19"/>
        <v>1.4425740483648615E-2</v>
      </c>
      <c r="AB10" s="572">
        <f t="shared" si="20"/>
        <v>-0.27525956580548261</v>
      </c>
      <c r="AC10" s="579">
        <f t="shared" ref="AC10:AC105" si="106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7">IF(M10="","",AA10*(1/SQRT(Z10^2+AA10^2+AB10^2)))</f>
        <v>1.4425740483648615E-2</v>
      </c>
      <c r="AF10" s="576">
        <f t="shared" ref="AF10:AF105" si="108">IF(M10="","",AB10*(1/SQRT(Z10^2+AA10^2+AB10^2)))</f>
        <v>-0.27525956580548261</v>
      </c>
      <c r="AG10" s="545">
        <f t="shared" ref="AG10:AG105" si="109">IF(M10="","",DEGREES(ATAN2(-AF10,AE10)))</f>
        <v>2.9999995668536554</v>
      </c>
      <c r="AH10" s="546">
        <f t="shared" ref="AH10:AH105" si="110">IF(M10="","",DEGREES(ACOS(AD10)))</f>
        <v>15.99999768988615</v>
      </c>
      <c r="AI10" s="528">
        <f t="shared" ref="AI10:AI105" si="111">IF(M10="","",DEGREES(-ACOS(-AF10)))</f>
        <v>-74.022516817533798</v>
      </c>
      <c r="AJ10" s="529">
        <f t="shared" ref="AJ10:AJ105" si="112">IF(M10="","",DEGREES(ATAN2(-AE10,AD10)))</f>
        <v>90.859778351430947</v>
      </c>
      <c r="AK10" s="578">
        <f>IF(M10="","",(COS(RADIANS((90-$Q$8)-W10))*AD10)+(-SIN(RADIANS((90-$Q$8)-W10))*AE10))</f>
        <v>0.96126170705176617</v>
      </c>
      <c r="AL10" s="572">
        <f t="shared" ref="AL10:AL105" si="113">IF(M10="","",(SIN(RADIANS((90-$Q$8)-W10))*AD10)+(COS(RADIANS((90-$Q$8)-W10))*AE10))</f>
        <v>1.4425740483648615E-2</v>
      </c>
      <c r="AM10" s="577">
        <f t="shared" ref="AM10:AM105" si="114">IF(M10="","",AF10)</f>
        <v>-0.27525956580548261</v>
      </c>
      <c r="AN10" s="524">
        <f t="shared" ref="AN10:AN105" si="115">IF(M10="","",DEGREES(ATAN2(-AM10,AL10)))</f>
        <v>2.9999995668536554</v>
      </c>
      <c r="AO10" s="525">
        <f t="shared" ref="AO10:AO54" si="116">IF(ROUND(IF(M10="",0,DEGREES(ACOS(AK10))),4)=90,0,IF(M10="","",DEGREES(ACOS(AK10))))</f>
        <v>15.99999768988615</v>
      </c>
      <c r="AP10" s="528">
        <f t="shared" ref="AP10:AP105" si="117">IF(M10="","",DEGREES(ATAN2(AK10,AL10)))</f>
        <v>0.85977835143095427</v>
      </c>
      <c r="AQ10" s="529">
        <f t="shared" si="21"/>
        <v>1.4645611067975461</v>
      </c>
      <c r="AS10" s="932">
        <f>IF($M10="","",IF(AND($W10&lt;($AS$9+180),$W10&gt;($AS$9-180)),$W10,IF($W10&gt;($AS$9+180),$W10-360,IF($W10&lt;($AS$9-180),$W10+360,"Error"))))</f>
        <v>8.999998700561207E-2</v>
      </c>
      <c r="AT10" s="928">
        <f t="shared" si="22"/>
        <v>-0.39180118167236389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0.3354899377020778</v>
      </c>
      <c r="BA10" s="296">
        <f t="shared" si="24"/>
        <v>1.7533436056330495E-2</v>
      </c>
      <c r="BB10" s="291">
        <f>IF(ISNUMBER($AV10),$AX10-($AT10+$AS$5),"")</f>
        <v>0.26423451500569722</v>
      </c>
      <c r="BC10" s="9"/>
      <c r="BD10" s="5">
        <f>IF(ISNUMBER(AV10),AW10,"")</f>
        <v>0.93310000000000004</v>
      </c>
      <c r="BE10" s="6">
        <f t="shared" si="25"/>
        <v>-0.12756666666666666</v>
      </c>
      <c r="BF10" s="4">
        <f t="shared" si="26"/>
        <v>2.5611074940602468E-17</v>
      </c>
      <c r="BG10" s="5">
        <f t="shared" si="27"/>
        <v>1.0375031291094376</v>
      </c>
      <c r="BH10" s="10">
        <f t="shared" si="28"/>
        <v>-0.39180118167236389</v>
      </c>
      <c r="BI10" s="9">
        <f>IF(ISNUMBER($AV10),BF10+0,"")</f>
        <v>2.5611074940602468E-17</v>
      </c>
      <c r="BJ10" s="5">
        <f t="shared" si="29"/>
        <v>2.0361326642596627</v>
      </c>
      <c r="BK10" s="8">
        <f t="shared" si="30"/>
        <v>-0.33946523297888942</v>
      </c>
      <c r="BL10" s="173">
        <f t="shared" si="31"/>
        <v>0.27563731705979944</v>
      </c>
      <c r="BM10" s="5">
        <f t="shared" si="32"/>
        <v>0.98719458572817476</v>
      </c>
      <c r="BN10" s="6">
        <f t="shared" si="33"/>
        <v>0.56814314999845295</v>
      </c>
      <c r="BO10" s="4">
        <f>IF(ISNUMBER($AV10),BJ10*BN10-BM10*BK10-BG10*(BN10-BK10)+BH10*(BM10-BJ10),"")</f>
        <v>0.96126170705176639</v>
      </c>
      <c r="BP10" s="5">
        <f t="shared" si="34"/>
        <v>1.4425740483648627E-2</v>
      </c>
      <c r="BQ10" s="5">
        <f>IF(ISNUMBER($AV10),BF10*(BJ10-BM10)-BG10*(BI10-BL10)+(BI10*BM10-BL10*BJ10),"")</f>
        <v>-0.27525956580548278</v>
      </c>
      <c r="BR10" s="6">
        <f>IF(ISNUMBER($AV10),-(BF10*(BJ10*BN10-BM10*BK10)-BG10*(BI10*BN10-BL10*BK10)+BH10*(BI10*BM10-BL10*BJ10)),"")</f>
        <v>-0.12281377404071611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-0.12756666666666666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-0.12756666666666666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-0.12756666666666666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-0.12756666666666666</v>
      </c>
      <c r="CF10" s="4">
        <f>IF(ISNUMBER($AV10),(BP10*CD10)-(BQ10*CC10),"")</f>
        <v>-1.4425740483648627E-2</v>
      </c>
      <c r="CG10" s="5">
        <f>IF(ISNUMBER($AV10),(BQ10*CB10)-(BO10*CD10),"")</f>
        <v>0.96126170705176639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6.0793987568404688</v>
      </c>
      <c r="CK10" s="8">
        <f t="shared" ref="CK10:CK73" si="128">IF(ISNUMBER($AV10),(CC10*BR10-BP10*CE10)/(-CC10*BQ10+BP10*CD10),"")</f>
        <v>-0.12756666666666666</v>
      </c>
      <c r="CL10" s="173">
        <f t="shared" ref="CL10:CL73" si="129">IF(ISNUMBER($AV10),CI10+CF10,"")</f>
        <v>-1.4425740483648627E-2</v>
      </c>
      <c r="CM10" s="5">
        <f t="shared" ref="CM10:CM73" si="130">IF(ISNUMBER($AV10),CJ10+CG10,"")</f>
        <v>7.0406604638922357</v>
      </c>
      <c r="CN10" s="6">
        <f t="shared" ref="CN10:CN73" si="131">IF(ISNUMBER($AV10),CK10+CH10,"")</f>
        <v>-0.12756666666666666</v>
      </c>
      <c r="CO10" s="167">
        <f t="shared" si="35"/>
        <v>0.3125</v>
      </c>
      <c r="CP10" s="4">
        <f>IF(ISNUMBER($AV10),(CL10-CI10)^2+(CM10-CJ10)^2+(CN10-CK10)^2,"")</f>
        <v>0.92423217143257841</v>
      </c>
      <c r="CQ10" s="5">
        <f>IF(ISNUMBER($AV10),2*((CL10-CI10)*(CI10-BF10)+(CM10-CJ10)*(CJ10-BG10)+(CN10-CK10)*(CK10-BH10)),"")</f>
        <v>9.6931623957791402</v>
      </c>
      <c r="CR10" s="5">
        <f>IF(ISNUMBER($AV10),BF10^2+BG10^2+BH10^2+CI10^2+CJ10^2+CK10^2-2*(BF10*CI10+BG10*CJ10+BH10*CK10)-CO10^2,"")</f>
        <v>25.39287514985358</v>
      </c>
      <c r="CS10" s="8">
        <f>IF(ISNUMBER($AV10),CQ10^2-(4*CP10*CR10),"")</f>
        <v>8.1748676284661315E-2</v>
      </c>
      <c r="CT10" s="9">
        <f>IF(ISNUMBER($AV10),(-CQ10+SQRT(CS10))/(CP10*2),"")</f>
        <v>-5.0892218602041446</v>
      </c>
      <c r="CU10" s="6">
        <f>IF(ISNUMBER($AV10),(-CQ10-SQRT(CS10))/(CP10*2),"")</f>
        <v>-5.3985783867343962</v>
      </c>
      <c r="CV10" s="4">
        <f t="shared" si="36"/>
        <v>7.34157938190165E-2</v>
      </c>
      <c r="CW10" s="5">
        <f t="shared" si="36"/>
        <v>1.1873246639354642</v>
      </c>
      <c r="CX10" s="8">
        <f t="shared" si="36"/>
        <v>-0.12756666666666666</v>
      </c>
      <c r="CY10" s="9">
        <f t="shared" si="37"/>
        <v>7.7878490787664872E-2</v>
      </c>
      <c r="CZ10" s="5">
        <f t="shared" si="37"/>
        <v>0.88995208115539004</v>
      </c>
      <c r="DA10" s="6">
        <f t="shared" si="37"/>
        <v>-0.12756666666666666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7.34157938190165E-2</v>
      </c>
      <c r="DM10" s="173">
        <f>IF(ISNUMBER($AV10),CW10-DC10,"")</f>
        <v>1.1873246639354642</v>
      </c>
      <c r="DN10" s="178">
        <f>IF(ISNUMBER($AV10),CX10-DD10,"")</f>
        <v>9.8724333333333334</v>
      </c>
      <c r="DO10" s="9">
        <f t="shared" si="40"/>
        <v>4.462696968648372E-3</v>
      </c>
      <c r="DP10" s="173">
        <f t="shared" si="40"/>
        <v>-0.29737258278007417</v>
      </c>
      <c r="DQ10" s="11">
        <f t="shared" si="40"/>
        <v>0</v>
      </c>
      <c r="DR10" s="173">
        <f>IF(ISNUMBER($AV10),SUMPRODUCT(DI10:DK10,DL10:DN10),"")</f>
        <v>197.44866666666667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8.845036865352604E-2</v>
      </c>
      <c r="DV10" s="5">
        <f>IF(ISNUMBER($AV10),SUMPRODUCT(DL10:DN10,DO10:DQ10),"")</f>
        <v>-0.35275016947244553</v>
      </c>
      <c r="DW10" s="5">
        <f>IF(ISNUMBER($AV10),SUMPRODUCT(DL10:DN10,DL10:DN10),"")</f>
        <v>98.88006965748265</v>
      </c>
      <c r="DX10" s="167">
        <f>IF(ISNUMBER($AV10),DW10-DH10*DH10,"")</f>
        <v>98.009394047482644</v>
      </c>
      <c r="DY10" s="9">
        <f>IF(ISNUMBER($AV10),DT10*DU10-DS10*DS10,"")</f>
        <v>35.380147461410417</v>
      </c>
      <c r="DZ10" s="5">
        <f>IF(ISNUMBER($AV10),DT10*DV10-DS10*DR10,"")</f>
        <v>-141.10006778897821</v>
      </c>
      <c r="EA10" s="10">
        <f>IF(ISNUMBER($AV10),DT10*DX10-DR10*DR10,"")</f>
        <v>217.78165054861165</v>
      </c>
      <c r="EB10" s="6">
        <f>IF(ISNUMBER($AV10),DZ10*DZ10-DY10*EA10,"")</f>
        <v>12204.082219255011</v>
      </c>
      <c r="EC10" s="173">
        <f>IF(ISNUMBER($AV10),(-DZ10+SQRT(DZ10^2-DY10*EA10))/DY10,"")</f>
        <v>7.1105457100752965</v>
      </c>
      <c r="ED10" s="5">
        <f>IF(ISNUMBER($AV10),(-DZ10-SQRT(DZ10^2-DY10*EA10))/DY10,"")</f>
        <v>0.86568265035637604</v>
      </c>
      <c r="EE10" s="4">
        <f t="shared" si="41"/>
        <v>0.10514800460480521</v>
      </c>
      <c r="EF10" s="5">
        <f>IF(ISNUMBER($AV10),CW10+DP10*$EC10,"")</f>
        <v>-0.92715667884540309</v>
      </c>
      <c r="EG10" s="10">
        <f>IF(ISNUMBER($AV10),CX10+DQ10*$EC10,"")</f>
        <v>-0.12756666666666666</v>
      </c>
      <c r="EH10" s="9">
        <f>IF(ISNUMBER($AV10),CV10+DO10*$ED10,"")</f>
        <v>7.7279073158573394E-2</v>
      </c>
      <c r="EI10" s="5">
        <f>IF(ISNUMBER($AV10),CW10+DP10*$ED10,"")</f>
        <v>0.92989437833108879</v>
      </c>
      <c r="EJ10" s="6">
        <f t="shared" si="42"/>
        <v>-0.12756666666666666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7.7279073158573394E-2</v>
      </c>
      <c r="EN10" s="5">
        <f t="shared" si="43"/>
        <v>0.92989437833108879</v>
      </c>
      <c r="EO10" s="10">
        <f t="shared" si="43"/>
        <v>-0.12756666666666666</v>
      </c>
      <c r="EP10" s="9">
        <f>IF(ISNUMBER($AV10),IF(DEGREES(ATAN2(EM10,EN10))&lt;0,DEGREES(ATAN2(EM10,EN10))+360,IF(DEGREES(ATAN2(EM10,EN10))&gt;360,DEGREES(ATAN2(EM10,EN10))-360,DEGREES(ATAN2(EM10,EN10)))),"")</f>
        <v>85.249338576099063</v>
      </c>
      <c r="EQ10" s="5">
        <f>IF(ISNUMBER($AV10),SQRT(EM10^2+EN10^2),"")</f>
        <v>0.93310000000000548</v>
      </c>
      <c r="ER10" s="7">
        <f>IF(ISNUMBER($AV10),EO10,"")</f>
        <v>-0.12756666666666666</v>
      </c>
      <c r="ES10" s="21">
        <f t="shared" ref="ES10:ES40" si="132">IF(ISNUMBER($AV10),AD10,"")</f>
        <v>0.96126170705176617</v>
      </c>
      <c r="ET10" s="5">
        <f t="shared" si="44"/>
        <v>1.4425740483648615E-2</v>
      </c>
      <c r="EU10" s="10">
        <f t="shared" si="45"/>
        <v>-0.27525956580548261</v>
      </c>
      <c r="EV10" s="174">
        <f t="shared" si="46"/>
        <v>4.7506614239009366</v>
      </c>
      <c r="EW10" s="9">
        <f t="shared" ref="EW10:EW40" si="133">IF(ISNUMBER($AV10),(COS(RADIANS($EV10))*ES10)+(-SIN(RADIANS($EV10))*ET10),"")</f>
        <v>0.95676460147698583</v>
      </c>
      <c r="EX10" s="5">
        <f t="shared" si="47"/>
        <v>9.3987599145639339E-2</v>
      </c>
      <c r="EY10" s="6">
        <f>IF(ISNUMBER($AV10),EU10,"")</f>
        <v>-0.27525956580548261</v>
      </c>
      <c r="EZ10" s="51">
        <f>IF(ISNUMBER($AV10),DEGREES(ATAN($AS$5/($EQ10*2*PI()))),"")</f>
        <v>1.6283448177528403</v>
      </c>
      <c r="FA10" s="266">
        <f t="shared" ref="FA10:FA53" si="134">IF(ISNUMBER($AV10),SIN(RADIANS($EP10))*COS(RADIANS($EZ10)),"")</f>
        <v>0.99616211339208571</v>
      </c>
      <c r="FB10" s="267">
        <f t="shared" ref="FB10:FB53" si="135">IF(ISNUMBER($AV10),-1*COS(RADIANS($EP10))*COS(RADIANS($EZ10)),"")</f>
        <v>-8.2786267593948637E-2</v>
      </c>
      <c r="FC10" s="269">
        <f t="shared" si="48"/>
        <v>-2.8416152802171614E-2</v>
      </c>
      <c r="FD10" s="4">
        <f t="shared" ref="FD10:FD40" si="136">IF(ISNUMBER($AV10),(COS(RADIANS($EV10))*FA10)+(-SIN(RADIANS($EV10))*FB10),"")</f>
        <v>0.99959617959450187</v>
      </c>
      <c r="FE10" s="5">
        <f t="shared" si="49"/>
        <v>0</v>
      </c>
      <c r="FF10" s="7">
        <f>IF(ISNUMBER($AV10),FC10,"")</f>
        <v>-2.8416152802171614E-2</v>
      </c>
      <c r="FG10" s="173">
        <f>IF(ISNUMBER($AV10),EW10-FD10,"")</f>
        <v>-4.2831578117516034E-2</v>
      </c>
      <c r="FH10" s="5">
        <f t="shared" si="50"/>
        <v>9.3987599145639339E-2</v>
      </c>
      <c r="FI10" s="10">
        <f t="shared" si="51"/>
        <v>-0.246843413003311</v>
      </c>
      <c r="FJ10" s="279">
        <f>IF(ISNUMBER($AV10),DEGREES(ACOS((2-SQRT((FG10)^2+(FH10)^2+(FI10)^2)^2)/2)),"")</f>
        <v>15.377403903863536</v>
      </c>
      <c r="FK10" s="4">
        <f t="shared" si="52"/>
        <v>0.96136994514732843</v>
      </c>
      <c r="FL10" s="5">
        <f>IF(ISNUMBER($AV10),SQRT(FA10^2+FB10^2),"")</f>
        <v>0.99959617959450175</v>
      </c>
      <c r="FM10" s="8">
        <f>IF(ISNUMBER($AV10),SQRT(FG10^2+FH10^2),"")</f>
        <v>0.10328704118716085</v>
      </c>
      <c r="FN10" s="9">
        <f>IF(ISNUMBER($AV10),DEGREES(ACOS((FK10^2+FL10^2-FM10^2)/(2*FK10*FL10))),"")</f>
        <v>5.6104397753319191</v>
      </c>
      <c r="FO10" s="10">
        <f t="shared" si="53"/>
        <v>-1</v>
      </c>
      <c r="FP10" s="277">
        <f t="shared" si="54"/>
        <v>-5.6104397753319191</v>
      </c>
      <c r="FQ10" s="173">
        <f>IF(ISNUMBER($AV10),SIN(RADIANS(FN10)),"")</f>
        <v>9.776423698291957E-2</v>
      </c>
      <c r="FR10" s="10">
        <f>IF(ISNUMBER($AV10),COS(RADIANS(FN10)),"")</f>
        <v>0.99520960303201833</v>
      </c>
      <c r="FS10" s="9">
        <f>IF(ISNUMBER($AV10),FQ10/(FQ10+FR10),"")</f>
        <v>8.9447920346916454E-2</v>
      </c>
      <c r="FT10" s="6">
        <f>IF(ISNUMBER($AV10),FR10/(FQ10+FR10),"")</f>
        <v>0.9105520796530836</v>
      </c>
      <c r="FU10" s="4">
        <f>IF(ISNUMBER($AV10),SQRT(EW10^2+EY10^2),"")</f>
        <v>0.99557336806828978</v>
      </c>
      <c r="FV10" s="5">
        <f>IF(ISNUMBER($AV10),SQRT(FD10^2+FF10^2),"")</f>
        <v>1</v>
      </c>
      <c r="FW10" s="8">
        <f>IF(ISNUMBER($AV10),SQRT(FG10^2+FI10^2),"")</f>
        <v>0.25053186349676171</v>
      </c>
      <c r="FX10" s="9">
        <f>IF(ISNUMBER($AV10),DEGREES(ACOS((FU10^2+FV10^2-FW10^2)/(2*FU10*FV10))),"")</f>
        <v>14.422093176995666</v>
      </c>
      <c r="FY10" s="10">
        <f t="shared" si="55"/>
        <v>1</v>
      </c>
      <c r="FZ10" s="277">
        <f>IF(ISNUMBER($AV10),FX10*FY10,"")</f>
        <v>14.422093176995666</v>
      </c>
      <c r="GA10" s="177">
        <f>IF(ISNUMBER($AV10),DEGREES(FZ10*SIN(RADIANS(FU10))),"")</f>
        <v>14.357529366861597</v>
      </c>
      <c r="GB10" s="4">
        <f>IF(ISNUMBER($AV10),COS(RADIANS(FP10+90))*COS(RADIANS(FZ10)),"")</f>
        <v>9.4683411610832324E-2</v>
      </c>
      <c r="GC10" s="5">
        <f>IF(ISNUMBER($AV10),SIN(RADIANS(FP10+90))*COS(RADIANS(FZ10)),"")</f>
        <v>0.9638477565103557</v>
      </c>
      <c r="GD10" s="10">
        <f>IF(ISNUMBER($AV10),-SIN(RADIANS(FZ10)),"")</f>
        <v>-0.24906335305638133</v>
      </c>
      <c r="GE10" s="311">
        <f>IF(ISNUMBER($AV10),SUM(ABS(GB10),ABS(GC10),ABS(GD10)),"")</f>
        <v>1.3075945211775692</v>
      </c>
      <c r="GF10" s="341">
        <f>IF(ISNUMBER($AV10),1/GE10,"")</f>
        <v>0.76476306974691088</v>
      </c>
      <c r="GG10" s="285">
        <f t="shared" si="56"/>
        <v>7.2410376517610439E-2</v>
      </c>
      <c r="GH10" s="286">
        <f t="shared" si="57"/>
        <v>0.73711516903753282</v>
      </c>
      <c r="GI10" s="281">
        <f t="shared" si="58"/>
        <v>0.19047445444485686</v>
      </c>
      <c r="GJ10" s="167">
        <f>IF(ISNUMBER($AV10),AW10,"")</f>
        <v>0.93310000000000004</v>
      </c>
      <c r="GK10" s="174">
        <f t="shared" si="59"/>
        <v>0.48876739175710632</v>
      </c>
      <c r="GL10" s="174">
        <f t="shared" si="60"/>
        <v>5.7200000000000001E-2</v>
      </c>
      <c r="GM10" s="9">
        <f>IF(ISNUMBER($AV10),AZ10,"")</f>
        <v>0.3354899377020778</v>
      </c>
      <c r="GN10" s="281">
        <f>IF(ISNUMBER($AV10),BA10,"")</f>
        <v>1.7533436056330495E-2</v>
      </c>
      <c r="GO10" s="4">
        <f>IF(ISNUMBER($AV10),FP10,"")</f>
        <v>-5.6104397753319191</v>
      </c>
      <c r="GP10" s="8">
        <f>IF(ISNUMBER($AV10),FZ10,"")</f>
        <v>14.422093176995666</v>
      </c>
      <c r="GQ10" s="177">
        <f>IF(ISNUMBER($AV10),FJ10,"")</f>
        <v>15.377403903863536</v>
      </c>
      <c r="GR10" s="371">
        <f>IF(ISNUMBER($AV10),GS10+GU10+GY10,"")</f>
        <v>1118.8836310719669</v>
      </c>
      <c r="GS10" s="342">
        <f t="shared" si="61"/>
        <v>81.018785005312239</v>
      </c>
      <c r="GT10" s="343">
        <f t="shared" si="62"/>
        <v>165.76143656812246</v>
      </c>
      <c r="GU10" s="344">
        <f t="shared" si="63"/>
        <v>824.74609685094129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213.11874921571334</v>
      </c>
      <c r="GZ10" s="345">
        <f t="shared" si="67"/>
        <v>436.0330758759435</v>
      </c>
      <c r="HA10" s="342">
        <f t="shared" si="68"/>
        <v>-81.018785005312239</v>
      </c>
      <c r="HB10" s="5">
        <f>IF(ISNUMBER($AV10),$EV10,"")</f>
        <v>4.7506614239009366</v>
      </c>
      <c r="HC10" s="343">
        <f>IF(ISNUMBER($AV10),HA10*COS(RADIANS(HB10)),"")</f>
        <v>-80.74044873609958</v>
      </c>
      <c r="HD10" s="345">
        <f>IF(ISNUMBER($AV10),HA10*SIN(RADIANS(HB10)),"")</f>
        <v>-6.7099524312980527</v>
      </c>
      <c r="HE10" s="344">
        <f t="shared" si="69"/>
        <v>1687.4</v>
      </c>
      <c r="HF10" s="5">
        <f t="shared" si="70"/>
        <v>94.750661423900937</v>
      </c>
      <c r="HG10" s="343">
        <f>IF(ISNUMBER($AV10),HE10*COS(RADIANS(HF10)),"")</f>
        <v>-139.74998183236065</v>
      </c>
      <c r="HH10" s="349">
        <f>IF(ISNUMBER($AV10),HE10*SIN(RADIANS(HF10)),"")</f>
        <v>1681.6030157495125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 t="e">
        <f t="shared" ref="HM10:HM40" si="138">IF(ISNUMBER($HL10),INDEX(GO$9:GO$150,MATCH($HL10,$AV$9:$AV$150,0)),"")</f>
        <v>#NUM!</v>
      </c>
      <c r="HN10" s="910">
        <f t="shared" si="73"/>
        <v>18.999997256739807</v>
      </c>
      <c r="HO10" s="911"/>
      <c r="HP10" s="912"/>
      <c r="HQ10" s="910" t="e">
        <f t="shared" si="74"/>
        <v>#NUM!</v>
      </c>
      <c r="HR10" s="913" t="e">
        <f t="shared" si="75"/>
        <v>#NUM!</v>
      </c>
      <c r="HS10" s="865">
        <f>IFERROR(SMALL($GJ$9:$GJ$150,($HK9+1)),"")</f>
        <v>0.46260000000000001</v>
      </c>
      <c r="HT10" s="875">
        <f t="shared" si="76"/>
        <v>5.7200000000000001E-2</v>
      </c>
      <c r="HU10" s="876">
        <f t="shared" si="77"/>
        <v>0.16653070698875905</v>
      </c>
      <c r="HV10" s="872">
        <f t="shared" si="78"/>
        <v>8.7032580541828667E-3</v>
      </c>
      <c r="HW10" s="866">
        <f t="shared" si="79"/>
        <v>29500</v>
      </c>
      <c r="HX10" s="867">
        <f t="shared" si="80"/>
        <v>65.049270000000007</v>
      </c>
      <c r="HY10" s="866" t="e">
        <f t="shared" si="81"/>
        <v>#NUM!</v>
      </c>
      <c r="HZ10" s="868">
        <f t="shared" si="82"/>
        <v>409.38798801403271</v>
      </c>
      <c r="IA10" s="869" t="e">
        <f t="shared" si="83"/>
        <v>#NUM!</v>
      </c>
      <c r="IB10" s="870" t="e">
        <f t="shared" si="84"/>
        <v>#NUM!</v>
      </c>
      <c r="IC10" s="841" t="e">
        <f t="shared" si="85"/>
        <v>#NUM!</v>
      </c>
      <c r="ID10" s="351">
        <f t="shared" si="86"/>
        <v>1687.4</v>
      </c>
      <c r="IE10" s="843" t="e">
        <f t="shared" si="87"/>
        <v>#NUM!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8.5370249802008226E-18</v>
      </c>
      <c r="C11" s="572">
        <f t="shared" si="3"/>
        <v>1.7333052276485668</v>
      </c>
      <c r="D11" s="576">
        <f t="shared" si="4"/>
        <v>-0.20640062250427751</v>
      </c>
      <c r="E11" s="580">
        <f t="shared" si="5"/>
        <v>-0.96126170705176617</v>
      </c>
      <c r="F11" s="572">
        <f t="shared" si="6"/>
        <v>0</v>
      </c>
      <c r="G11" s="579">
        <f t="shared" si="7"/>
        <v>0.27563731705979949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8.5370249802008226E-18</v>
      </c>
      <c r="O11" s="572">
        <f t="shared" si="14"/>
        <v>1.7333052276485668</v>
      </c>
      <c r="P11" s="576">
        <f t="shared" si="15"/>
        <v>-0.20640062250427751</v>
      </c>
      <c r="Q11" s="528">
        <f t="shared" ref="Q11:Q73" si="140">IF(M11="","",IF(DEGREES(ATAN2(N11,O11))&lt;0,DEGREES(ATAN2(N11,O11))+360,IF(DEGREES(ATAN2(N11,O11))&gt;360,DEGREES(ATAN2(N11,O11))-360,DEGREES(ATAN2(N11,O11)))))</f>
        <v>90</v>
      </c>
      <c r="R11" s="572">
        <f t="shared" si="101"/>
        <v>1.7333052276485668</v>
      </c>
      <c r="S11" s="577">
        <f t="shared" si="102"/>
        <v>-0.20640062250427751</v>
      </c>
      <c r="T11" s="578">
        <f t="shared" si="103"/>
        <v>1.733303089270011</v>
      </c>
      <c r="U11" s="572">
        <f t="shared" si="104"/>
        <v>2.7226679720477312E-3</v>
      </c>
      <c r="V11" s="579">
        <f t="shared" ref="V11:V105" si="141">IF(M11="","",Y11)</f>
        <v>-0.20640062250427751</v>
      </c>
      <c r="W11" s="528">
        <f t="shared" si="16"/>
        <v>8.999998700561207E-2</v>
      </c>
      <c r="X11" s="572">
        <f>IF(M11="","",R11)</f>
        <v>1.7333052276485668</v>
      </c>
      <c r="Y11" s="573">
        <f t="shared" si="17"/>
        <v>-0.20640062250427751</v>
      </c>
      <c r="Z11" s="575">
        <f t="shared" si="18"/>
        <v>0.96126170705176617</v>
      </c>
      <c r="AA11" s="572">
        <f t="shared" si="19"/>
        <v>0</v>
      </c>
      <c r="AB11" s="572">
        <f t="shared" si="20"/>
        <v>-0.27563731705979949</v>
      </c>
      <c r="AC11" s="579">
        <f t="shared" si="106"/>
        <v>1</v>
      </c>
      <c r="AD11" s="580">
        <f t="shared" ref="AD11:AD105" si="142">IF(M11="","",Z11*(1/SQRT(Z11^2+AA11^2+AB11^2)))</f>
        <v>0.96126170705176617</v>
      </c>
      <c r="AE11" s="572">
        <f t="shared" si="107"/>
        <v>0</v>
      </c>
      <c r="AF11" s="576">
        <f t="shared" si="108"/>
        <v>-0.27563731705979949</v>
      </c>
      <c r="AG11" s="545">
        <f>IF(M11="","",DEGREES(ATAN2(-AF11,AE11)))</f>
        <v>0</v>
      </c>
      <c r="AH11" s="546">
        <f t="shared" si="110"/>
        <v>15.99999768988615</v>
      </c>
      <c r="AI11" s="528">
        <f t="shared" si="111"/>
        <v>-74.000002310113857</v>
      </c>
      <c r="AJ11" s="529">
        <f t="shared" si="112"/>
        <v>90</v>
      </c>
      <c r="AK11" s="578">
        <f>IF(M11="","",(COS(RADIANS((90-$Q$8)-W11))*AD11)+(-SIN(RADIANS((90-$Q$8)-W11))*AE11))</f>
        <v>0.96126170705176617</v>
      </c>
      <c r="AL11" s="572">
        <f t="shared" si="113"/>
        <v>0</v>
      </c>
      <c r="AM11" s="577">
        <f t="shared" si="114"/>
        <v>-0.27563731705979949</v>
      </c>
      <c r="AN11" s="524">
        <f>IF(M11="","",DEGREES(ATAN2(-AM11,AL11)))</f>
        <v>0</v>
      </c>
      <c r="AO11" s="525">
        <f>IF(ROUND(IF(M11="",0,DEGREES(ACOS(AK11))),4)=90,0,IF(M11="","",DEGREES(ACOS(AK11))))</f>
        <v>15.99999768988615</v>
      </c>
      <c r="AP11" s="528">
        <f t="shared" si="117"/>
        <v>0</v>
      </c>
      <c r="AQ11" s="529">
        <f>IF(M11="","",DEGREES(ATAN(($AS$5*SIN(RADIANS(90)))/(($X11*2*PI())-($AS$5*COS(RADIANS(90)))))))</f>
        <v>0.87676371117144136</v>
      </c>
      <c r="AS11" s="932">
        <f t="shared" ref="AS11:AS42" si="143">IF(G11="","",IF(AND(W11&lt;(AS10+180),W11&gt;(AS10-180)),W11,IF(W11&gt;(AS10+180),W11-360,IF(W11&lt;(AS10-180),W11+360,"Error"))))</f>
        <v>8.999998700561207E-2</v>
      </c>
      <c r="AT11" s="928">
        <f t="shared" si="22"/>
        <v>-0.20640062250427751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0.6382772570315205</v>
      </c>
      <c r="BA11" s="296">
        <f t="shared" si="24"/>
        <v>3.3357761931775747E-2</v>
      </c>
      <c r="BB11" s="291">
        <f t="shared" ref="BB11:BB73" si="145">IF(ISNUMBER($AV11),$AX11-($AT11+$AS$5),"")</f>
        <v>0.26553395583761086</v>
      </c>
      <c r="BC11" s="9"/>
      <c r="BD11" s="5">
        <f t="shared" ref="BD11:BD73" si="146">IF(ISNUMBER(AV11),AW11,"")</f>
        <v>1.6409</v>
      </c>
      <c r="BE11" s="6">
        <f t="shared" si="25"/>
        <v>5.9133333333333343E-2</v>
      </c>
      <c r="BF11" s="4">
        <f t="shared" si="26"/>
        <v>8.5370249802008226E-18</v>
      </c>
      <c r="BG11" s="5">
        <f t="shared" si="27"/>
        <v>1.7333052276485668</v>
      </c>
      <c r="BH11" s="10">
        <f t="shared" si="28"/>
        <v>-0.20640062250427751</v>
      </c>
      <c r="BI11" s="9">
        <f t="shared" ref="BI11:BI74" si="147">IF(ISNUMBER($AV11),BF11+0,"")</f>
        <v>8.5370249802008226E-18</v>
      </c>
      <c r="BJ11" s="5">
        <f t="shared" si="29"/>
        <v>2.7333052276485668</v>
      </c>
      <c r="BK11" s="8">
        <f t="shared" si="30"/>
        <v>-0.20640062250427751</v>
      </c>
      <c r="BL11" s="173">
        <f t="shared" si="31"/>
        <v>0.27563731705979944</v>
      </c>
      <c r="BM11" s="5">
        <f t="shared" si="32"/>
        <v>1.7333052276485668</v>
      </c>
      <c r="BN11" s="6">
        <f t="shared" si="33"/>
        <v>0.75486108454748868</v>
      </c>
      <c r="BO11" s="4">
        <f t="shared" ref="BO11:BO74" si="148">IF(ISNUMBER($AV11),BJ11*BN11-BM11*BK11-BG11*(BN11-BK11)+BH11*(BM11-BJ11),"")</f>
        <v>0.96126170705176628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1.0000000000000001E-5</v>
      </c>
      <c r="BQ11" s="5">
        <f t="shared" ref="BQ11:BQ74" si="149">IF(ISNUMBER($AV11),BF11*(BJ11-BM11)-BG11*(BI11-BL11)+(BI11*BM11-BL11*BJ11),"")</f>
        <v>-0.27563731705979938</v>
      </c>
      <c r="BR11" s="6">
        <f t="shared" ref="BR11:BR74" si="150">IF(ISNUMBER($AV11),-(BF11*(BJ11*BN11-BM11*BK11)-BG11*(BI11*BN11-BL11*BK11)+BH11*(BI11*BM11-BL11*BJ11)),"")</f>
        <v>-5.6891713826551504E-2</v>
      </c>
      <c r="BS11" s="4">
        <f t="shared" si="118"/>
        <v>0</v>
      </c>
      <c r="BT11" s="5">
        <f t="shared" si="118"/>
        <v>0</v>
      </c>
      <c r="BU11" s="10">
        <f t="shared" si="119"/>
        <v>5.9133333333333343E-2</v>
      </c>
      <c r="BV11" s="9">
        <f t="shared" si="120"/>
        <v>0</v>
      </c>
      <c r="BW11" s="5">
        <f t="shared" si="121"/>
        <v>1</v>
      </c>
      <c r="BX11" s="8">
        <f t="shared" si="122"/>
        <v>5.9133333333333343E-2</v>
      </c>
      <c r="BY11" s="173">
        <f t="shared" si="123"/>
        <v>1</v>
      </c>
      <c r="BZ11" s="5">
        <f t="shared" si="124"/>
        <v>0</v>
      </c>
      <c r="CA11" s="6">
        <f t="shared" si="125"/>
        <v>5.9133333333333343E-2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5.9133333333333343E-2</v>
      </c>
      <c r="CF11" s="4">
        <f t="shared" ref="CF11:CF74" si="155">IF(ISNUMBER($AV11),(BP11*CD11)-(BQ11*CC11),"")</f>
        <v>-1.0000000000000001E-5</v>
      </c>
      <c r="CG11" s="5">
        <f t="shared" ref="CG11:CG74" si="156">IF(ISNUMBER($AV11),(BQ11*CB11)-(BO11*CD11),"")</f>
        <v>0.96126170705176628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7319.106717535431</v>
      </c>
      <c r="CK11" s="8">
        <f t="shared" si="128"/>
        <v>5.9133333333333343E-2</v>
      </c>
      <c r="CL11" s="173">
        <f t="shared" si="129"/>
        <v>-1.0000000000000001E-5</v>
      </c>
      <c r="CM11" s="5">
        <f t="shared" si="130"/>
        <v>7320.0679792424826</v>
      </c>
      <c r="CN11" s="6">
        <f t="shared" si="131"/>
        <v>5.9133333333333343E-2</v>
      </c>
      <c r="CO11" s="167">
        <f t="shared" si="35"/>
        <v>0.3125</v>
      </c>
      <c r="CP11" s="4">
        <f>IF(ISNUMBER($AV11),(CL11-CI11)^2+(CM11-CJ11)^2+(CN11-CK11)^2,"")</f>
        <v>0.9240240695436841</v>
      </c>
      <c r="CQ11" s="5">
        <f>IF(ISNUMBER($AV11),2*((CL11-CI11)*(CI11-BF11)+(CM11-CJ11)*(CJ11-BG11)+(CN11-CK11)*(CK11-BH11)),"")</f>
        <v>14067.821714897391</v>
      </c>
      <c r="CR11" s="5">
        <f t="shared" ref="CR11:CR74" si="158">IF(ISNUMBER($AV11),BF11^2+BG11^2+BH11^2+CI11^2+CJ11^2+CK11^2-2*(BF11*CI11+BG11*CJ11+BH11*CK11)-CO11^2,"")</f>
        <v>53543953.62800087</v>
      </c>
      <c r="CS11" s="8">
        <f t="shared" ref="CS11:CS74" si="159">IF(ISNUMBER($AV11),CQ11^2-(4*CP11*CR11),"")</f>
        <v>7.8923881053924561E-2</v>
      </c>
      <c r="CT11" s="9">
        <f t="shared" ref="CT11:CT74" si="160">IF(ISNUMBER($AV11),(-CQ11+SQRT(CS11))/(CP11*2),"")</f>
        <v>-7612.1073274098544</v>
      </c>
      <c r="CU11" s="6">
        <f t="shared" ref="CU11:CU74" si="161">IF(ISNUMBER($AV11),(-CQ11-SQRT(CS11))/(CP11*2),"")</f>
        <v>-7612.4113605552557</v>
      </c>
      <c r="CV11" s="4">
        <f>IF(ISNUMBER($AV11),CI11+($CT11*(CL11-CI11)),"")</f>
        <v>7.6121073274098547E-2</v>
      </c>
      <c r="CW11" s="5">
        <f t="shared" ref="CW11:CW74" si="162">IF(ISNUMBER($AV11),CJ11+($CT11*(CM11-CJ11)),"")</f>
        <v>1.8794337297267703</v>
      </c>
      <c r="CX11" s="8">
        <f t="shared" ref="CX11:CX74" si="163">IF(ISNUMBER($AV11),CK11+($CT11*(CN11-CK11)),"")</f>
        <v>5.9133333333333343E-2</v>
      </c>
      <c r="CY11" s="9">
        <f t="shared" ref="CY11:CY74" si="164">IF(ISNUMBER($AV11),CI11+($CU11*(CL11-CI11)),"")</f>
        <v>7.612411360555256E-2</v>
      </c>
      <c r="CZ11" s="5">
        <f t="shared" ref="CZ11:CZ74" si="165">IF(ISNUMBER($AV11),CJ11+($CU11*(CM11-CJ11)),"")</f>
        <v>1.5871783093780323</v>
      </c>
      <c r="DA11" s="6">
        <f t="shared" ref="DA11:DA74" si="166">IF(ISNUMBER($AV11),CK11+($CU11*(CN11-CK11)),"")</f>
        <v>5.9133333333333343E-2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7.6121073274098547E-2</v>
      </c>
      <c r="DM11" s="173">
        <f t="shared" ref="DM11:DM74" si="176">IF(ISNUMBER($AV11),CW11-DC11,"")</f>
        <v>1.8794337297267703</v>
      </c>
      <c r="DN11" s="178">
        <f t="shared" ref="DN11:DN74" si="177">IF(ISNUMBER($AV11),CX11-DD11,"")</f>
        <v>10.059133333333333</v>
      </c>
      <c r="DO11" s="9">
        <f t="shared" ref="DO11:DO74" si="178">IF(ISNUMBER($AV11),CY11-CV11,"")</f>
        <v>3.0403314540128346E-6</v>
      </c>
      <c r="DP11" s="173">
        <f t="shared" ref="DP11:DP74" si="179">IF(ISNUMBER($AV11),CZ11-CW11,"")</f>
        <v>-0.29225542034873797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201.18266666666668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8.541323073246114E-2</v>
      </c>
      <c r="DV11" s="5">
        <f t="shared" ref="DV11:DV74" si="185">IF(ISNUMBER($AV11),SUMPRODUCT(DL11:DN11,DO11:DQ11),"")</f>
        <v>-0.54927446326560025</v>
      </c>
      <c r="DW11" s="5">
        <f t="shared" ref="DW11:DW74" si="186">IF(ISNUMBER($AV11),SUMPRODUCT(DL11:DN11,DL11:DN11),"")</f>
        <v>104.72422898000886</v>
      </c>
      <c r="DX11" s="167">
        <f t="shared" ref="DX11:DX74" si="187">IF(ISNUMBER($AV11),DW11-DH11*DH11,"")</f>
        <v>102.03167617000886</v>
      </c>
      <c r="DY11" s="9">
        <f t="shared" ref="DY11:DY74" si="188">IF(ISNUMBER($AV11),DT11*DU11-DS11*DS11,"")</f>
        <v>34.165292292984454</v>
      </c>
      <c r="DZ11" s="5">
        <f t="shared" ref="DZ11:DZ74" si="189">IF(ISNUMBER($AV11),DT11*DV11-DS11*DR11,"")</f>
        <v>-219.70978530624009</v>
      </c>
      <c r="EA11" s="10">
        <f t="shared" ref="EA11:EA74" si="190">IF(ISNUMBER($AV11),DT11*DX11-DR11*DR11,"")</f>
        <v>338.2051008924318</v>
      </c>
      <c r="EB11" s="6">
        <f t="shared" ref="EB11:EB74" si="191">IF(ISNUMBER($AV11),DZ11*DZ11-DY11*EA11,"")</f>
        <v>36717.513632345886</v>
      </c>
      <c r="EC11" s="173">
        <f t="shared" ref="EC11:EC74" si="192">IF(ISNUMBER($AV11),(-DZ11+SQRT(DZ11^2-DY11*EA11))/DY11,"")</f>
        <v>12.039350553241917</v>
      </c>
      <c r="ED11" s="5">
        <f t="shared" ref="ED11:ED74" si="193">IF(ISNUMBER($AV11),(-DZ11-SQRT(DZ11^2-DY11*EA11))/DY11,"")</f>
        <v>0.82222741437029456</v>
      </c>
      <c r="EE11" s="4">
        <f t="shared" ref="EE11:EE74" si="194">IF(ISNUMBER($AV11),CV11+DO11*$EC11,"")</f>
        <v>7.6157676890271461E-2</v>
      </c>
      <c r="EF11" s="5">
        <f t="shared" ref="EF11:EF74" si="195">IF(ISNUMBER($AV11),CW11+DP11*$EC11,"")</f>
        <v>-1.6391317269367573</v>
      </c>
      <c r="EG11" s="10">
        <f t="shared" ref="EG11:EG74" si="196">IF(ISNUMBER($AV11),CX11+DQ11*$EC11,"")</f>
        <v>5.9133333333333343E-2</v>
      </c>
      <c r="EH11" s="9">
        <f t="shared" ref="EH11:EH74" si="197">IF(ISNUMBER($AV11),CV11+DO11*$ED11,"")</f>
        <v>7.6123573117968815E-2</v>
      </c>
      <c r="EI11" s="5">
        <f t="shared" ref="EI11:EI74" si="198">IF(ISNUMBER($AV11),CW11+DP11*$ED11,"")</f>
        <v>1.6391333111177238</v>
      </c>
      <c r="EJ11" s="6">
        <f t="shared" ref="EJ11:EJ74" si="199">IF(ISNUMBER($AV11),CX11+DQ11*$ED11,"")</f>
        <v>5.9133333333333343E-2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7.6123573117968815E-2</v>
      </c>
      <c r="EN11" s="5">
        <f t="shared" ref="EN11:EN74" si="203">IF(ISNUMBER($AV11),IF($EK11=TRUE,EF11,IF($EL11=TRUE,EI11,"")),"")</f>
        <v>1.6391333111177238</v>
      </c>
      <c r="EO11" s="10">
        <f t="shared" ref="EO11:EO74" si="204">IF(ISNUMBER($AV11),IF($EK11=TRUE,EG11,IF($EL11=TRUE,EJ11,"")),"")</f>
        <v>5.9133333333333343E-2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87.341016857300133</v>
      </c>
      <c r="EQ11" s="5">
        <f t="shared" ref="EQ11:EQ74" si="206">IF(ISNUMBER($AV11),SQRT(EM11^2+EN11^2),"")</f>
        <v>1.6408999999999998</v>
      </c>
      <c r="ER11" s="7">
        <f t="shared" ref="ER11:ER74" si="207">IF(ISNUMBER($AV11),EO11,"")</f>
        <v>5.9133333333333343E-2</v>
      </c>
      <c r="ES11" s="21">
        <f t="shared" si="132"/>
        <v>0.96126170705176617</v>
      </c>
      <c r="ET11" s="5">
        <f t="shared" si="44"/>
        <v>0</v>
      </c>
      <c r="EU11" s="10">
        <f t="shared" si="45"/>
        <v>-0.27563731705979949</v>
      </c>
      <c r="EV11" s="174">
        <f t="shared" si="46"/>
        <v>2.6589831426998671</v>
      </c>
      <c r="EW11" s="9">
        <f t="shared" si="133"/>
        <v>0.96022675649365408</v>
      </c>
      <c r="EX11" s="5">
        <f t="shared" si="47"/>
        <v>4.4594232337289506E-2</v>
      </c>
      <c r="EY11" s="6">
        <f t="shared" ref="EY11:EY74" si="208">IF(ISNUMBER($AV11),EU11,"")</f>
        <v>-0.27563731705979949</v>
      </c>
      <c r="EZ11" s="51">
        <f t="shared" ref="EZ11:EZ74" si="209">IF(ISNUMBER($AV11),DEGREES(ATAN($AS$5/($EQ11*2*PI()))),"")</f>
        <v>0.92612919060313204</v>
      </c>
      <c r="FA11" s="266">
        <f t="shared" si="134"/>
        <v>0.99879284751654995</v>
      </c>
      <c r="FB11" s="267">
        <f t="shared" si="135"/>
        <v>-4.638529388789249E-2</v>
      </c>
      <c r="FC11" s="269">
        <f t="shared" si="48"/>
        <v>-1.6163299809000078E-2</v>
      </c>
      <c r="FD11" s="4">
        <f t="shared" si="136"/>
        <v>0.9998693653369346</v>
      </c>
      <c r="FE11" s="5">
        <f t="shared" si="49"/>
        <v>7.6327832942979512E-17</v>
      </c>
      <c r="FF11" s="7">
        <f t="shared" ref="FF11:FF74" si="210">IF(ISNUMBER($AV11),FC11,"")</f>
        <v>-1.6163299809000078E-2</v>
      </c>
      <c r="FG11" s="173">
        <f t="shared" ref="FG11:FG40" si="211">IF(ISNUMBER($AV11),EW11-FD11,"")</f>
        <v>-3.9642608843280525E-2</v>
      </c>
      <c r="FH11" s="5">
        <f t="shared" si="50"/>
        <v>4.459423233728943E-2</v>
      </c>
      <c r="FI11" s="10">
        <f t="shared" si="51"/>
        <v>-0.25947401725079944</v>
      </c>
      <c r="FJ11" s="279">
        <f t="shared" ref="FJ11:FJ74" si="212">IF(ISNUMBER($AV11),DEGREES(ACOS((2-SQRT((FG11)^2+(FH11)^2+(FI11)^2)^2)/2)),"")</f>
        <v>15.300193740581435</v>
      </c>
      <c r="FK11" s="4">
        <f t="shared" si="52"/>
        <v>0.96126170705176617</v>
      </c>
      <c r="FL11" s="5">
        <f t="shared" ref="FL11:FL73" si="213">IF(ISNUMBER($AV11),SQRT(FA11^2+FB11^2),"")</f>
        <v>0.9998693653369346</v>
      </c>
      <c r="FM11" s="8">
        <f t="shared" ref="FM11:FM73" si="214">IF(ISNUMBER($AV11),SQRT(FG11^2+FH11^2),"")</f>
        <v>5.966726065149542E-2</v>
      </c>
      <c r="FN11" s="9">
        <f t="shared" ref="FN11:FN73" si="215">IF(ISNUMBER($AV11),DEGREES(ACOS((FK11^2+FL11^2-FM11^2)/(2*FK11*FL11))),"")</f>
        <v>2.6589831426996433</v>
      </c>
      <c r="FO11" s="10">
        <f t="shared" si="53"/>
        <v>-1</v>
      </c>
      <c r="FP11" s="277">
        <f t="shared" si="54"/>
        <v>-2.6589831426996433</v>
      </c>
      <c r="FQ11" s="173">
        <f>IF(ISNUMBER($AV11),SIN(RADIANS(FN11)),"")</f>
        <v>4.6391354206814624E-2</v>
      </c>
      <c r="FR11" s="10">
        <f t="shared" ref="FR11:FR74" si="216">IF(ISNUMBER($AV11),COS(RADIANS(FN11)),"")</f>
        <v>0.99892334153069917</v>
      </c>
      <c r="FS11" s="9">
        <f t="shared" ref="FS11:FS74" si="217">IF(ISNUMBER($AV11),FQ11/(FQ11+FR11),"")</f>
        <v>4.4380275524667293E-2</v>
      </c>
      <c r="FT11" s="6">
        <f t="shared" ref="FT11:FT74" si="218">IF(ISNUMBER($AV11),FR11/(FQ11+FR11),"")</f>
        <v>0.95561972447533261</v>
      </c>
      <c r="FU11" s="4">
        <f t="shared" ref="FU11:FU74" si="219">IF(ISNUMBER($AV11),SQRT(EW11^2+EY11^2),"")</f>
        <v>0.99900518239008529</v>
      </c>
      <c r="FV11" s="5">
        <f t="shared" ref="FV11:FV74" si="220">IF(ISNUMBER($AV11),SQRT(FD11^2+FF11^2),"")</f>
        <v>1</v>
      </c>
      <c r="FW11" s="8">
        <f>IF(ISNUMBER($AV11),SQRT(FG11^2+FI11^2),"")</f>
        <v>0.26248486063803661</v>
      </c>
      <c r="FX11" s="9">
        <f>IF(ISNUMBER($AV11),DEGREES(ACOS((FU11^2+FV11^2-FW11^2)/(2*FU11*FV11))),"")</f>
        <v>15.09022959985445</v>
      </c>
      <c r="FY11" s="10">
        <f t="shared" si="55"/>
        <v>1</v>
      </c>
      <c r="FZ11" s="277">
        <f>IF(ISNUMBER($AV11),FX11*FY11,"")</f>
        <v>15.09022959985445</v>
      </c>
      <c r="GA11" s="177">
        <f t="shared" ref="GA11:GA74" si="221">IF(ISNUMBER($AV11),DEGREES(FZ11*SIN(RADIANS(FU11))),"")</f>
        <v>15.07445374504262</v>
      </c>
      <c r="GB11" s="4">
        <f t="shared" ref="GB11:GB74" si="222">IF(ISNUMBER($AV11),COS(RADIANS(FP11+90))*COS(RADIANS(FZ11)),"")</f>
        <v>4.479164297413811E-2</v>
      </c>
      <c r="GC11" s="5">
        <f t="shared" ref="GC11:GC74" si="223">IF(ISNUMBER($AV11),SIN(RADIANS(FP11+90))*COS(RADIANS(FZ11)),"")</f>
        <v>0.96447750744477079</v>
      </c>
      <c r="GD11" s="10">
        <f t="shared" ref="GD11:GD74" si="224">IF(ISNUMBER($AV11),-SIN(RADIANS(FZ11)),"")</f>
        <v>-0.2603398670061875</v>
      </c>
      <c r="GE11" s="311">
        <f t="shared" ref="GE11:GE74" si="225">IF(ISNUMBER($AV11),SUM(ABS(GB11),ABS(GC11),ABS(GD11)),"")</f>
        <v>1.2696090174250965</v>
      </c>
      <c r="GF11" s="341">
        <f>IF(ISNUMBER($AV11),1/GE11,"")</f>
        <v>0.78764405913570734</v>
      </c>
      <c r="GG11" s="285">
        <f t="shared" si="56"/>
        <v>3.5279871487507532E-2</v>
      </c>
      <c r="GH11" s="286">
        <f t="shared" si="57"/>
        <v>0.75966497890888873</v>
      </c>
      <c r="GI11" s="281">
        <f t="shared" si="58"/>
        <v>0.20505514960360374</v>
      </c>
      <c r="GJ11" s="167">
        <f t="shared" ref="GJ11:GJ74" si="226">IF(ISNUMBER($AV11),AW11,"")</f>
        <v>1.6409</v>
      </c>
      <c r="GK11" s="174">
        <f>IF(ISNUMBER($AV11),SQRT((2*PI()*$GJ11)^2+$AS$5^2)/12,"")</f>
        <v>0.85928548334884292</v>
      </c>
      <c r="GL11" s="174">
        <f t="shared" ref="GL11:GL74" si="227">IF(ISNUMBER($AV11),AY11,"")</f>
        <v>6.1899999999999997E-2</v>
      </c>
      <c r="GM11" s="9">
        <f>IF(ISNUMBER($AV11),AZ11,"")</f>
        <v>0.6382772570315205</v>
      </c>
      <c r="GN11" s="281">
        <f t="shared" ref="GN11:GN74" si="228">IF(ISNUMBER($AV11),BA11,"")</f>
        <v>3.3357761931775747E-2</v>
      </c>
      <c r="GO11" s="4">
        <f t="shared" ref="GO11:GO74" si="229">IF(ISNUMBER($AV11),FP11,"")</f>
        <v>-2.6589831426996433</v>
      </c>
      <c r="GP11" s="8">
        <f>IF(ISNUMBER($AV11),FZ11,"")</f>
        <v>15.09022959985445</v>
      </c>
      <c r="GQ11" s="177">
        <f t="shared" ref="GQ11:GQ74" si="230">IF(ISNUMBER($AV11),FJ11,"")</f>
        <v>15.300193740581435</v>
      </c>
      <c r="GR11" s="371">
        <f>IF(ISNUMBER($AV11),GS11+GU11+GY11,"")</f>
        <v>2065.5134834869705</v>
      </c>
      <c r="GS11" s="342">
        <f>IF(ISNUMBER($AV11),GU11/GH11*GG11,"")</f>
        <v>72.871050253134314</v>
      </c>
      <c r="GT11" s="343">
        <f t="shared" si="62"/>
        <v>84.804237549944688</v>
      </c>
      <c r="GU11" s="344">
        <f>IF(ISNUMBER($AV11),$GV11*$GK11,"")</f>
        <v>1569.0982568691545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423.54417636468133</v>
      </c>
      <c r="GZ11" s="345">
        <f t="shared" si="67"/>
        <v>492.90274835556102</v>
      </c>
      <c r="HA11" s="342">
        <f t="shared" si="68"/>
        <v>-72.871050253134314</v>
      </c>
      <c r="HB11" s="5">
        <f t="shared" ref="HB11:HB74" si="231">IF(ISNUMBER($AV11),$EV11,"")</f>
        <v>2.6589831426998671</v>
      </c>
      <c r="HC11" s="343">
        <f t="shared" ref="HC11:HC74" si="232">IF(ISNUMBER($AV11),HA11*COS(RADIANS(HB11)),"")</f>
        <v>-72.792593019712413</v>
      </c>
      <c r="HD11" s="345">
        <f t="shared" ref="HD11:HD74" si="233">IF(ISNUMBER($AV11),HA11*SIN(RADIANS(HB11)),"")</f>
        <v>-3.3805867037160264</v>
      </c>
      <c r="HE11" s="344">
        <f t="shared" si="69"/>
        <v>1826.05</v>
      </c>
      <c r="HF11" s="5">
        <f t="shared" si="70"/>
        <v>92.658983142699867</v>
      </c>
      <c r="HG11" s="343">
        <f t="shared" ref="HG11:HG74" si="234">IF(ISNUMBER($AV11),HE11*COS(RADIANS(HF11)),"")</f>
        <v>-84.712932349360997</v>
      </c>
      <c r="HH11" s="349">
        <f t="shared" ref="HH11:HH74" si="235">IF(ISNUMBER($AV11),HE11*SIN(RADIANS(HF11)),"")</f>
        <v>1824.0839678021327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 t="e">
        <f>IF(ISNUMBER($HL11),INDEX(GO$9:GO$150,MATCH($HL11,$AV$9:$AV$150,0)),"")</f>
        <v>#VALUE!</v>
      </c>
      <c r="HN11" s="910">
        <f t="shared" si="73"/>
        <v>16.999997545504019</v>
      </c>
      <c r="HO11" s="911"/>
      <c r="HP11" s="912"/>
      <c r="HQ11" s="910" t="e">
        <f t="shared" si="74"/>
        <v>#VALUE!</v>
      </c>
      <c r="HR11" s="913" t="e">
        <f t="shared" si="75"/>
        <v>#VALUE!</v>
      </c>
      <c r="HS11" s="865">
        <f>IFERROR(SMALL($GJ$9:$GJ$150,($HK10+1)),"")</f>
        <v>0.69930000000000003</v>
      </c>
      <c r="HT11" s="875">
        <f t="shared" si="76"/>
        <v>6.0400000000000002E-2</v>
      </c>
      <c r="HU11" s="876">
        <f t="shared" si="77"/>
        <v>0.26557827731410366</v>
      </c>
      <c r="HV11" s="872">
        <f t="shared" si="78"/>
        <v>1.3879700163682151E-2</v>
      </c>
      <c r="HW11" s="866">
        <f t="shared" si="79"/>
        <v>29500</v>
      </c>
      <c r="HX11" s="867">
        <f t="shared" si="80"/>
        <v>103.834395</v>
      </c>
      <c r="HY11" s="866" t="e">
        <f t="shared" si="81"/>
        <v>#VALUE!</v>
      </c>
      <c r="HZ11" s="868">
        <f t="shared" si="82"/>
        <v>652.87993173050472</v>
      </c>
      <c r="IA11" s="869" t="e">
        <f t="shared" si="83"/>
        <v>#VALUE!</v>
      </c>
      <c r="IB11" s="870" t="e">
        <f t="shared" si="84"/>
        <v>#VALUE!</v>
      </c>
      <c r="IC11" s="841" t="e">
        <f t="shared" si="85"/>
        <v>#VALUE!</v>
      </c>
      <c r="ID11" s="351">
        <f t="shared" si="86"/>
        <v>1781.8</v>
      </c>
      <c r="IE11" s="843" t="e">
        <f t="shared" si="87"/>
        <v>#VALUE!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3.8619693509931146E-3</v>
      </c>
      <c r="C12" s="572">
        <f t="shared" si="3"/>
        <v>2.4586043819761429</v>
      </c>
      <c r="D12" s="576">
        <f t="shared" si="4"/>
        <v>-0.15630047140222181</v>
      </c>
      <c r="E12" s="580">
        <f t="shared" si="5"/>
        <v>-0.96118533672950102</v>
      </c>
      <c r="F12" s="572">
        <f t="shared" si="6"/>
        <v>4.9373797433927807E-2</v>
      </c>
      <c r="G12" s="579">
        <f t="shared" si="7"/>
        <v>0.2714497680661182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3.8619693509931146E-3</v>
      </c>
      <c r="O12" s="572">
        <f t="shared" si="14"/>
        <v>2.4586043819761429</v>
      </c>
      <c r="P12" s="576">
        <f t="shared" si="15"/>
        <v>-0.15630047140222181</v>
      </c>
      <c r="Q12" s="528">
        <f>IF(M12="","",IF(DEGREES(ATAN2(N12,O12))&lt;0,DEGREES(ATAN2(N12,O12))+360,IF(DEGREES(ATAN2(N12,O12))&gt;360,DEGREES(ATAN2(N12,O12))-360,DEGREES(ATAN2(N12,O12)))))</f>
        <v>89.910000012994388</v>
      </c>
      <c r="R12" s="572">
        <f t="shared" si="101"/>
        <v>2.4586074151599639</v>
      </c>
      <c r="S12" s="577">
        <f t="shared" si="102"/>
        <v>-0.15630047140222181</v>
      </c>
      <c r="T12" s="578">
        <f>IF(M12="","",X12*COS(RADIANS(W12)))</f>
        <v>2.4586074151599639</v>
      </c>
      <c r="U12" s="572">
        <f t="shared" si="104"/>
        <v>0</v>
      </c>
      <c r="V12" s="579">
        <f t="shared" si="141"/>
        <v>-0.15630047140222181</v>
      </c>
      <c r="W12" s="528">
        <f>IF(M12="","",IF(Q12-$Q$8&lt;0,360+Q12-$Q$8,Q12-$Q$8))</f>
        <v>0</v>
      </c>
      <c r="X12" s="572">
        <f t="shared" si="105"/>
        <v>2.4586074151599639</v>
      </c>
      <c r="Y12" s="573">
        <f t="shared" si="17"/>
        <v>-0.15630047140222181</v>
      </c>
      <c r="Z12" s="575">
        <f t="shared" si="18"/>
        <v>0.96118533672950102</v>
      </c>
      <c r="AA12" s="572">
        <f t="shared" si="19"/>
        <v>-4.9373797433927807E-2</v>
      </c>
      <c r="AB12" s="572">
        <f t="shared" si="20"/>
        <v>-0.2714497680661182</v>
      </c>
      <c r="AC12" s="579">
        <f t="shared" si="106"/>
        <v>1</v>
      </c>
      <c r="AD12" s="580">
        <f t="shared" si="142"/>
        <v>0.96118533672950102</v>
      </c>
      <c r="AE12" s="572">
        <f t="shared" si="107"/>
        <v>-4.9373797433927807E-2</v>
      </c>
      <c r="AF12" s="576">
        <f t="shared" si="108"/>
        <v>-0.2714497680661182</v>
      </c>
      <c r="AG12" s="545">
        <f t="shared" si="109"/>
        <v>-10.308788578536612</v>
      </c>
      <c r="AH12" s="546">
        <f t="shared" si="110"/>
        <v>16.015864863737384</v>
      </c>
      <c r="AI12" s="528">
        <f t="shared" si="111"/>
        <v>-74.249445278802412</v>
      </c>
      <c r="AJ12" s="529">
        <f t="shared" si="112"/>
        <v>87.05943704665502</v>
      </c>
      <c r="AK12" s="578">
        <f t="shared" ref="AK12:AK105" si="238">IF(M12="","",(COS(RADIANS((90-$Q$8)-W12))*AD12)+(-SIN(RADIANS((90-$Q$8)-W12))*AE12))</f>
        <v>0.96126170705176628</v>
      </c>
      <c r="AL12" s="572">
        <f>IF(M12="","",(SIN(RADIANS((90-$Q$8)-W12))*AD12)+(COS(RADIANS((90-$Q$8)-W12))*AE12))</f>
        <v>-4.786391096405581E-2</v>
      </c>
      <c r="AM12" s="577">
        <f t="shared" si="114"/>
        <v>-0.2714497680661182</v>
      </c>
      <c r="AN12" s="524">
        <f>IF(M12="","",DEGREES(ATAN2(-AM12,AL12)))</f>
        <v>-9.999998556178836</v>
      </c>
      <c r="AO12" s="525">
        <f t="shared" si="116"/>
        <v>15.999997689886136</v>
      </c>
      <c r="AP12" s="528">
        <f t="shared" si="117"/>
        <v>-2.8505629663393748</v>
      </c>
      <c r="AQ12" s="529">
        <f t="shared" si="21"/>
        <v>0.61813804822328255</v>
      </c>
      <c r="AS12" s="932">
        <f t="shared" si="143"/>
        <v>0</v>
      </c>
      <c r="AT12" s="928">
        <f>IF(M12="","",Y12+(((AS12-$AS$9)*$AS$6)*-1))</f>
        <v>-0.15625880474157106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0.50496629017588213</v>
      </c>
      <c r="BA12" s="296">
        <f t="shared" si="24"/>
        <v>2.6390639969844986E-2</v>
      </c>
      <c r="BB12" s="291">
        <f t="shared" si="145"/>
        <v>0.30879213807490435</v>
      </c>
      <c r="BC12" s="9"/>
      <c r="BD12" s="5">
        <f t="shared" si="146"/>
        <v>2.3776000000000002</v>
      </c>
      <c r="BE12" s="6">
        <f t="shared" si="25"/>
        <v>0.15249166667268255</v>
      </c>
      <c r="BF12" s="4">
        <f t="shared" si="26"/>
        <v>3.8619693509931146E-3</v>
      </c>
      <c r="BG12" s="5">
        <f t="shared" si="27"/>
        <v>2.4586043819761429</v>
      </c>
      <c r="BH12" s="10">
        <f t="shared" si="28"/>
        <v>-0.15630047140222181</v>
      </c>
      <c r="BI12" s="9">
        <f t="shared" si="147"/>
        <v>3.8619693509931146E-3</v>
      </c>
      <c r="BJ12" s="5">
        <f t="shared" si="29"/>
        <v>3.4424619819291986</v>
      </c>
      <c r="BK12" s="8">
        <f t="shared" si="30"/>
        <v>-0.3352536021784488</v>
      </c>
      <c r="BL12" s="173">
        <f t="shared" si="31"/>
        <v>0.27976548229744991</v>
      </c>
      <c r="BM12" s="5">
        <f t="shared" si="32"/>
        <v>2.6306115072400891</v>
      </c>
      <c r="BN12" s="6">
        <f t="shared" si="33"/>
        <v>0.78936902710253465</v>
      </c>
      <c r="BO12" s="4">
        <f t="shared" si="148"/>
        <v>0.96118533672950124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-4.9373797433927703E-2</v>
      </c>
      <c r="BQ12" s="5">
        <f t="shared" si="149"/>
        <v>-0.27144976806611776</v>
      </c>
      <c r="BR12" s="6">
        <f t="shared" si="150"/>
        <v>7.5250839704025796E-2</v>
      </c>
      <c r="BS12" s="4">
        <f t="shared" si="118"/>
        <v>0</v>
      </c>
      <c r="BT12" s="5">
        <f t="shared" si="118"/>
        <v>0</v>
      </c>
      <c r="BU12" s="10">
        <f t="shared" si="119"/>
        <v>0.15249166667268255</v>
      </c>
      <c r="BV12" s="9">
        <f t="shared" si="120"/>
        <v>0</v>
      </c>
      <c r="BW12" s="5">
        <f t="shared" si="121"/>
        <v>1</v>
      </c>
      <c r="BX12" s="8">
        <f t="shared" si="122"/>
        <v>0.15249166667268255</v>
      </c>
      <c r="BY12" s="173">
        <f t="shared" si="123"/>
        <v>1</v>
      </c>
      <c r="BZ12" s="5">
        <f t="shared" si="124"/>
        <v>0</v>
      </c>
      <c r="CA12" s="6">
        <f t="shared" si="125"/>
        <v>0.15249166667268255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0.15249166667268255</v>
      </c>
      <c r="CF12" s="4">
        <f t="shared" si="155"/>
        <v>4.9373797433927703E-2</v>
      </c>
      <c r="CG12" s="5">
        <f t="shared" si="156"/>
        <v>0.96118533672950124</v>
      </c>
      <c r="CH12" s="5">
        <f t="shared" si="157"/>
        <v>0</v>
      </c>
      <c r="CI12" s="4">
        <f t="shared" si="126"/>
        <v>0</v>
      </c>
      <c r="CJ12" s="5">
        <f t="shared" si="127"/>
        <v>0.68572833999689864</v>
      </c>
      <c r="CK12" s="8">
        <f t="shared" si="128"/>
        <v>0.15249166667268255</v>
      </c>
      <c r="CL12" s="173">
        <f t="shared" si="129"/>
        <v>4.9373797433927703E-2</v>
      </c>
      <c r="CM12" s="5">
        <f t="shared" si="130"/>
        <v>1.6469136767263999</v>
      </c>
      <c r="CN12" s="6">
        <f t="shared" si="131"/>
        <v>0.15249166667268255</v>
      </c>
      <c r="CO12" s="167">
        <f t="shared" si="35"/>
        <v>0.3125</v>
      </c>
      <c r="CP12" s="4">
        <f t="shared" ref="CP12:CP74" si="240">IF(ISNUMBER($AV12),(CL12-CI12)^2+(CM12-CJ12)^2+(CN12-CK12)^2,"")</f>
        <v>0.92631502341685124</v>
      </c>
      <c r="CQ12" s="5">
        <f t="shared" ref="CQ12:CQ74" si="241">IF(ISNUMBER($AV12),2*((CL12-CI12)*(CI12-BF12)+(CM12-CJ12)*(CJ12-BG12)+(CN12-CK12)*(CK12-BH12)),"")</f>
        <v>-3.4085062709638345</v>
      </c>
      <c r="CR12" s="5">
        <f t="shared" si="158"/>
        <v>3.1408007095681301</v>
      </c>
      <c r="CS12" s="8">
        <f t="shared" si="159"/>
        <v>-1.9568532125276761E-2</v>
      </c>
      <c r="CT12" s="9" t="e">
        <f t="shared" si="160"/>
        <v>#NUM!</v>
      </c>
      <c r="CU12" s="6" t="e">
        <f t="shared" si="161"/>
        <v>#NUM!</v>
      </c>
      <c r="CV12" s="4" t="e">
        <f t="shared" ref="CV12:CV74" si="242">IF(ISNUMBER($AV12),CI12+($CT12*(CL12-CI12)),"")</f>
        <v>#NUM!</v>
      </c>
      <c r="CW12" s="5" t="e">
        <f t="shared" si="162"/>
        <v>#NUM!</v>
      </c>
      <c r="CX12" s="8" t="e">
        <f t="shared" si="163"/>
        <v>#NUM!</v>
      </c>
      <c r="CY12" s="9" t="e">
        <f t="shared" si="164"/>
        <v>#NUM!</v>
      </c>
      <c r="CZ12" s="5" t="e">
        <f t="shared" si="165"/>
        <v>#NUM!</v>
      </c>
      <c r="DA12" s="6" t="e">
        <f t="shared" si="166"/>
        <v>#NUM!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 t="e">
        <f t="shared" si="175"/>
        <v>#NUM!</v>
      </c>
      <c r="DM12" s="173" t="e">
        <f t="shared" si="176"/>
        <v>#NUM!</v>
      </c>
      <c r="DN12" s="178" t="e">
        <f t="shared" si="177"/>
        <v>#NUM!</v>
      </c>
      <c r="DO12" s="9" t="e">
        <f t="shared" si="178"/>
        <v>#NUM!</v>
      </c>
      <c r="DP12" s="173" t="e">
        <f t="shared" si="179"/>
        <v>#NUM!</v>
      </c>
      <c r="DQ12" s="11" t="e">
        <f t="shared" si="180"/>
        <v>#NUM!</v>
      </c>
      <c r="DR12" s="173" t="e">
        <f t="shared" si="181"/>
        <v>#NUM!</v>
      </c>
      <c r="DS12" s="5" t="e">
        <f t="shared" si="182"/>
        <v>#NUM!</v>
      </c>
      <c r="DT12" s="5">
        <f t="shared" si="183"/>
        <v>400</v>
      </c>
      <c r="DU12" s="5" t="e">
        <f t="shared" si="184"/>
        <v>#NUM!</v>
      </c>
      <c r="DV12" s="5" t="e">
        <f t="shared" si="185"/>
        <v>#NUM!</v>
      </c>
      <c r="DW12" s="5" t="e">
        <f t="shared" si="186"/>
        <v>#NUM!</v>
      </c>
      <c r="DX12" s="167" t="e">
        <f t="shared" si="187"/>
        <v>#NUM!</v>
      </c>
      <c r="DY12" s="9" t="e">
        <f t="shared" si="188"/>
        <v>#NUM!</v>
      </c>
      <c r="DZ12" s="5" t="e">
        <f t="shared" si="189"/>
        <v>#NUM!</v>
      </c>
      <c r="EA12" s="10" t="e">
        <f t="shared" si="190"/>
        <v>#NUM!</v>
      </c>
      <c r="EB12" s="6" t="e">
        <f t="shared" si="191"/>
        <v>#NUM!</v>
      </c>
      <c r="EC12" s="173" t="e">
        <f t="shared" si="192"/>
        <v>#NUM!</v>
      </c>
      <c r="ED12" s="5" t="e">
        <f t="shared" si="193"/>
        <v>#NUM!</v>
      </c>
      <c r="EE12" s="4" t="e">
        <f t="shared" si="194"/>
        <v>#NUM!</v>
      </c>
      <c r="EF12" s="5" t="e">
        <f t="shared" si="195"/>
        <v>#NUM!</v>
      </c>
      <c r="EG12" s="10" t="e">
        <f t="shared" si="196"/>
        <v>#NUM!</v>
      </c>
      <c r="EH12" s="9" t="e">
        <f t="shared" si="197"/>
        <v>#NUM!</v>
      </c>
      <c r="EI12" s="5" t="e">
        <f t="shared" si="198"/>
        <v>#NUM!</v>
      </c>
      <c r="EJ12" s="6" t="e">
        <f t="shared" si="199"/>
        <v>#NUM!</v>
      </c>
      <c r="EK12" s="236" t="e">
        <f t="shared" si="200"/>
        <v>#NUM!</v>
      </c>
      <c r="EL12" s="238" t="e">
        <f t="shared" si="201"/>
        <v>#NUM!</v>
      </c>
      <c r="EM12" s="4" t="e">
        <f t="shared" si="202"/>
        <v>#NUM!</v>
      </c>
      <c r="EN12" s="5" t="e">
        <f t="shared" si="203"/>
        <v>#NUM!</v>
      </c>
      <c r="EO12" s="10" t="e">
        <f t="shared" si="204"/>
        <v>#NUM!</v>
      </c>
      <c r="EP12" s="9" t="e">
        <f t="shared" si="205"/>
        <v>#NUM!</v>
      </c>
      <c r="EQ12" s="5" t="e">
        <f t="shared" si="206"/>
        <v>#NUM!</v>
      </c>
      <c r="ER12" s="7" t="e">
        <f t="shared" si="207"/>
        <v>#NUM!</v>
      </c>
      <c r="ES12" s="21">
        <f t="shared" si="132"/>
        <v>0.96118533672950102</v>
      </c>
      <c r="ET12" s="5">
        <f t="shared" si="44"/>
        <v>-4.9373797433927807E-2</v>
      </c>
      <c r="EU12" s="10">
        <f t="shared" si="45"/>
        <v>-0.2714497680661182</v>
      </c>
      <c r="EV12" s="174" t="e">
        <f t="shared" si="46"/>
        <v>#NUM!</v>
      </c>
      <c r="EW12" s="9" t="e">
        <f t="shared" si="133"/>
        <v>#NUM!</v>
      </c>
      <c r="EX12" s="5" t="e">
        <f t="shared" si="47"/>
        <v>#NUM!</v>
      </c>
      <c r="EY12" s="6">
        <f t="shared" si="208"/>
        <v>-0.2714497680661182</v>
      </c>
      <c r="EZ12" s="51" t="e">
        <f t="shared" si="209"/>
        <v>#NUM!</v>
      </c>
      <c r="FA12" s="266" t="e">
        <f t="shared" si="134"/>
        <v>#NUM!</v>
      </c>
      <c r="FB12" s="267" t="e">
        <f t="shared" si="135"/>
        <v>#NUM!</v>
      </c>
      <c r="FC12" s="269" t="e">
        <f t="shared" si="48"/>
        <v>#NUM!</v>
      </c>
      <c r="FD12" s="4" t="e">
        <f t="shared" si="136"/>
        <v>#NUM!</v>
      </c>
      <c r="FE12" s="5" t="e">
        <f t="shared" si="49"/>
        <v>#NUM!</v>
      </c>
      <c r="FF12" s="7" t="e">
        <f t="shared" si="210"/>
        <v>#NUM!</v>
      </c>
      <c r="FG12" s="173" t="e">
        <f t="shared" si="211"/>
        <v>#NUM!</v>
      </c>
      <c r="FH12" s="5" t="e">
        <f t="shared" si="50"/>
        <v>#NUM!</v>
      </c>
      <c r="FI12" s="10" t="e">
        <f t="shared" si="51"/>
        <v>#NUM!</v>
      </c>
      <c r="FJ12" s="279" t="e">
        <f t="shared" si="212"/>
        <v>#NUM!</v>
      </c>
      <c r="FK12" s="4">
        <f t="shared" si="52"/>
        <v>0.96245260840046087</v>
      </c>
      <c r="FL12" s="5" t="e">
        <f t="shared" si="213"/>
        <v>#NUM!</v>
      </c>
      <c r="FM12" s="8" t="e">
        <f t="shared" si="214"/>
        <v>#NUM!</v>
      </c>
      <c r="FN12" s="9" t="e">
        <f t="shared" si="215"/>
        <v>#NUM!</v>
      </c>
      <c r="FO12" s="10" t="e">
        <f t="shared" si="53"/>
        <v>#NUM!</v>
      </c>
      <c r="FP12" s="277" t="e">
        <f t="shared" si="54"/>
        <v>#NUM!</v>
      </c>
      <c r="FQ12" s="173" t="e">
        <f t="shared" ref="FQ12:FQ74" si="243">IF(ISNUMBER($AV12),SIN(RADIANS(FN12)),"")</f>
        <v>#NUM!</v>
      </c>
      <c r="FR12" s="10" t="e">
        <f t="shared" si="216"/>
        <v>#NUM!</v>
      </c>
      <c r="FS12" s="9" t="e">
        <f t="shared" si="217"/>
        <v>#NUM!</v>
      </c>
      <c r="FT12" s="6" t="e">
        <f t="shared" si="218"/>
        <v>#NUM!</v>
      </c>
      <c r="FU12" s="4" t="e">
        <f t="shared" si="219"/>
        <v>#NUM!</v>
      </c>
      <c r="FV12" s="5" t="e">
        <f t="shared" si="220"/>
        <v>#NUM!</v>
      </c>
      <c r="FW12" s="8" t="e">
        <f t="shared" ref="FW12:FW74" si="244">IF(ISNUMBER($AV12),SQRT(FG12^2+FI12^2),"")</f>
        <v>#NUM!</v>
      </c>
      <c r="FX12" s="9" t="e">
        <f t="shared" ref="FX12:FX74" si="245">IF(ISNUMBER($AV12),DEGREES(ACOS((FU12^2+FV12^2-FW12^2)/(2*FU12*FV12))),"")</f>
        <v>#NUM!</v>
      </c>
      <c r="FY12" s="10" t="e">
        <f t="shared" si="55"/>
        <v>#NUM!</v>
      </c>
      <c r="FZ12" s="277" t="e">
        <f t="shared" ref="FZ12:FZ74" si="246">IF(ISNUMBER($AV12),FX12*FY12,"")</f>
        <v>#NUM!</v>
      </c>
      <c r="GA12" s="177" t="e">
        <f t="shared" si="221"/>
        <v>#NUM!</v>
      </c>
      <c r="GB12" s="4" t="e">
        <f t="shared" si="222"/>
        <v>#NUM!</v>
      </c>
      <c r="GC12" s="5" t="e">
        <f t="shared" si="223"/>
        <v>#NUM!</v>
      </c>
      <c r="GD12" s="10" t="e">
        <f t="shared" si="224"/>
        <v>#NUM!</v>
      </c>
      <c r="GE12" s="311" t="e">
        <f t="shared" si="225"/>
        <v>#NUM!</v>
      </c>
      <c r="GF12" s="341" t="e">
        <f t="shared" ref="GF12:GF74" si="247">IF(ISNUMBER($AV12),1/GE12,"")</f>
        <v>#NUM!</v>
      </c>
      <c r="GG12" s="285" t="e">
        <f t="shared" si="56"/>
        <v>#NUM!</v>
      </c>
      <c r="GH12" s="286" t="e">
        <f t="shared" si="57"/>
        <v>#NUM!</v>
      </c>
      <c r="GI12" s="281" t="e">
        <f t="shared" si="58"/>
        <v>#NUM!</v>
      </c>
      <c r="GJ12" s="167">
        <f t="shared" si="226"/>
        <v>2.3776000000000002</v>
      </c>
      <c r="GK12" s="174">
        <f t="shared" si="59"/>
        <v>1.2449859225243642</v>
      </c>
      <c r="GL12" s="174">
        <f t="shared" si="227"/>
        <v>3.3799999999999997E-2</v>
      </c>
      <c r="GM12" s="177">
        <f t="shared" ref="GM12:GM74" si="248">IF(ISNUMBER($AV12),AZ12,"")</f>
        <v>0.50496629017588213</v>
      </c>
      <c r="GN12" s="280">
        <f t="shared" si="228"/>
        <v>2.6390639969844986E-2</v>
      </c>
      <c r="GO12" s="4" t="e">
        <f t="shared" si="229"/>
        <v>#NUM!</v>
      </c>
      <c r="GP12" s="8" t="e">
        <f t="shared" ref="GP12:GP74" si="249">IF(ISNUMBER($AV12),FZ12,"")</f>
        <v>#NUM!</v>
      </c>
      <c r="GQ12" s="177" t="e">
        <f t="shared" si="230"/>
        <v>#NUM!</v>
      </c>
      <c r="GR12" s="371" t="e">
        <f t="shared" ref="GR12:GR74" si="250">IF(ISNUMBER($AV12),GS12+GU12+GY12,"")</f>
        <v>#NUM!</v>
      </c>
      <c r="GS12" s="342" t="e">
        <f t="shared" si="61"/>
        <v>#NUM!</v>
      </c>
      <c r="GT12" s="343" t="e">
        <f t="shared" si="62"/>
        <v>#NUM!</v>
      </c>
      <c r="GU12" s="344">
        <f>IF(ISNUMBER($AV12),$GV12*$GK12,"")</f>
        <v>1241.3754633490435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 t="e">
        <f t="shared" si="66"/>
        <v>#NUM!</v>
      </c>
      <c r="GZ12" s="345" t="e">
        <f t="shared" si="67"/>
        <v>#NUM!</v>
      </c>
      <c r="HA12" s="342" t="e">
        <f t="shared" si="68"/>
        <v>#NUM!</v>
      </c>
      <c r="HB12" s="5" t="e">
        <f t="shared" si="231"/>
        <v>#NUM!</v>
      </c>
      <c r="HC12" s="343" t="e">
        <f t="shared" si="232"/>
        <v>#NUM!</v>
      </c>
      <c r="HD12" s="345" t="e">
        <f t="shared" si="233"/>
        <v>#NUM!</v>
      </c>
      <c r="HE12" s="344" t="e">
        <f t="shared" si="69"/>
        <v>#NUM!</v>
      </c>
      <c r="HF12" s="5" t="e">
        <f t="shared" si="70"/>
        <v>#NUM!</v>
      </c>
      <c r="HG12" s="343" t="e">
        <f t="shared" si="234"/>
        <v>#NUM!</v>
      </c>
      <c r="HH12" s="349" t="e">
        <f t="shared" si="235"/>
        <v>#NUM!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1.1040000000000001</v>
      </c>
      <c r="HM12" s="909">
        <f t="shared" si="138"/>
        <v>-5.6104397753319191</v>
      </c>
      <c r="HN12" s="910">
        <f t="shared" si="73"/>
        <v>15.99999768988615</v>
      </c>
      <c r="HO12" s="911"/>
      <c r="HP12" s="912"/>
      <c r="HQ12" s="910">
        <f t="shared" si="74"/>
        <v>15.377403903863536</v>
      </c>
      <c r="HR12" s="913">
        <f t="shared" si="75"/>
        <v>14.422093176995666</v>
      </c>
      <c r="HS12" s="865">
        <f>IFERROR(SMALL($GJ$9:$GJ$150,($HK11+1)),"")</f>
        <v>0.93310000000000004</v>
      </c>
      <c r="HT12" s="875">
        <f t="shared" si="76"/>
        <v>5.7200000000000001E-2</v>
      </c>
      <c r="HU12" s="876">
        <f t="shared" si="77"/>
        <v>0.3354899377020778</v>
      </c>
      <c r="HV12" s="872">
        <f t="shared" si="78"/>
        <v>1.7533436056330495E-2</v>
      </c>
      <c r="HW12" s="866">
        <f t="shared" si="79"/>
        <v>29500</v>
      </c>
      <c r="HX12" s="867">
        <f t="shared" si="80"/>
        <v>131.20941166666668</v>
      </c>
      <c r="HY12" s="866">
        <f t="shared" si="81"/>
        <v>81.018785005312239</v>
      </c>
      <c r="HZ12" s="868">
        <f t="shared" si="82"/>
        <v>824.74609685094129</v>
      </c>
      <c r="IA12" s="869">
        <f t="shared" si="83"/>
        <v>213.11874921571334</v>
      </c>
      <c r="IB12" s="870">
        <f t="shared" si="84"/>
        <v>1118.8836310719669</v>
      </c>
      <c r="IC12" s="841">
        <f t="shared" si="85"/>
        <v>165.76143656812246</v>
      </c>
      <c r="ID12" s="351">
        <f t="shared" si="86"/>
        <v>1687.4</v>
      </c>
      <c r="IE12" s="843">
        <f t="shared" si="87"/>
        <v>436.0330758759435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3.994881211120991E-2</v>
      </c>
      <c r="C13" s="572">
        <f t="shared" si="3"/>
        <v>3.1788585791383084</v>
      </c>
      <c r="D13" s="576">
        <f t="shared" si="4"/>
        <v>-0.35160106042879813</v>
      </c>
      <c r="E13" s="580">
        <f t="shared" si="5"/>
        <v>-0.95693248660989516</v>
      </c>
      <c r="F13" s="572">
        <f t="shared" si="6"/>
        <v>0.13248962296670794</v>
      </c>
      <c r="G13" s="579">
        <f t="shared" si="7"/>
        <v>0.2583151483686979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3.994881211120991E-2</v>
      </c>
      <c r="O13" s="572">
        <f t="shared" si="14"/>
        <v>3.1788585791383084</v>
      </c>
      <c r="P13" s="576">
        <f t="shared" si="15"/>
        <v>-0.35160106042879813</v>
      </c>
      <c r="Q13" s="528">
        <f t="shared" si="140"/>
        <v>89.280000103955132</v>
      </c>
      <c r="R13" s="572">
        <f t="shared" si="101"/>
        <v>3.1791095881945184</v>
      </c>
      <c r="S13" s="577">
        <f t="shared" si="102"/>
        <v>-0.35160106042879813</v>
      </c>
      <c r="T13" s="578">
        <f>IF(M13="","",X13*COS(RADIANS(W13)))</f>
        <v>3.1789174087931276</v>
      </c>
      <c r="U13" s="572">
        <f t="shared" si="104"/>
        <v>-3.4955426221227978E-2</v>
      </c>
      <c r="V13" s="579">
        <f t="shared" si="141"/>
        <v>-0.35160106042879813</v>
      </c>
      <c r="W13" s="528">
        <f t="shared" si="16"/>
        <v>359.37000009096073</v>
      </c>
      <c r="X13" s="572">
        <f t="shared" si="105"/>
        <v>3.1791095881945184</v>
      </c>
      <c r="Y13" s="573">
        <f t="shared" si="17"/>
        <v>-0.35160106042879813</v>
      </c>
      <c r="Z13" s="575">
        <f t="shared" si="18"/>
        <v>0.95693248660989516</v>
      </c>
      <c r="AA13" s="572">
        <f t="shared" si="19"/>
        <v>-0.13248962296670794</v>
      </c>
      <c r="AB13" s="572">
        <f t="shared" si="20"/>
        <v>-0.2583151483686979</v>
      </c>
      <c r="AC13" s="579">
        <f t="shared" si="106"/>
        <v>1</v>
      </c>
      <c r="AD13" s="580">
        <f>IF(M13="","",Z13*(1/SQRT(Z13^2+AA13^2+AB13^2)))</f>
        <v>0.95693248660989516</v>
      </c>
      <c r="AE13" s="572">
        <f t="shared" si="107"/>
        <v>-0.13248962296670794</v>
      </c>
      <c r="AF13" s="576">
        <f t="shared" si="108"/>
        <v>-0.2583151483686979</v>
      </c>
      <c r="AG13" s="545">
        <f>IF(M13="","",DEGREES(ATAN2(-AF13,AE13)))</f>
        <v>-27.153249504455584</v>
      </c>
      <c r="AH13" s="546">
        <f t="shared" si="110"/>
        <v>16.876549174224934</v>
      </c>
      <c r="AI13" s="528">
        <f t="shared" si="111"/>
        <v>-75.029887532908518</v>
      </c>
      <c r="AJ13" s="529">
        <f t="shared" si="112"/>
        <v>82.117373045886595</v>
      </c>
      <c r="AK13" s="578">
        <f t="shared" si="238"/>
        <v>0.95852180091130335</v>
      </c>
      <c r="AL13" s="572">
        <f t="shared" si="113"/>
        <v>-0.12045431208972741</v>
      </c>
      <c r="AM13" s="577">
        <f t="shared" si="114"/>
        <v>-0.2583151483686979</v>
      </c>
      <c r="AN13" s="524">
        <f t="shared" si="115"/>
        <v>-24.99999639044708</v>
      </c>
      <c r="AO13" s="525">
        <f t="shared" si="116"/>
        <v>16.559997609032152</v>
      </c>
      <c r="AP13" s="528">
        <f t="shared" si="117"/>
        <v>-7.1626270580685123</v>
      </c>
      <c r="AQ13" s="529">
        <f t="shared" si="21"/>
        <v>0.47805287758464848</v>
      </c>
      <c r="AS13" s="932">
        <f t="shared" si="143"/>
        <v>-0.62999990903927028</v>
      </c>
      <c r="AT13" s="928">
        <f t="shared" si="22"/>
        <v>-0.35126772714359217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0.62576654389062714</v>
      </c>
      <c r="BA13" s="296">
        <f t="shared" si="24"/>
        <v>3.2703924769393433E-2</v>
      </c>
      <c r="BB13" s="291">
        <f t="shared" si="145"/>
        <v>0.32410106047692555</v>
      </c>
      <c r="BC13" s="9"/>
      <c r="BD13" s="5">
        <f t="shared" si="146"/>
        <v>3.1920000000000002</v>
      </c>
      <c r="BE13" s="6">
        <f t="shared" si="25"/>
        <v>-2.7499999951872578E-2</v>
      </c>
      <c r="BF13" s="4">
        <f t="shared" si="26"/>
        <v>3.994881211120991E-2</v>
      </c>
      <c r="BG13" s="5">
        <f t="shared" si="27"/>
        <v>3.1788585791383084</v>
      </c>
      <c r="BH13" s="10">
        <f t="shared" si="28"/>
        <v>-0.35160106042879813</v>
      </c>
      <c r="BI13" s="9">
        <f t="shared" si="147"/>
        <v>3.994881211120991E-2</v>
      </c>
      <c r="BJ13" s="5">
        <f t="shared" si="29"/>
        <v>4.0686476254003505</v>
      </c>
      <c r="BK13" s="8">
        <f t="shared" si="30"/>
        <v>-0.80797311605017907</v>
      </c>
      <c r="BL13" s="173">
        <f t="shared" si="31"/>
        <v>0.33025936319504989</v>
      </c>
      <c r="BM13" s="5">
        <f t="shared" si="32"/>
        <v>3.6155758251433459</v>
      </c>
      <c r="BN13" s="6">
        <f t="shared" si="33"/>
        <v>0.49986698416898523</v>
      </c>
      <c r="BO13" s="4">
        <f t="shared" si="148"/>
        <v>0.95693248660989527</v>
      </c>
      <c r="BP13" s="5">
        <f t="shared" si="239"/>
        <v>-0.13248962296670802</v>
      </c>
      <c r="BQ13" s="5">
        <f t="shared" si="149"/>
        <v>-0.25831514836869784</v>
      </c>
      <c r="BR13" s="6">
        <f t="shared" si="150"/>
        <v>0.29211357841257163</v>
      </c>
      <c r="BS13" s="4">
        <f t="shared" si="118"/>
        <v>0</v>
      </c>
      <c r="BT13" s="5">
        <f t="shared" si="118"/>
        <v>0</v>
      </c>
      <c r="BU13" s="10">
        <f t="shared" si="119"/>
        <v>-2.7499999951872578E-2</v>
      </c>
      <c r="BV13" s="9">
        <f t="shared" si="120"/>
        <v>0</v>
      </c>
      <c r="BW13" s="5">
        <f t="shared" si="121"/>
        <v>1</v>
      </c>
      <c r="BX13" s="8">
        <f t="shared" si="122"/>
        <v>-2.7499999951872578E-2</v>
      </c>
      <c r="BY13" s="173">
        <f t="shared" si="123"/>
        <v>1</v>
      </c>
      <c r="BZ13" s="5">
        <f t="shared" si="124"/>
        <v>0</v>
      </c>
      <c r="CA13" s="6">
        <f t="shared" si="125"/>
        <v>-2.7499999951872578E-2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-2.7499999951872578E-2</v>
      </c>
      <c r="CF13" s="4">
        <f t="shared" si="155"/>
        <v>0.13248962296670802</v>
      </c>
      <c r="CG13" s="5">
        <f t="shared" si="156"/>
        <v>0.95693248660989527</v>
      </c>
      <c r="CH13" s="5">
        <f t="shared" si="157"/>
        <v>0</v>
      </c>
      <c r="CI13" s="4">
        <f t="shared" si="126"/>
        <v>0</v>
      </c>
      <c r="CJ13" s="5">
        <f t="shared" si="127"/>
        <v>2.2584202315638415</v>
      </c>
      <c r="CK13" s="8">
        <f t="shared" si="128"/>
        <v>-2.7499999951872578E-2</v>
      </c>
      <c r="CL13" s="173">
        <f t="shared" si="129"/>
        <v>0.13248962296670802</v>
      </c>
      <c r="CM13" s="5">
        <f t="shared" si="130"/>
        <v>3.2153527181737367</v>
      </c>
      <c r="CN13" s="6">
        <f t="shared" si="131"/>
        <v>-2.7499999951872578E-2</v>
      </c>
      <c r="CO13" s="167">
        <f t="shared" si="35"/>
        <v>0.3125</v>
      </c>
      <c r="CP13" s="4">
        <f t="shared" si="240"/>
        <v>0.93327328412325772</v>
      </c>
      <c r="CQ13" s="5">
        <f t="shared" si="241"/>
        <v>-1.772180319540239</v>
      </c>
      <c r="CR13" s="5">
        <f t="shared" si="158"/>
        <v>0.85618790667698086</v>
      </c>
      <c r="CS13" s="8">
        <f t="shared" si="159"/>
        <v>-5.5606112998429325E-2</v>
      </c>
      <c r="CT13" s="9" t="e">
        <f t="shared" si="160"/>
        <v>#NUM!</v>
      </c>
      <c r="CU13" s="6" t="e">
        <f t="shared" si="161"/>
        <v>#NUM!</v>
      </c>
      <c r="CV13" s="4" t="e">
        <f t="shared" si="242"/>
        <v>#NUM!</v>
      </c>
      <c r="CW13" s="5" t="e">
        <f t="shared" si="162"/>
        <v>#NUM!</v>
      </c>
      <c r="CX13" s="8" t="e">
        <f t="shared" si="163"/>
        <v>#NUM!</v>
      </c>
      <c r="CY13" s="9" t="e">
        <f t="shared" si="164"/>
        <v>#NUM!</v>
      </c>
      <c r="CZ13" s="5" t="e">
        <f t="shared" si="165"/>
        <v>#NUM!</v>
      </c>
      <c r="DA13" s="6" t="e">
        <f t="shared" si="166"/>
        <v>#NUM!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 t="e">
        <f t="shared" si="175"/>
        <v>#NUM!</v>
      </c>
      <c r="DM13" s="173" t="e">
        <f t="shared" si="176"/>
        <v>#NUM!</v>
      </c>
      <c r="DN13" s="178" t="e">
        <f t="shared" si="177"/>
        <v>#NUM!</v>
      </c>
      <c r="DO13" s="9" t="e">
        <f t="shared" si="178"/>
        <v>#NUM!</v>
      </c>
      <c r="DP13" s="173" t="e">
        <f t="shared" si="179"/>
        <v>#NUM!</v>
      </c>
      <c r="DQ13" s="11" t="e">
        <f t="shared" si="180"/>
        <v>#NUM!</v>
      </c>
      <c r="DR13" s="173" t="e">
        <f t="shared" si="181"/>
        <v>#NUM!</v>
      </c>
      <c r="DS13" s="5" t="e">
        <f t="shared" si="182"/>
        <v>#NUM!</v>
      </c>
      <c r="DT13" s="5">
        <f t="shared" si="183"/>
        <v>400</v>
      </c>
      <c r="DU13" s="5" t="e">
        <f t="shared" si="184"/>
        <v>#NUM!</v>
      </c>
      <c r="DV13" s="5" t="e">
        <f t="shared" si="185"/>
        <v>#NUM!</v>
      </c>
      <c r="DW13" s="5" t="e">
        <f t="shared" si="186"/>
        <v>#NUM!</v>
      </c>
      <c r="DX13" s="167" t="e">
        <f t="shared" si="187"/>
        <v>#NUM!</v>
      </c>
      <c r="DY13" s="9" t="e">
        <f t="shared" si="188"/>
        <v>#NUM!</v>
      </c>
      <c r="DZ13" s="5" t="e">
        <f t="shared" si="189"/>
        <v>#NUM!</v>
      </c>
      <c r="EA13" s="10" t="e">
        <f t="shared" si="190"/>
        <v>#NUM!</v>
      </c>
      <c r="EB13" s="6" t="e">
        <f t="shared" si="191"/>
        <v>#NUM!</v>
      </c>
      <c r="EC13" s="173" t="e">
        <f t="shared" si="192"/>
        <v>#NUM!</v>
      </c>
      <c r="ED13" s="5" t="e">
        <f t="shared" si="193"/>
        <v>#NUM!</v>
      </c>
      <c r="EE13" s="4" t="e">
        <f t="shared" si="194"/>
        <v>#NUM!</v>
      </c>
      <c r="EF13" s="5" t="e">
        <f t="shared" si="195"/>
        <v>#NUM!</v>
      </c>
      <c r="EG13" s="10" t="e">
        <f t="shared" si="196"/>
        <v>#NUM!</v>
      </c>
      <c r="EH13" s="9" t="e">
        <f t="shared" si="197"/>
        <v>#NUM!</v>
      </c>
      <c r="EI13" s="5" t="e">
        <f t="shared" si="198"/>
        <v>#NUM!</v>
      </c>
      <c r="EJ13" s="6" t="e">
        <f t="shared" si="199"/>
        <v>#NUM!</v>
      </c>
      <c r="EK13" s="236" t="e">
        <f t="shared" si="200"/>
        <v>#NUM!</v>
      </c>
      <c r="EL13" s="238" t="e">
        <f t="shared" si="201"/>
        <v>#NUM!</v>
      </c>
      <c r="EM13" s="4" t="e">
        <f t="shared" si="202"/>
        <v>#NUM!</v>
      </c>
      <c r="EN13" s="5" t="e">
        <f t="shared" si="203"/>
        <v>#NUM!</v>
      </c>
      <c r="EO13" s="10" t="e">
        <f t="shared" si="204"/>
        <v>#NUM!</v>
      </c>
      <c r="EP13" s="9" t="e">
        <f t="shared" si="205"/>
        <v>#NUM!</v>
      </c>
      <c r="EQ13" s="5" t="e">
        <f t="shared" si="206"/>
        <v>#NUM!</v>
      </c>
      <c r="ER13" s="7" t="e">
        <f t="shared" si="207"/>
        <v>#NUM!</v>
      </c>
      <c r="ES13" s="21">
        <f t="shared" si="132"/>
        <v>0.95693248660989516</v>
      </c>
      <c r="ET13" s="5">
        <f t="shared" si="44"/>
        <v>-0.13248962296670794</v>
      </c>
      <c r="EU13" s="10">
        <f t="shared" si="45"/>
        <v>-0.2583151483686979</v>
      </c>
      <c r="EV13" s="174" t="e">
        <f t="shared" si="46"/>
        <v>#NUM!</v>
      </c>
      <c r="EW13" s="9" t="e">
        <f t="shared" si="133"/>
        <v>#NUM!</v>
      </c>
      <c r="EX13" s="5" t="e">
        <f t="shared" si="47"/>
        <v>#NUM!</v>
      </c>
      <c r="EY13" s="6">
        <f t="shared" si="208"/>
        <v>-0.2583151483686979</v>
      </c>
      <c r="EZ13" s="51" t="e">
        <f t="shared" si="209"/>
        <v>#NUM!</v>
      </c>
      <c r="FA13" s="266" t="e">
        <f t="shared" si="134"/>
        <v>#NUM!</v>
      </c>
      <c r="FB13" s="267" t="e">
        <f t="shared" si="135"/>
        <v>#NUM!</v>
      </c>
      <c r="FC13" s="269" t="e">
        <f t="shared" si="48"/>
        <v>#NUM!</v>
      </c>
      <c r="FD13" s="4" t="e">
        <f t="shared" si="136"/>
        <v>#NUM!</v>
      </c>
      <c r="FE13" s="5" t="e">
        <f t="shared" si="49"/>
        <v>#NUM!</v>
      </c>
      <c r="FF13" s="7" t="e">
        <f t="shared" si="210"/>
        <v>#NUM!</v>
      </c>
      <c r="FG13" s="173" t="e">
        <f t="shared" si="211"/>
        <v>#NUM!</v>
      </c>
      <c r="FH13" s="5" t="e">
        <f t="shared" si="50"/>
        <v>#NUM!</v>
      </c>
      <c r="FI13" s="10" t="e">
        <f t="shared" si="51"/>
        <v>#NUM!</v>
      </c>
      <c r="FJ13" s="279" t="e">
        <f t="shared" si="212"/>
        <v>#NUM!</v>
      </c>
      <c r="FK13" s="4">
        <f t="shared" si="52"/>
        <v>0.96606070416059131</v>
      </c>
      <c r="FL13" s="5" t="e">
        <f t="shared" si="213"/>
        <v>#NUM!</v>
      </c>
      <c r="FM13" s="8" t="e">
        <f t="shared" si="214"/>
        <v>#NUM!</v>
      </c>
      <c r="FN13" s="9" t="e">
        <f t="shared" si="215"/>
        <v>#NUM!</v>
      </c>
      <c r="FO13" s="10" t="e">
        <f t="shared" si="53"/>
        <v>#NUM!</v>
      </c>
      <c r="FP13" s="277" t="e">
        <f t="shared" si="54"/>
        <v>#NUM!</v>
      </c>
      <c r="FQ13" s="173" t="e">
        <f t="shared" si="243"/>
        <v>#NUM!</v>
      </c>
      <c r="FR13" s="10" t="e">
        <f t="shared" si="216"/>
        <v>#NUM!</v>
      </c>
      <c r="FS13" s="9" t="e">
        <f t="shared" si="217"/>
        <v>#NUM!</v>
      </c>
      <c r="FT13" s="6" t="e">
        <f t="shared" si="218"/>
        <v>#NUM!</v>
      </c>
      <c r="FU13" s="4" t="e">
        <f t="shared" si="219"/>
        <v>#NUM!</v>
      </c>
      <c r="FV13" s="5" t="e">
        <f t="shared" si="220"/>
        <v>#NUM!</v>
      </c>
      <c r="FW13" s="8" t="e">
        <f t="shared" si="244"/>
        <v>#NUM!</v>
      </c>
      <c r="FX13" s="9" t="e">
        <f t="shared" si="245"/>
        <v>#NUM!</v>
      </c>
      <c r="FY13" s="10" t="e">
        <f t="shared" si="55"/>
        <v>#NUM!</v>
      </c>
      <c r="FZ13" s="277" t="e">
        <f t="shared" si="246"/>
        <v>#NUM!</v>
      </c>
      <c r="GA13" s="177" t="e">
        <f t="shared" si="221"/>
        <v>#NUM!</v>
      </c>
      <c r="GB13" s="4" t="e">
        <f t="shared" si="222"/>
        <v>#NUM!</v>
      </c>
      <c r="GC13" s="5" t="e">
        <f t="shared" si="223"/>
        <v>#NUM!</v>
      </c>
      <c r="GD13" s="10" t="e">
        <f t="shared" si="224"/>
        <v>#NUM!</v>
      </c>
      <c r="GE13" s="311" t="e">
        <f t="shared" si="225"/>
        <v>#NUM!</v>
      </c>
      <c r="GF13" s="341" t="e">
        <f t="shared" si="247"/>
        <v>#NUM!</v>
      </c>
      <c r="GG13" s="285" t="e">
        <f t="shared" si="56"/>
        <v>#NUM!</v>
      </c>
      <c r="GH13" s="286" t="e">
        <f t="shared" si="57"/>
        <v>#NUM!</v>
      </c>
      <c r="GI13" s="281" t="e">
        <f t="shared" si="58"/>
        <v>#NUM!</v>
      </c>
      <c r="GJ13" s="167">
        <f t="shared" si="226"/>
        <v>3.1920000000000002</v>
      </c>
      <c r="GK13" s="174">
        <f t="shared" si="59"/>
        <v>1.6713849997078718</v>
      </c>
      <c r="GL13" s="174">
        <f t="shared" si="227"/>
        <v>3.1199999999999999E-2</v>
      </c>
      <c r="GM13" s="177">
        <f t="shared" si="248"/>
        <v>0.62576654389062714</v>
      </c>
      <c r="GN13" s="280">
        <f t="shared" si="228"/>
        <v>3.2703924769393433E-2</v>
      </c>
      <c r="GO13" s="4" t="e">
        <f t="shared" si="229"/>
        <v>#NUM!</v>
      </c>
      <c r="GP13" s="8" t="e">
        <f t="shared" si="249"/>
        <v>#NUM!</v>
      </c>
      <c r="GQ13" s="177" t="e">
        <f t="shared" si="230"/>
        <v>#NUM!</v>
      </c>
      <c r="GR13" s="371" t="e">
        <f t="shared" si="250"/>
        <v>#NUM!</v>
      </c>
      <c r="GS13" s="342" t="e">
        <f t="shared" si="61"/>
        <v>#NUM!</v>
      </c>
      <c r="GT13" s="343" t="e">
        <f t="shared" si="62"/>
        <v>#NUM!</v>
      </c>
      <c r="GU13" s="344">
        <f t="shared" si="63"/>
        <v>1538.3427537311252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 t="e">
        <f t="shared" si="66"/>
        <v>#NUM!</v>
      </c>
      <c r="GZ13" s="345" t="e">
        <f t="shared" si="67"/>
        <v>#NUM!</v>
      </c>
      <c r="HA13" s="342" t="e">
        <f t="shared" si="68"/>
        <v>#NUM!</v>
      </c>
      <c r="HB13" s="5" t="e">
        <f t="shared" si="231"/>
        <v>#NUM!</v>
      </c>
      <c r="HC13" s="343" t="e">
        <f t="shared" si="232"/>
        <v>#NUM!</v>
      </c>
      <c r="HD13" s="345" t="e">
        <f t="shared" si="233"/>
        <v>#NUM!</v>
      </c>
      <c r="HE13" s="344" t="e">
        <f t="shared" si="69"/>
        <v>#NUM!</v>
      </c>
      <c r="HF13" s="5" t="e">
        <f t="shared" si="70"/>
        <v>#NUM!</v>
      </c>
      <c r="HG13" s="343" t="e">
        <f t="shared" si="234"/>
        <v>#NUM!</v>
      </c>
      <c r="HH13" s="349" t="e">
        <f t="shared" si="235"/>
        <v>#NUM!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5.1050000000000004</v>
      </c>
      <c r="HM13" s="909" t="e">
        <f t="shared" si="138"/>
        <v>#NUM!</v>
      </c>
      <c r="HN13" s="910">
        <f t="shared" si="73"/>
        <v>15.999997689886136</v>
      </c>
      <c r="HO13" s="911"/>
      <c r="HP13" s="912"/>
      <c r="HQ13" s="910" t="e">
        <f t="shared" si="74"/>
        <v>#NUM!</v>
      </c>
      <c r="HR13" s="913" t="e">
        <f t="shared" si="75"/>
        <v>#NUM!</v>
      </c>
      <c r="HS13" s="865">
        <f t="shared" ref="HS13:HS41" si="251">IFERROR(SMALL($GJ$9:$GJ$150,($HK12+1)),"")</f>
        <v>1.161</v>
      </c>
      <c r="HT13" s="875">
        <f t="shared" si="76"/>
        <v>5.6800000000000003E-2</v>
      </c>
      <c r="HU13" s="876">
        <f t="shared" si="77"/>
        <v>0.41445152866486568</v>
      </c>
      <c r="HV13" s="872">
        <f t="shared" si="78"/>
        <v>2.1660141064340607E-2</v>
      </c>
      <c r="HW13" s="866">
        <f t="shared" si="79"/>
        <v>29500</v>
      </c>
      <c r="HX13" s="867">
        <f t="shared" si="80"/>
        <v>162.11430000000001</v>
      </c>
      <c r="HY13" s="866" t="e">
        <f t="shared" si="81"/>
        <v>#NUM!</v>
      </c>
      <c r="HZ13" s="868">
        <f>IF(ISNUMBER($HL13),INDEX(GU$9:GU$150,MATCH($HL13,$AV$9:$AV$150,0)),"")</f>
        <v>1018.8600079677949</v>
      </c>
      <c r="IA13" s="869" t="e">
        <f t="shared" si="83"/>
        <v>#NUM!</v>
      </c>
      <c r="IB13" s="870" t="e">
        <f t="shared" si="84"/>
        <v>#NUM!</v>
      </c>
      <c r="IC13" s="841" t="e">
        <f t="shared" si="85"/>
        <v>#NUM!</v>
      </c>
      <c r="ID13" s="351">
        <f t="shared" si="86"/>
        <v>1675.6000000000001</v>
      </c>
      <c r="IE13" s="843" t="e">
        <f t="shared" si="87"/>
        <v>#NUM!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0.10010933595469798</v>
      </c>
      <c r="C14" s="572">
        <f t="shared" si="3"/>
        <v>3.7976922173198</v>
      </c>
      <c r="D14" s="576">
        <f t="shared" si="4"/>
        <v>-0.76830231719978814</v>
      </c>
      <c r="E14" s="580">
        <f t="shared" si="5"/>
        <v>-0.93407175922206021</v>
      </c>
      <c r="F14" s="572">
        <f t="shared" si="6"/>
        <v>0.24370140695218173</v>
      </c>
      <c r="G14" s="579">
        <f t="shared" si="7"/>
        <v>0.26099726602654799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0.10010933595469798</v>
      </c>
      <c r="O14" s="572">
        <f t="shared" si="14"/>
        <v>3.7976922173198</v>
      </c>
      <c r="P14" s="576">
        <f t="shared" si="15"/>
        <v>-0.76830231719978814</v>
      </c>
      <c r="Q14" s="528">
        <f t="shared" si="140"/>
        <v>88.490000218016988</v>
      </c>
      <c r="R14" s="572">
        <f t="shared" si="101"/>
        <v>3.7990114578185561</v>
      </c>
      <c r="S14" s="577">
        <f>IF(M14="","",P14)</f>
        <v>-0.76830231719978814</v>
      </c>
      <c r="T14" s="578">
        <f t="shared" si="103"/>
        <v>3.7978447833969629</v>
      </c>
      <c r="U14" s="572">
        <f t="shared" si="104"/>
        <v>-9.4143814779021603E-2</v>
      </c>
      <c r="V14" s="579">
        <f t="shared" si="141"/>
        <v>-0.76830231719978814</v>
      </c>
      <c r="W14" s="528">
        <f>IF(M14="","",IF(Q14-$Q$8&lt;0,360+Q14-$Q$8,Q14-$Q$8))</f>
        <v>358.5800002050226</v>
      </c>
      <c r="X14" s="572">
        <f t="shared" si="105"/>
        <v>3.7990114578185561</v>
      </c>
      <c r="Y14" s="573">
        <f t="shared" si="17"/>
        <v>-0.76830231719978814</v>
      </c>
      <c r="Z14" s="575">
        <f t="shared" si="18"/>
        <v>0.93407175922206021</v>
      </c>
      <c r="AA14" s="572">
        <f t="shared" si="19"/>
        <v>-0.24370140695218173</v>
      </c>
      <c r="AB14" s="572">
        <f t="shared" si="20"/>
        <v>-0.26099726602654799</v>
      </c>
      <c r="AC14" s="579">
        <f t="shared" si="106"/>
        <v>1</v>
      </c>
      <c r="AD14" s="580">
        <f>IF(M14="","",Z14*(1/SQRT(Z14^2+AA14^2+AB14^2)))</f>
        <v>0.93407175922206021</v>
      </c>
      <c r="AE14" s="572">
        <f t="shared" si="107"/>
        <v>-0.24370140695218173</v>
      </c>
      <c r="AF14" s="576">
        <f t="shared" si="108"/>
        <v>-0.26099726602654799</v>
      </c>
      <c r="AG14" s="545">
        <f t="shared" si="109"/>
        <v>-43.037260418623788</v>
      </c>
      <c r="AH14" s="546">
        <f t="shared" si="110"/>
        <v>20.921305032811738</v>
      </c>
      <c r="AI14" s="528">
        <f t="shared" si="111"/>
        <v>-74.870755396887432</v>
      </c>
      <c r="AJ14" s="529">
        <f t="shared" si="112"/>
        <v>75.377373606285801</v>
      </c>
      <c r="AK14" s="578">
        <f>IF(M14="","",(COS(RADIANS((90-$Q$8)-W14))*AD14)+(-SIN(RADIANS((90-$Q$8)-W14))*AE14))</f>
        <v>0.94016927195264832</v>
      </c>
      <c r="AL14" s="572">
        <f t="shared" si="113"/>
        <v>-0.21900266483012135</v>
      </c>
      <c r="AM14" s="577">
        <f t="shared" si="114"/>
        <v>-0.26099726602654799</v>
      </c>
      <c r="AN14" s="524">
        <f t="shared" si="115"/>
        <v>-39.999994224715344</v>
      </c>
      <c r="AO14" s="525">
        <f t="shared" si="116"/>
        <v>19.919997123908249</v>
      </c>
      <c r="AP14" s="528">
        <f>IF(M14="","",DEGREES(ATAN2(AK14,AL14)))</f>
        <v>-13.112626611731178</v>
      </c>
      <c r="AQ14" s="529">
        <f t="shared" si="21"/>
        <v>0.40004961131236649</v>
      </c>
      <c r="AS14" s="932">
        <f t="shared" si="143"/>
        <v>-1.4199997949774001</v>
      </c>
      <c r="AT14" s="928">
        <f>IF(M14="","",Y14+(((AS14-$AS$9)*$AS$6)*-1))</f>
        <v>-0.76760324322664786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0.62261823991684562</v>
      </c>
      <c r="BA14" s="296">
        <f t="shared" si="24"/>
        <v>3.2539387535316357E-2</v>
      </c>
      <c r="BB14" s="291">
        <f>IF(ISNUMBER($AV14),$AX14-($AT14+$AS$5),"")</f>
        <v>0.30393657655998124</v>
      </c>
      <c r="BC14" s="9"/>
      <c r="BD14" s="5">
        <f t="shared" si="146"/>
        <v>3.9011999999999998</v>
      </c>
      <c r="BE14" s="6">
        <f>IF(ISNUMBER(AV14),Y14+BB14,"")</f>
        <v>-0.4643657406398069</v>
      </c>
      <c r="BF14" s="4">
        <f t="shared" si="26"/>
        <v>0.10010933595469798</v>
      </c>
      <c r="BG14" s="5">
        <f t="shared" si="27"/>
        <v>3.7976922173198</v>
      </c>
      <c r="BH14" s="10">
        <f t="shared" si="28"/>
        <v>-0.76830231719978814</v>
      </c>
      <c r="BI14" s="9">
        <f t="shared" si="147"/>
        <v>0.10010933595469798</v>
      </c>
      <c r="BJ14" s="5">
        <f t="shared" si="29"/>
        <v>4.5286022492033036</v>
      </c>
      <c r="BK14" s="8">
        <f t="shared" si="30"/>
        <v>-1.4507761447507463</v>
      </c>
      <c r="BL14" s="173">
        <f t="shared" si="31"/>
        <v>0.45719468796987872</v>
      </c>
      <c r="BM14" s="5">
        <f t="shared" si="32"/>
        <v>4.4351717460433369</v>
      </c>
      <c r="BN14" s="6">
        <f t="shared" si="33"/>
        <v>-8.5579897885311507E-2</v>
      </c>
      <c r="BO14" s="4">
        <f t="shared" si="148"/>
        <v>0.93407175922205976</v>
      </c>
      <c r="BP14" s="5">
        <f t="shared" si="239"/>
        <v>-0.24370140695218168</v>
      </c>
      <c r="BQ14" s="5">
        <f t="shared" si="149"/>
        <v>-0.26099726602654783</v>
      </c>
      <c r="BR14" s="6">
        <f t="shared" si="150"/>
        <v>0.63146882871142251</v>
      </c>
      <c r="BS14" s="4">
        <f t="shared" si="118"/>
        <v>0</v>
      </c>
      <c r="BT14" s="5">
        <f t="shared" si="118"/>
        <v>0</v>
      </c>
      <c r="BU14" s="10">
        <f t="shared" si="119"/>
        <v>-0.4643657406398069</v>
      </c>
      <c r="BV14" s="9">
        <f t="shared" si="120"/>
        <v>0</v>
      </c>
      <c r="BW14" s="5">
        <f t="shared" si="121"/>
        <v>1</v>
      </c>
      <c r="BX14" s="8">
        <f t="shared" si="122"/>
        <v>-0.4643657406398069</v>
      </c>
      <c r="BY14" s="173">
        <f t="shared" si="123"/>
        <v>1</v>
      </c>
      <c r="BZ14" s="5">
        <f t="shared" si="124"/>
        <v>0</v>
      </c>
      <c r="CA14" s="6">
        <f t="shared" si="125"/>
        <v>-0.4643657406398069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-0.4643657406398069</v>
      </c>
      <c r="CF14" s="4">
        <f t="shared" si="155"/>
        <v>0.24370140695218168</v>
      </c>
      <c r="CG14" s="5">
        <f t="shared" si="156"/>
        <v>0.93407175922205976</v>
      </c>
      <c r="CH14" s="5">
        <f t="shared" si="157"/>
        <v>0</v>
      </c>
      <c r="CI14" s="4">
        <f t="shared" si="126"/>
        <v>0</v>
      </c>
      <c r="CJ14" s="5">
        <f t="shared" si="127"/>
        <v>3.0884803943806984</v>
      </c>
      <c r="CK14" s="8">
        <f t="shared" si="128"/>
        <v>-0.4643657406398069</v>
      </c>
      <c r="CL14" s="173">
        <f t="shared" si="129"/>
        <v>0.24370140695218168</v>
      </c>
      <c r="CM14" s="5">
        <f t="shared" si="130"/>
        <v>4.0225521536027582</v>
      </c>
      <c r="CN14" s="6">
        <f t="shared" si="131"/>
        <v>-0.4643657406398069</v>
      </c>
      <c r="CO14" s="167">
        <f t="shared" si="35"/>
        <v>0.3125</v>
      </c>
      <c r="CP14" s="4">
        <f t="shared" si="240"/>
        <v>0.93188042712666652</v>
      </c>
      <c r="CQ14" s="5">
        <f t="shared" si="241"/>
        <v>-1.3737030422700383</v>
      </c>
      <c r="CR14" s="5">
        <f t="shared" si="158"/>
        <v>0.50772448151289495</v>
      </c>
      <c r="CS14" s="8">
        <f t="shared" si="159"/>
        <v>-5.4939784376488721E-3</v>
      </c>
      <c r="CT14" s="9" t="e">
        <f t="shared" si="160"/>
        <v>#NUM!</v>
      </c>
      <c r="CU14" s="6" t="e">
        <f t="shared" si="161"/>
        <v>#NUM!</v>
      </c>
      <c r="CV14" s="4" t="e">
        <f>IF(ISNUMBER($AV14),CI14+($CT14*(CL14-CI14)),"")</f>
        <v>#NUM!</v>
      </c>
      <c r="CW14" s="5" t="e">
        <f t="shared" si="162"/>
        <v>#NUM!</v>
      </c>
      <c r="CX14" s="8" t="e">
        <f t="shared" si="163"/>
        <v>#NUM!</v>
      </c>
      <c r="CY14" s="9" t="e">
        <f t="shared" si="164"/>
        <v>#NUM!</v>
      </c>
      <c r="CZ14" s="5" t="e">
        <f t="shared" si="165"/>
        <v>#NUM!</v>
      </c>
      <c r="DA14" s="6" t="e">
        <f t="shared" si="166"/>
        <v>#NUM!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 t="e">
        <f t="shared" si="175"/>
        <v>#NUM!</v>
      </c>
      <c r="DM14" s="173" t="e">
        <f t="shared" si="176"/>
        <v>#NUM!</v>
      </c>
      <c r="DN14" s="178" t="e">
        <f t="shared" si="177"/>
        <v>#NUM!</v>
      </c>
      <c r="DO14" s="9" t="e">
        <f t="shared" si="178"/>
        <v>#NUM!</v>
      </c>
      <c r="DP14" s="173" t="e">
        <f t="shared" si="179"/>
        <v>#NUM!</v>
      </c>
      <c r="DQ14" s="11" t="e">
        <f t="shared" si="180"/>
        <v>#NUM!</v>
      </c>
      <c r="DR14" s="173" t="e">
        <f t="shared" si="181"/>
        <v>#NUM!</v>
      </c>
      <c r="DS14" s="5" t="e">
        <f t="shared" si="182"/>
        <v>#NUM!</v>
      </c>
      <c r="DT14" s="5">
        <f t="shared" si="183"/>
        <v>400</v>
      </c>
      <c r="DU14" s="5" t="e">
        <f t="shared" si="184"/>
        <v>#NUM!</v>
      </c>
      <c r="DV14" s="5" t="e">
        <f t="shared" si="185"/>
        <v>#NUM!</v>
      </c>
      <c r="DW14" s="5" t="e">
        <f t="shared" si="186"/>
        <v>#NUM!</v>
      </c>
      <c r="DX14" s="167" t="e">
        <f t="shared" si="187"/>
        <v>#NUM!</v>
      </c>
      <c r="DY14" s="9" t="e">
        <f t="shared" si="188"/>
        <v>#NUM!</v>
      </c>
      <c r="DZ14" s="5" t="e">
        <f t="shared" si="189"/>
        <v>#NUM!</v>
      </c>
      <c r="EA14" s="10" t="e">
        <f t="shared" si="190"/>
        <v>#NUM!</v>
      </c>
      <c r="EB14" s="6" t="e">
        <f t="shared" si="191"/>
        <v>#NUM!</v>
      </c>
      <c r="EC14" s="173" t="e">
        <f t="shared" si="192"/>
        <v>#NUM!</v>
      </c>
      <c r="ED14" s="5" t="e">
        <f t="shared" si="193"/>
        <v>#NUM!</v>
      </c>
      <c r="EE14" s="4" t="e">
        <f t="shared" si="194"/>
        <v>#NUM!</v>
      </c>
      <c r="EF14" s="5" t="e">
        <f t="shared" si="195"/>
        <v>#NUM!</v>
      </c>
      <c r="EG14" s="10" t="e">
        <f t="shared" si="196"/>
        <v>#NUM!</v>
      </c>
      <c r="EH14" s="9" t="e">
        <f t="shared" si="197"/>
        <v>#NUM!</v>
      </c>
      <c r="EI14" s="5" t="e">
        <f t="shared" si="198"/>
        <v>#NUM!</v>
      </c>
      <c r="EJ14" s="6" t="e">
        <f t="shared" si="199"/>
        <v>#NUM!</v>
      </c>
      <c r="EK14" s="236" t="e">
        <f t="shared" si="200"/>
        <v>#NUM!</v>
      </c>
      <c r="EL14" s="238" t="e">
        <f t="shared" si="201"/>
        <v>#NUM!</v>
      </c>
      <c r="EM14" s="4" t="e">
        <f t="shared" si="202"/>
        <v>#NUM!</v>
      </c>
      <c r="EN14" s="5" t="e">
        <f t="shared" si="203"/>
        <v>#NUM!</v>
      </c>
      <c r="EO14" s="10" t="e">
        <f t="shared" si="204"/>
        <v>#NUM!</v>
      </c>
      <c r="EP14" s="9" t="e">
        <f>IF(ISNUMBER($AV14),IF(DEGREES(ATAN2(EM14,EN14))&lt;0,DEGREES(ATAN2(EM14,EN14))+360,IF(DEGREES(ATAN2(EM14,EN14))&gt;360,DEGREES(ATAN2(EM14,EN14))-360,DEGREES(ATAN2(EM14,EN14)))),"")</f>
        <v>#NUM!</v>
      </c>
      <c r="EQ14" s="5" t="e">
        <f t="shared" si="206"/>
        <v>#NUM!</v>
      </c>
      <c r="ER14" s="7" t="e">
        <f t="shared" si="207"/>
        <v>#NUM!</v>
      </c>
      <c r="ES14" s="21">
        <f>IF(ISNUMBER($AV14),AD14,"")</f>
        <v>0.93407175922206021</v>
      </c>
      <c r="ET14" s="5">
        <f t="shared" si="44"/>
        <v>-0.24370140695218173</v>
      </c>
      <c r="EU14" s="10">
        <f t="shared" si="45"/>
        <v>-0.26099726602654799</v>
      </c>
      <c r="EV14" s="174" t="e">
        <f t="shared" si="46"/>
        <v>#NUM!</v>
      </c>
      <c r="EW14" s="9" t="e">
        <f>IF(ISNUMBER($AV14),(COS(RADIANS($EV14))*ES14)+(-SIN(RADIANS($EV14))*ET14),"")</f>
        <v>#NUM!</v>
      </c>
      <c r="EX14" s="5" t="e">
        <f t="shared" si="47"/>
        <v>#NUM!</v>
      </c>
      <c r="EY14" s="6">
        <f t="shared" si="208"/>
        <v>-0.26099726602654799</v>
      </c>
      <c r="EZ14" s="51" t="e">
        <f>IF(ISNUMBER($AV14),DEGREES(ATAN($AS$5/($EQ14*2*PI()))),"")</f>
        <v>#NUM!</v>
      </c>
      <c r="FA14" s="266" t="e">
        <f>IF(ISNUMBER($AV14),SIN(RADIANS($EP14))*COS(RADIANS($EZ14)),"")</f>
        <v>#NUM!</v>
      </c>
      <c r="FB14" s="267" t="e">
        <f>IF(ISNUMBER($AV14),-1*COS(RADIANS($EP14))*COS(RADIANS($EZ14)),"")</f>
        <v>#NUM!</v>
      </c>
      <c r="FC14" s="269" t="e">
        <f>IF(ISNUMBER($AV14),-1*SIN(RADIANS($EZ14)),"")</f>
        <v>#NUM!</v>
      </c>
      <c r="FD14" s="4" t="e">
        <f>IF(ISNUMBER($AV14),(COS(RADIANS($EV14))*FA14)+(-SIN(RADIANS($EV14))*FB14),"")</f>
        <v>#NUM!</v>
      </c>
      <c r="FE14" s="5" t="e">
        <f t="shared" si="49"/>
        <v>#NUM!</v>
      </c>
      <c r="FF14" s="7" t="e">
        <f t="shared" si="210"/>
        <v>#NUM!</v>
      </c>
      <c r="FG14" s="173" t="e">
        <f>IF(ISNUMBER($AV14),EW14-FD14,"")</f>
        <v>#NUM!</v>
      </c>
      <c r="FH14" s="5" t="e">
        <f>IF(ISNUMBER($AV14),EX14-FE14,"")</f>
        <v>#NUM!</v>
      </c>
      <c r="FI14" s="10" t="e">
        <f>IF(ISNUMBER($AV14),EY14-FF14,"")</f>
        <v>#NUM!</v>
      </c>
      <c r="FJ14" s="971" t="e">
        <f>IF(ISNUMBER($AV14),DEGREES(ACOS((2-SQRT((FG14)^2+(FH14)^2+(FI14)^2)^2)/2)),"")</f>
        <v>#NUM!</v>
      </c>
      <c r="FK14" s="4">
        <f t="shared" si="52"/>
        <v>0.96533953981315157</v>
      </c>
      <c r="FL14" s="5" t="e">
        <f t="shared" si="213"/>
        <v>#NUM!</v>
      </c>
      <c r="FM14" s="8" t="e">
        <f t="shared" si="214"/>
        <v>#NUM!</v>
      </c>
      <c r="FN14" s="9" t="e">
        <f>IF(ISNUMBER($AV14),DEGREES(ACOS((FK14^2+FL14^2-FM14^2)/(2*FK14*FL14))),"")</f>
        <v>#NUM!</v>
      </c>
      <c r="FO14" s="10" t="e">
        <f t="shared" si="53"/>
        <v>#NUM!</v>
      </c>
      <c r="FP14" s="277" t="e">
        <f>IF(ISNUMBER($AV14),FN14*FO14,"")</f>
        <v>#NUM!</v>
      </c>
      <c r="FQ14" s="173" t="e">
        <f t="shared" si="243"/>
        <v>#NUM!</v>
      </c>
      <c r="FR14" s="10" t="e">
        <f t="shared" si="216"/>
        <v>#NUM!</v>
      </c>
      <c r="FS14" s="9" t="e">
        <f t="shared" si="217"/>
        <v>#NUM!</v>
      </c>
      <c r="FT14" s="6" t="e">
        <f t="shared" si="218"/>
        <v>#NUM!</v>
      </c>
      <c r="FU14" s="4" t="e">
        <f t="shared" si="219"/>
        <v>#NUM!</v>
      </c>
      <c r="FV14" s="5" t="e">
        <f t="shared" si="220"/>
        <v>#NUM!</v>
      </c>
      <c r="FW14" s="8" t="e">
        <f t="shared" si="244"/>
        <v>#NUM!</v>
      </c>
      <c r="FX14" s="9" t="e">
        <f t="shared" si="245"/>
        <v>#NUM!</v>
      </c>
      <c r="FY14" s="10" t="e">
        <f t="shared" si="55"/>
        <v>#NUM!</v>
      </c>
      <c r="FZ14" s="277" t="e">
        <f t="shared" si="246"/>
        <v>#NUM!</v>
      </c>
      <c r="GA14" s="177" t="e">
        <f t="shared" si="221"/>
        <v>#NUM!</v>
      </c>
      <c r="GB14" s="4" t="e">
        <f>IF(ISNUMBER($AV14),COS(RADIANS(FP14+90))*COS(RADIANS(FZ14)),"")</f>
        <v>#NUM!</v>
      </c>
      <c r="GC14" s="5" t="e">
        <f t="shared" si="223"/>
        <v>#NUM!</v>
      </c>
      <c r="GD14" s="10" t="e">
        <f t="shared" si="224"/>
        <v>#NUM!</v>
      </c>
      <c r="GE14" s="311" t="e">
        <f t="shared" si="225"/>
        <v>#NUM!</v>
      </c>
      <c r="GF14" s="341" t="e">
        <f>IF(ISNUMBER($AV14),1/GE14,"")</f>
        <v>#NUM!</v>
      </c>
      <c r="GG14" s="285" t="e">
        <f>IF(ISNUMBER($AV14),ABS(GB14)/(ABS($GB14)+ABS($GC14)+ABS($GD14)),"")</f>
        <v>#NUM!</v>
      </c>
      <c r="GH14" s="286" t="e">
        <f>IF(ISNUMBER($AV14),ABS(GC14)/(ABS($GB14)+ABS($GC14)+ABS($GD14)),"")</f>
        <v>#NUM!</v>
      </c>
      <c r="GI14" s="281" t="e">
        <f t="shared" si="58"/>
        <v>#NUM!</v>
      </c>
      <c r="GJ14" s="167">
        <f t="shared" si="226"/>
        <v>3.9011999999999998</v>
      </c>
      <c r="GK14" s="174">
        <f t="shared" si="59"/>
        <v>2.0427107608820396</v>
      </c>
      <c r="GL14" s="174">
        <f t="shared" si="227"/>
        <v>2.5399999999999999E-2</v>
      </c>
      <c r="GM14" s="177">
        <f t="shared" si="248"/>
        <v>0.62261823991684562</v>
      </c>
      <c r="GN14" s="280">
        <f t="shared" si="228"/>
        <v>3.2539387535316357E-2</v>
      </c>
      <c r="GO14" s="4" t="e">
        <f t="shared" si="229"/>
        <v>#NUM!</v>
      </c>
      <c r="GP14" s="8" t="e">
        <f t="shared" si="249"/>
        <v>#NUM!</v>
      </c>
      <c r="GQ14" s="177" t="e">
        <f t="shared" si="230"/>
        <v>#NUM!</v>
      </c>
      <c r="GR14" s="371" t="e">
        <f t="shared" si="250"/>
        <v>#NUM!</v>
      </c>
      <c r="GS14" s="342" t="e">
        <f>IF(ISNUMBER($AV14),GU14/GH14*GG14,"")</f>
        <v>#NUM!</v>
      </c>
      <c r="GT14" s="343" t="e">
        <f t="shared" si="62"/>
        <v>#NUM!</v>
      </c>
      <c r="GU14" s="344">
        <f t="shared" si="63"/>
        <v>1530.6031731289122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 t="e">
        <f t="shared" si="66"/>
        <v>#NUM!</v>
      </c>
      <c r="GZ14" s="345" t="e">
        <f t="shared" si="67"/>
        <v>#NUM!</v>
      </c>
      <c r="HA14" s="342" t="e">
        <f t="shared" si="68"/>
        <v>#NUM!</v>
      </c>
      <c r="HB14" s="5" t="e">
        <f t="shared" si="231"/>
        <v>#NUM!</v>
      </c>
      <c r="HC14" s="343" t="e">
        <f t="shared" si="232"/>
        <v>#NUM!</v>
      </c>
      <c r="HD14" s="345" t="e">
        <f t="shared" si="233"/>
        <v>#NUM!</v>
      </c>
      <c r="HE14" s="344" t="e">
        <f t="shared" si="69"/>
        <v>#NUM!</v>
      </c>
      <c r="HF14" s="5" t="e">
        <f t="shared" si="70"/>
        <v>#NUM!</v>
      </c>
      <c r="HG14" s="343" t="e">
        <f t="shared" si="234"/>
        <v>#NUM!</v>
      </c>
      <c r="HH14" s="349" t="e">
        <f t="shared" si="235"/>
        <v>#NUM!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3.1059999999999999</v>
      </c>
      <c r="HM14" s="909" t="e">
        <f t="shared" si="138"/>
        <v>#VALUE!</v>
      </c>
      <c r="HN14" s="910">
        <f t="shared" si="73"/>
        <v>15.99999768988615</v>
      </c>
      <c r="HO14" s="911"/>
      <c r="HP14" s="912"/>
      <c r="HQ14" s="910" t="e">
        <f t="shared" si="74"/>
        <v>#VALUE!</v>
      </c>
      <c r="HR14" s="913" t="e">
        <f t="shared" si="75"/>
        <v>#VALUE!</v>
      </c>
      <c r="HS14" s="865">
        <f t="shared" si="251"/>
        <v>1.3966000000000001</v>
      </c>
      <c r="HT14" s="875">
        <f t="shared" si="76"/>
        <v>6.0299999999999999E-2</v>
      </c>
      <c r="HU14" s="876">
        <f t="shared" si="77"/>
        <v>0.52923375691946128</v>
      </c>
      <c r="HV14" s="872">
        <f t="shared" si="78"/>
        <v>2.7658910724288652E-2</v>
      </c>
      <c r="HW14" s="866">
        <f t="shared" si="79"/>
        <v>29500</v>
      </c>
      <c r="HX14" s="867">
        <f t="shared" si="80"/>
        <v>207.0284925</v>
      </c>
      <c r="HY14" s="866" t="e">
        <f t="shared" si="81"/>
        <v>#VALUE!</v>
      </c>
      <c r="HZ14" s="868">
        <f t="shared" si="82"/>
        <v>1301.0329857603424</v>
      </c>
      <c r="IA14" s="869" t="e">
        <f t="shared" si="83"/>
        <v>#VALUE!</v>
      </c>
      <c r="IB14" s="870" t="e">
        <f t="shared" si="84"/>
        <v>#VALUE!</v>
      </c>
      <c r="IC14" s="841" t="e">
        <f t="shared" si="85"/>
        <v>#VALUE!</v>
      </c>
      <c r="ID14" s="351">
        <f t="shared" si="86"/>
        <v>1778.85</v>
      </c>
      <c r="IE14" s="843" t="e">
        <f t="shared" si="87"/>
        <v>#VALUE!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0.16450687213988019</v>
      </c>
      <c r="C15" s="572">
        <f t="shared" si="3"/>
        <v>4.2628398121922872</v>
      </c>
      <c r="D15" s="576">
        <f t="shared" si="4"/>
        <v>-1.351904077342698</v>
      </c>
      <c r="E15" s="580">
        <f t="shared" si="5"/>
        <v>-0.90541669478886366</v>
      </c>
      <c r="F15" s="572">
        <f t="shared" si="6"/>
        <v>0.35893103158796652</v>
      </c>
      <c r="G15" s="579">
        <f t="shared" si="7"/>
        <v>0.22669169230655117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310</v>
      </c>
      <c r="M15" s="164">
        <f t="shared" si="12"/>
        <v>1.129</v>
      </c>
      <c r="N15" s="575">
        <f t="shared" si="13"/>
        <v>0.16450687213988019</v>
      </c>
      <c r="O15" s="572">
        <f t="shared" si="14"/>
        <v>4.2628398121922872</v>
      </c>
      <c r="P15" s="576">
        <f t="shared" si="15"/>
        <v>-1.351904077342698</v>
      </c>
      <c r="Q15" s="528">
        <f t="shared" si="140"/>
        <v>87.79000031908447</v>
      </c>
      <c r="R15" s="572">
        <f t="shared" si="101"/>
        <v>4.2660128662948056</v>
      </c>
      <c r="S15" s="577">
        <f t="shared" si="102"/>
        <v>-1.351904077342698</v>
      </c>
      <c r="T15" s="578">
        <f t="shared" si="103"/>
        <v>4.2630929597739806</v>
      </c>
      <c r="U15" s="572">
        <f t="shared" si="104"/>
        <v>-0.1578106197894853</v>
      </c>
      <c r="V15" s="579">
        <f t="shared" si="141"/>
        <v>-1.351904077342698</v>
      </c>
      <c r="W15" s="528">
        <f t="shared" ref="W15:W78" si="253">IF(M15="","",IF(Q15-$Q$8&lt;0,360+Q15-$Q$8,Q15-$Q$8))</f>
        <v>357.8800003060901</v>
      </c>
      <c r="X15" s="572">
        <f>IF(M15="","",R15)</f>
        <v>4.2660128662948056</v>
      </c>
      <c r="Y15" s="573">
        <f t="shared" si="17"/>
        <v>-1.351904077342698</v>
      </c>
      <c r="Z15" s="575">
        <f t="shared" si="18"/>
        <v>0.90541669478886366</v>
      </c>
      <c r="AA15" s="572">
        <f t="shared" si="19"/>
        <v>-0.35893103158796652</v>
      </c>
      <c r="AB15" s="572">
        <f t="shared" si="20"/>
        <v>-0.22669169230655117</v>
      </c>
      <c r="AC15" s="579">
        <f t="shared" si="106"/>
        <v>1</v>
      </c>
      <c r="AD15" s="580">
        <f t="shared" si="142"/>
        <v>0.90541669478886366</v>
      </c>
      <c r="AE15" s="572">
        <f t="shared" si="107"/>
        <v>-0.35893103158796652</v>
      </c>
      <c r="AF15" s="576">
        <f t="shared" si="108"/>
        <v>-0.22669169230655117</v>
      </c>
      <c r="AG15" s="545">
        <f t="shared" si="109"/>
        <v>-57.724537213725334</v>
      </c>
      <c r="AH15" s="546">
        <f t="shared" si="110"/>
        <v>25.120536560841096</v>
      </c>
      <c r="AI15" s="528">
        <f t="shared" si="111"/>
        <v>-76.897624280442685</v>
      </c>
      <c r="AJ15" s="529">
        <f t="shared" si="112"/>
        <v>68.375320938497836</v>
      </c>
      <c r="AK15" s="578">
        <f t="shared" si="238"/>
        <v>0.91858441999813567</v>
      </c>
      <c r="AL15" s="572">
        <f t="shared" si="113"/>
        <v>-0.32374919301193755</v>
      </c>
      <c r="AM15" s="577">
        <f t="shared" si="114"/>
        <v>-0.22669169230655117</v>
      </c>
      <c r="AN15" s="524">
        <f>IF(M15="","",DEGREES(ATAN2(-AM15,AL15)))</f>
        <v>-54.999992058983644</v>
      </c>
      <c r="AO15" s="525">
        <f t="shared" si="116"/>
        <v>23.279996638784318</v>
      </c>
      <c r="AP15" s="528">
        <f t="shared" si="117"/>
        <v>-19.414679380586623</v>
      </c>
      <c r="AQ15" s="529">
        <f t="shared" si="21"/>
        <v>0.35625728658430389</v>
      </c>
      <c r="AS15" s="932">
        <f t="shared" si="143"/>
        <v>-2.1199996939099037</v>
      </c>
      <c r="AT15" s="928">
        <f t="shared" si="22"/>
        <v>-1.3508809293422741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0.49983246178344543</v>
      </c>
      <c r="BA15" s="296">
        <f t="shared" si="24"/>
        <v>2.6122334897986477E-2</v>
      </c>
      <c r="BB15" s="291">
        <f t="shared" si="145"/>
        <v>0.25491426267560735</v>
      </c>
      <c r="BC15" s="9"/>
      <c r="BD15" s="5">
        <f t="shared" si="146"/>
        <v>4.4440999999999997</v>
      </c>
      <c r="BE15" s="6">
        <f t="shared" si="25"/>
        <v>-1.0969898146670907</v>
      </c>
      <c r="BF15" s="4">
        <f t="shared" si="26"/>
        <v>0.16450687213988019</v>
      </c>
      <c r="BG15" s="5">
        <f t="shared" si="27"/>
        <v>4.2628398121922872</v>
      </c>
      <c r="BH15" s="10">
        <f t="shared" si="28"/>
        <v>-1.351904077342698</v>
      </c>
      <c r="BI15" s="9">
        <f t="shared" si="147"/>
        <v>0.16450687213988019</v>
      </c>
      <c r="BJ15" s="5">
        <f t="shared" si="29"/>
        <v>4.7968301248433605</v>
      </c>
      <c r="BK15" s="8">
        <f t="shared" si="30"/>
        <v>-2.19739467220157</v>
      </c>
      <c r="BL15" s="173">
        <f t="shared" si="31"/>
        <v>0.58903085120067444</v>
      </c>
      <c r="BM15" s="5">
        <f t="shared" si="32"/>
        <v>5.0283611120644771</v>
      </c>
      <c r="BN15" s="6">
        <f t="shared" si="33"/>
        <v>-0.8684203334128916</v>
      </c>
      <c r="BO15" s="4">
        <f t="shared" si="148"/>
        <v>0.90541669478886366</v>
      </c>
      <c r="BP15" s="5">
        <f t="shared" si="239"/>
        <v>-0.35893103158796624</v>
      </c>
      <c r="BQ15" s="5">
        <f t="shared" si="149"/>
        <v>-0.22669169230655117</v>
      </c>
      <c r="BR15" s="6">
        <f t="shared" si="150"/>
        <v>1.0746527997125432</v>
      </c>
      <c r="BS15" s="4">
        <f t="shared" si="118"/>
        <v>0</v>
      </c>
      <c r="BT15" s="5">
        <f t="shared" si="118"/>
        <v>0</v>
      </c>
      <c r="BU15" s="10">
        <f t="shared" si="119"/>
        <v>-1.0969898146670907</v>
      </c>
      <c r="BV15" s="9">
        <f t="shared" si="120"/>
        <v>0</v>
      </c>
      <c r="BW15" s="5">
        <f t="shared" si="121"/>
        <v>1</v>
      </c>
      <c r="BX15" s="8">
        <f t="shared" si="122"/>
        <v>-1.0969898146670907</v>
      </c>
      <c r="BY15" s="173">
        <f t="shared" si="123"/>
        <v>1</v>
      </c>
      <c r="BZ15" s="5">
        <f t="shared" si="124"/>
        <v>0</v>
      </c>
      <c r="CA15" s="6">
        <f t="shared" si="125"/>
        <v>-1.0969898146670907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-1.0969898146670907</v>
      </c>
      <c r="CF15" s="4">
        <f t="shared" si="155"/>
        <v>0.35893103158796624</v>
      </c>
      <c r="CG15" s="5">
        <f t="shared" si="156"/>
        <v>0.90541669478886366</v>
      </c>
      <c r="CH15" s="5">
        <f t="shared" si="157"/>
        <v>0</v>
      </c>
      <c r="CI15" s="4">
        <f t="shared" si="126"/>
        <v>0</v>
      </c>
      <c r="CJ15" s="5">
        <f t="shared" si="127"/>
        <v>3.6868678402863475</v>
      </c>
      <c r="CK15" s="8">
        <f t="shared" si="128"/>
        <v>-1.0969898146670907</v>
      </c>
      <c r="CL15" s="173">
        <f t="shared" si="129"/>
        <v>0.35893103158796624</v>
      </c>
      <c r="CM15" s="5">
        <f t="shared" si="130"/>
        <v>4.5922845350752111</v>
      </c>
      <c r="CN15" s="6">
        <f t="shared" si="131"/>
        <v>-1.0969898146670907</v>
      </c>
      <c r="CO15" s="167">
        <f t="shared" si="35"/>
        <v>0.3125</v>
      </c>
      <c r="CP15" s="4">
        <f t="shared" si="240"/>
        <v>0.94861087663919164</v>
      </c>
      <c r="CQ15" s="5">
        <f t="shared" si="241"/>
        <v>-1.161082520829154</v>
      </c>
      <c r="CR15" s="5">
        <f t="shared" si="158"/>
        <v>0.32613125471790738</v>
      </c>
      <c r="CS15" s="8">
        <f t="shared" si="159"/>
        <v>0.1106259984254081</v>
      </c>
      <c r="CT15" s="9">
        <f t="shared" si="160"/>
        <v>0.78730247877504278</v>
      </c>
      <c r="CU15" s="6">
        <f t="shared" si="161"/>
        <v>0.43667939769544695</v>
      </c>
      <c r="CV15" s="4">
        <f t="shared" si="242"/>
        <v>0.28258729087848899</v>
      </c>
      <c r="CW15" s="5">
        <f t="shared" si="162"/>
        <v>4.3997046484179263</v>
      </c>
      <c r="CX15" s="8">
        <f t="shared" si="163"/>
        <v>-1.0969898146670907</v>
      </c>
      <c r="CY15" s="9">
        <f t="shared" si="164"/>
        <v>0.15673778668803853</v>
      </c>
      <c r="CZ15" s="5">
        <f t="shared" si="165"/>
        <v>4.0822446572301505</v>
      </c>
      <c r="DA15" s="6">
        <f t="shared" si="166"/>
        <v>-1.0969898146670907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0.28258729087848899</v>
      </c>
      <c r="DM15" s="173">
        <f t="shared" si="176"/>
        <v>4.3997046484179263</v>
      </c>
      <c r="DN15" s="178">
        <f t="shared" si="177"/>
        <v>8.90301018533291</v>
      </c>
      <c r="DO15" s="9">
        <f t="shared" si="178"/>
        <v>-0.12584950419045046</v>
      </c>
      <c r="DP15" s="173">
        <f t="shared" si="179"/>
        <v>-0.31745999118777579</v>
      </c>
      <c r="DQ15" s="11">
        <f t="shared" si="180"/>
        <v>0</v>
      </c>
      <c r="DR15" s="173">
        <f t="shared" si="181"/>
        <v>178.0602037066582</v>
      </c>
      <c r="DS15" s="5">
        <f t="shared" si="182"/>
        <v>0</v>
      </c>
      <c r="DT15" s="5">
        <f t="shared" si="183"/>
        <v>400</v>
      </c>
      <c r="DU15" s="5">
        <f t="shared" si="184"/>
        <v>0.11661894370992489</v>
      </c>
      <c r="DV15" s="5">
        <f t="shared" si="185"/>
        <v>-1.4322936693631516</v>
      </c>
      <c r="DW15" s="5">
        <f t="shared" si="186"/>
        <v>98.700846930417882</v>
      </c>
      <c r="DX15" s="167">
        <f t="shared" si="187"/>
        <v>78.950822120417882</v>
      </c>
      <c r="DY15" s="9">
        <f t="shared" si="188"/>
        <v>46.647577483969954</v>
      </c>
      <c r="DZ15" s="5">
        <f t="shared" si="189"/>
        <v>-572.91746774526064</v>
      </c>
      <c r="EA15" s="10">
        <f t="shared" si="190"/>
        <v>-125.10729588946197</v>
      </c>
      <c r="EB15" s="6">
        <f t="shared" si="191"/>
        <v>334070.37712645542</v>
      </c>
      <c r="EC15" s="173">
        <f t="shared" si="192"/>
        <v>24.672356962758425</v>
      </c>
      <c r="ED15" s="5">
        <f t="shared" si="193"/>
        <v>-0.1087033435693491</v>
      </c>
      <c r="EE15" s="4">
        <f t="shared" si="194"/>
        <v>-2.822416600094467</v>
      </c>
      <c r="EF15" s="5">
        <f t="shared" si="195"/>
        <v>-3.4327815755610223</v>
      </c>
      <c r="EG15" s="10">
        <f t="shared" si="196"/>
        <v>-1.0969898146670907</v>
      </c>
      <c r="EH15" s="9">
        <f t="shared" si="197"/>
        <v>0.29626755277053579</v>
      </c>
      <c r="EI15" s="5">
        <f t="shared" si="198"/>
        <v>4.4342136109095334</v>
      </c>
      <c r="EJ15" s="6">
        <f t="shared" si="199"/>
        <v>-1.0969898146670907</v>
      </c>
      <c r="EK15" s="236" t="b">
        <f t="shared" si="200"/>
        <v>0</v>
      </c>
      <c r="EL15" s="238" t="b">
        <f t="shared" si="201"/>
        <v>0</v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e">
        <f t="shared" si="205"/>
        <v>#VALUE!</v>
      </c>
      <c r="EQ15" s="5" t="e">
        <f t="shared" si="206"/>
        <v>#VALUE!</v>
      </c>
      <c r="ER15" s="7" t="str">
        <f t="shared" si="207"/>
        <v/>
      </c>
      <c r="ES15" s="21">
        <f t="shared" si="132"/>
        <v>0.90541669478886366</v>
      </c>
      <c r="ET15" s="5">
        <f t="shared" si="44"/>
        <v>-0.35893103158796652</v>
      </c>
      <c r="EU15" s="10">
        <f t="shared" si="45"/>
        <v>-0.22669169230655117</v>
      </c>
      <c r="EV15" s="174" t="e">
        <f t="shared" ref="EV15:EV40" si="254">IF(ISNUMBER($AV15),IF(($EV$1-EP15)&lt;0,(360+($EV$1-EP15)),($EV$1-EP15)),"")</f>
        <v>#VALUE!</v>
      </c>
      <c r="EW15" s="9" t="e">
        <f>IF(ISNUMBER($AV15),(COS(RADIANS($EV15))*ES15)+(-SIN(RADIANS($EV15))*ET15),"")</f>
        <v>#VALUE!</v>
      </c>
      <c r="EX15" s="5" t="e">
        <f t="shared" si="47"/>
        <v>#VALUE!</v>
      </c>
      <c r="EY15" s="6">
        <f t="shared" si="208"/>
        <v>-0.22669169230655117</v>
      </c>
      <c r="EZ15" s="51" t="e">
        <f>IF(ISNUMBER($AV15),DEGREES(ATAN($AS$5/($EQ15*2*PI()))),"")</f>
        <v>#VALUE!</v>
      </c>
      <c r="FA15" s="266" t="e">
        <f t="shared" si="134"/>
        <v>#VALUE!</v>
      </c>
      <c r="FB15" s="267" t="e">
        <f t="shared" si="135"/>
        <v>#VALUE!</v>
      </c>
      <c r="FC15" s="269" t="e">
        <f t="shared" si="48"/>
        <v>#VALUE!</v>
      </c>
      <c r="FD15" s="4" t="e">
        <f t="shared" si="136"/>
        <v>#VALUE!</v>
      </c>
      <c r="FE15" s="5" t="e">
        <f t="shared" si="49"/>
        <v>#VALUE!</v>
      </c>
      <c r="FF15" s="7" t="e">
        <f t="shared" si="210"/>
        <v>#VALUE!</v>
      </c>
      <c r="FG15" s="173" t="e">
        <f t="shared" si="211"/>
        <v>#VALUE!</v>
      </c>
      <c r="FH15" s="5" t="e">
        <f t="shared" si="50"/>
        <v>#VALUE!</v>
      </c>
      <c r="FI15" s="10" t="e">
        <f t="shared" si="51"/>
        <v>#VALUE!</v>
      </c>
      <c r="FJ15" s="279" t="e">
        <f t="shared" si="212"/>
        <v>#VALUE!</v>
      </c>
      <c r="FK15" s="4">
        <f t="shared" si="52"/>
        <v>0.97396656854287977</v>
      </c>
      <c r="FL15" s="5" t="e">
        <f t="shared" si="213"/>
        <v>#VALUE!</v>
      </c>
      <c r="FM15" s="8" t="e">
        <f t="shared" si="214"/>
        <v>#VALUE!</v>
      </c>
      <c r="FN15" s="9" t="e">
        <f t="shared" si="215"/>
        <v>#VALUE!</v>
      </c>
      <c r="FO15" s="10" t="e">
        <f t="shared" si="53"/>
        <v>#VALUE!</v>
      </c>
      <c r="FP15" s="277" t="e">
        <f t="shared" si="54"/>
        <v>#VALUE!</v>
      </c>
      <c r="FQ15" s="173" t="e">
        <f>IF(ISNUMBER($AV15),SIN(RADIANS(FN15)),"")</f>
        <v>#VALUE!</v>
      </c>
      <c r="FR15" s="10" t="e">
        <f t="shared" si="216"/>
        <v>#VALUE!</v>
      </c>
      <c r="FS15" s="9" t="e">
        <f>IF(ISNUMBER($AV15),FQ15/(FQ15+FR15),"")</f>
        <v>#VALUE!</v>
      </c>
      <c r="FT15" s="6" t="e">
        <f t="shared" si="218"/>
        <v>#VALUE!</v>
      </c>
      <c r="FU15" s="4" t="e">
        <f t="shared" si="219"/>
        <v>#VALUE!</v>
      </c>
      <c r="FV15" s="5" t="e">
        <f t="shared" si="220"/>
        <v>#VALUE!</v>
      </c>
      <c r="FW15" s="8" t="e">
        <f t="shared" si="244"/>
        <v>#VALUE!</v>
      </c>
      <c r="FX15" s="9" t="e">
        <f t="shared" si="245"/>
        <v>#VALUE!</v>
      </c>
      <c r="FY15" s="10" t="e">
        <f t="shared" si="55"/>
        <v>#VALUE!</v>
      </c>
      <c r="FZ15" s="277" t="e">
        <f t="shared" si="246"/>
        <v>#VALUE!</v>
      </c>
      <c r="GA15" s="177" t="e">
        <f t="shared" si="221"/>
        <v>#VALUE!</v>
      </c>
      <c r="GB15" s="4" t="e">
        <f t="shared" si="222"/>
        <v>#VALUE!</v>
      </c>
      <c r="GC15" s="5" t="e">
        <f t="shared" si="223"/>
        <v>#VALUE!</v>
      </c>
      <c r="GD15" s="10" t="e">
        <f t="shared" si="224"/>
        <v>#VALUE!</v>
      </c>
      <c r="GE15" s="311" t="e">
        <f t="shared" si="225"/>
        <v>#VALUE!</v>
      </c>
      <c r="GF15" s="341" t="e">
        <f t="shared" si="247"/>
        <v>#VALUE!</v>
      </c>
      <c r="GG15" s="285" t="e">
        <f t="shared" si="56"/>
        <v>#VALUE!</v>
      </c>
      <c r="GH15" s="286" t="e">
        <f t="shared" si="57"/>
        <v>#VALUE!</v>
      </c>
      <c r="GI15" s="281" t="e">
        <f t="shared" si="58"/>
        <v>#VALUE!</v>
      </c>
      <c r="GJ15" s="167">
        <f t="shared" si="226"/>
        <v>4.4440999999999997</v>
      </c>
      <c r="GK15" s="174">
        <f t="shared" si="59"/>
        <v>2.3269667680793549</v>
      </c>
      <c r="GL15" s="174">
        <f t="shared" si="227"/>
        <v>1.7899999999999999E-2</v>
      </c>
      <c r="GM15" s="177">
        <f t="shared" si="248"/>
        <v>0.49983246178344543</v>
      </c>
      <c r="GN15" s="280">
        <f t="shared" si="228"/>
        <v>2.6122334897986477E-2</v>
      </c>
      <c r="GO15" s="4" t="e">
        <f t="shared" si="229"/>
        <v>#VALUE!</v>
      </c>
      <c r="GP15" s="8" t="e">
        <f t="shared" si="249"/>
        <v>#VALUE!</v>
      </c>
      <c r="GQ15" s="177" t="e">
        <f t="shared" si="230"/>
        <v>#VALUE!</v>
      </c>
      <c r="GR15" s="371" t="e">
        <f t="shared" si="250"/>
        <v>#VALUE!</v>
      </c>
      <c r="GS15" s="342" t="e">
        <f t="shared" si="61"/>
        <v>#VALUE!</v>
      </c>
      <c r="GT15" s="343" t="e">
        <f t="shared" si="62"/>
        <v>#VALUE!</v>
      </c>
      <c r="GU15" s="344">
        <f>IF(ISNUMBER($AV15),$GV15*$GK15,"")</f>
        <v>1228.7548018843033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 t="e">
        <f t="shared" si="66"/>
        <v>#VALUE!</v>
      </c>
      <c r="GZ15" s="345" t="e">
        <f t="shared" si="67"/>
        <v>#VALUE!</v>
      </c>
      <c r="HA15" s="342" t="e">
        <f t="shared" si="68"/>
        <v>#VALUE!</v>
      </c>
      <c r="HB15" s="5" t="e">
        <f t="shared" si="231"/>
        <v>#VALUE!</v>
      </c>
      <c r="HC15" s="343" t="e">
        <f t="shared" si="232"/>
        <v>#VALUE!</v>
      </c>
      <c r="HD15" s="345" t="e">
        <f t="shared" si="233"/>
        <v>#VALUE!</v>
      </c>
      <c r="HE15" s="344" t="e">
        <f t="shared" si="69"/>
        <v>#VALUE!</v>
      </c>
      <c r="HF15" s="5" t="e">
        <f t="shared" si="70"/>
        <v>#VALUE!</v>
      </c>
      <c r="HG15" s="343" t="e">
        <f t="shared" si="234"/>
        <v>#VALUE!</v>
      </c>
      <c r="HH15" s="349" t="e">
        <f t="shared" si="235"/>
        <v>#VALUE!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1.107</v>
      </c>
      <c r="HM15" s="909">
        <f t="shared" si="138"/>
        <v>-2.6589831426996433</v>
      </c>
      <c r="HN15" s="910">
        <f t="shared" si="73"/>
        <v>15.99999768988615</v>
      </c>
      <c r="HO15" s="911"/>
      <c r="HP15" s="912"/>
      <c r="HQ15" s="910">
        <f t="shared" si="74"/>
        <v>15.300193740581435</v>
      </c>
      <c r="HR15" s="913">
        <f t="shared" si="75"/>
        <v>15.09022959985445</v>
      </c>
      <c r="HS15" s="865">
        <f t="shared" si="251"/>
        <v>1.6409</v>
      </c>
      <c r="HT15" s="875">
        <f t="shared" si="76"/>
        <v>6.1899999999999997E-2</v>
      </c>
      <c r="HU15" s="876">
        <f t="shared" si="77"/>
        <v>0.6382772570315205</v>
      </c>
      <c r="HV15" s="872">
        <f t="shared" si="78"/>
        <v>3.3357761931775747E-2</v>
      </c>
      <c r="HW15" s="866">
        <f t="shared" si="79"/>
        <v>29500</v>
      </c>
      <c r="HX15" s="867">
        <f t="shared" si="80"/>
        <v>249.69712041666668</v>
      </c>
      <c r="HY15" s="866">
        <f t="shared" si="81"/>
        <v>72.871050253134314</v>
      </c>
      <c r="HZ15" s="868">
        <f t="shared" si="82"/>
        <v>1569.0982568691545</v>
      </c>
      <c r="IA15" s="869">
        <f t="shared" si="83"/>
        <v>423.54417636468133</v>
      </c>
      <c r="IB15" s="870">
        <f t="shared" si="84"/>
        <v>2065.5134834869705</v>
      </c>
      <c r="IC15" s="841">
        <f t="shared" si="85"/>
        <v>84.804237549944688</v>
      </c>
      <c r="ID15" s="351">
        <f t="shared" si="86"/>
        <v>1826.05</v>
      </c>
      <c r="IE15" s="843">
        <f t="shared" si="87"/>
        <v>492.90274835556102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0.21127331434382071</v>
      </c>
      <c r="C16" s="572">
        <f t="shared" si="3"/>
        <v>4.5475085878385482</v>
      </c>
      <c r="D16" s="576">
        <f t="shared" si="4"/>
        <v>-2.0427061608017816</v>
      </c>
      <c r="E16" s="580">
        <f t="shared" si="5"/>
        <v>-0.87332424896505534</v>
      </c>
      <c r="F16" s="572">
        <f t="shared" si="6"/>
        <v>0.4623706832904198</v>
      </c>
      <c r="G16" s="579">
        <f t="shared" si="7"/>
        <v>0.15335614563222574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0.21127331434382071</v>
      </c>
      <c r="O16" s="572">
        <f t="shared" si="14"/>
        <v>4.5475085878385482</v>
      </c>
      <c r="P16" s="576">
        <f t="shared" si="15"/>
        <v>-2.0427061608017816</v>
      </c>
      <c r="Q16" s="528">
        <f>IF(M16="","",IF(DEGREES(ATAN2(N16,O16))&lt;0,DEGREES(ATAN2(N16,O16))+360,IF(DEGREES(ATAN2(N16,O16))&gt;360,DEGREES(ATAN2(N16,O16))-360,DEGREES(ATAN2(N16,O16)))))</f>
        <v>87.340000384056424</v>
      </c>
      <c r="R16" s="572">
        <f t="shared" si="101"/>
        <v>4.5524137300798104</v>
      </c>
      <c r="S16" s="577">
        <f t="shared" si="102"/>
        <v>-2.0427061608017816</v>
      </c>
      <c r="T16" s="578">
        <f t="shared" si="103"/>
        <v>4.5478348447392056</v>
      </c>
      <c r="U16" s="572">
        <f t="shared" si="104"/>
        <v>-0.20412984787897473</v>
      </c>
      <c r="V16" s="579">
        <f t="shared" si="141"/>
        <v>-2.0427061608017816</v>
      </c>
      <c r="W16" s="528">
        <f>IF(M16="","",IF(Q16-$Q$8&lt;0,360+Q16-$Q$8,Q16-$Q$8))</f>
        <v>357.43000037106208</v>
      </c>
      <c r="X16" s="572">
        <f t="shared" si="105"/>
        <v>4.5524137300798104</v>
      </c>
      <c r="Y16" s="573">
        <f t="shared" ref="Y16:Y75" si="255">IF(M16="","",S16)</f>
        <v>-2.0427061608017816</v>
      </c>
      <c r="Z16" s="575">
        <f t="shared" si="18"/>
        <v>0.87332424896505534</v>
      </c>
      <c r="AA16" s="572">
        <f t="shared" si="19"/>
        <v>-0.4623706832904198</v>
      </c>
      <c r="AB16" s="572">
        <f t="shared" si="20"/>
        <v>-0.15335614563222574</v>
      </c>
      <c r="AC16" s="579">
        <f t="shared" si="106"/>
        <v>1</v>
      </c>
      <c r="AD16" s="580">
        <f t="shared" si="142"/>
        <v>0.87332424896505534</v>
      </c>
      <c r="AE16" s="572">
        <f t="shared" si="107"/>
        <v>-0.4623706832904198</v>
      </c>
      <c r="AF16" s="576">
        <f t="shared" si="108"/>
        <v>-0.15335614563222574</v>
      </c>
      <c r="AG16" s="545">
        <f t="shared" si="109"/>
        <v>-71.650680276034279</v>
      </c>
      <c r="AH16" s="546">
        <f t="shared" si="110"/>
        <v>29.152732794566152</v>
      </c>
      <c r="AI16" s="528">
        <f t="shared" si="111"/>
        <v>-81.178529478511678</v>
      </c>
      <c r="AJ16" s="529">
        <f t="shared" si="112"/>
        <v>62.101573352517342</v>
      </c>
      <c r="AK16" s="578">
        <f t="shared" si="238"/>
        <v>0.89384145425180528</v>
      </c>
      <c r="AL16" s="572">
        <f t="shared" si="113"/>
        <v>-0.42134231600664751</v>
      </c>
      <c r="AM16" s="577">
        <f t="shared" si="114"/>
        <v>-0.15335614563222574</v>
      </c>
      <c r="AN16" s="524">
        <f t="shared" si="115"/>
        <v>-69.999989893251936</v>
      </c>
      <c r="AO16" s="525">
        <f t="shared" si="116"/>
        <v>26.639996153660427</v>
      </c>
      <c r="AP16" s="528">
        <f t="shared" si="117"/>
        <v>-25.238427031539118</v>
      </c>
      <c r="AQ16" s="529">
        <f t="shared" si="21"/>
        <v>0.33384499855469668</v>
      </c>
      <c r="AS16" s="932">
        <f t="shared" si="143"/>
        <v>-2.5699996289379214</v>
      </c>
      <c r="AT16" s="928">
        <f t="shared" si="22"/>
        <v>-2.041474679498104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0.28575360125687449</v>
      </c>
      <c r="BA16" s="296">
        <f t="shared" si="24"/>
        <v>1.493410660784936E-2</v>
      </c>
      <c r="BB16" s="291">
        <f t="shared" si="145"/>
        <v>0.17880801283143732</v>
      </c>
      <c r="BC16" s="9"/>
      <c r="BD16" s="5">
        <f t="shared" si="146"/>
        <v>4.7872000000000003</v>
      </c>
      <c r="BE16" s="6">
        <f t="shared" si="25"/>
        <v>-1.8638981479703443</v>
      </c>
      <c r="BF16" s="4">
        <f t="shared" si="26"/>
        <v>0.21127331434382071</v>
      </c>
      <c r="BG16" s="5">
        <f t="shared" si="27"/>
        <v>4.5475085878385482</v>
      </c>
      <c r="BH16" s="10">
        <f t="shared" si="28"/>
        <v>-2.0427061608017816</v>
      </c>
      <c r="BI16" s="9">
        <f t="shared" si="147"/>
        <v>0.21127331434382071</v>
      </c>
      <c r="BJ16" s="5">
        <f t="shared" si="29"/>
        <v>4.8623181848236809</v>
      </c>
      <c r="BK16" s="8">
        <f t="shared" si="30"/>
        <v>-2.9918610046739804</v>
      </c>
      <c r="BL16" s="173">
        <f t="shared" si="31"/>
        <v>0.69841267445509514</v>
      </c>
      <c r="BM16" s="5">
        <f t="shared" si="32"/>
        <v>5.3764285290147811</v>
      </c>
      <c r="BN16" s="6">
        <f t="shared" si="33"/>
        <v>-1.767775305947749</v>
      </c>
      <c r="BO16" s="4">
        <f t="shared" si="148"/>
        <v>0.87332424896505634</v>
      </c>
      <c r="BP16" s="5">
        <f t="shared" si="239"/>
        <v>-0.46237068329041964</v>
      </c>
      <c r="BQ16" s="5">
        <f t="shared" si="149"/>
        <v>-0.15335614563222544</v>
      </c>
      <c r="BR16" s="6">
        <f t="shared" si="150"/>
        <v>1.6048630009725224</v>
      </c>
      <c r="BS16" s="4">
        <f t="shared" si="118"/>
        <v>0</v>
      </c>
      <c r="BT16" s="5">
        <f t="shared" si="118"/>
        <v>0</v>
      </c>
      <c r="BU16" s="10">
        <f t="shared" si="119"/>
        <v>-1.8638981479703443</v>
      </c>
      <c r="BV16" s="9">
        <f t="shared" si="120"/>
        <v>0</v>
      </c>
      <c r="BW16" s="5">
        <f t="shared" si="121"/>
        <v>1</v>
      </c>
      <c r="BX16" s="8">
        <f t="shared" si="122"/>
        <v>-1.8638981479703443</v>
      </c>
      <c r="BY16" s="173">
        <f t="shared" si="123"/>
        <v>1</v>
      </c>
      <c r="BZ16" s="5">
        <f t="shared" si="124"/>
        <v>0</v>
      </c>
      <c r="CA16" s="6">
        <f t="shared" si="125"/>
        <v>-1.8638981479703443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-1.8638981479703443</v>
      </c>
      <c r="CF16" s="4">
        <f t="shared" si="155"/>
        <v>0.46237068329041964</v>
      </c>
      <c r="CG16" s="5">
        <f t="shared" si="156"/>
        <v>0.87332424896505634</v>
      </c>
      <c r="CH16" s="5">
        <f t="shared" si="157"/>
        <v>0</v>
      </c>
      <c r="CI16" s="4">
        <f t="shared" si="126"/>
        <v>0</v>
      </c>
      <c r="CJ16" s="5">
        <f t="shared" si="127"/>
        <v>4.089150340028648</v>
      </c>
      <c r="CK16" s="8">
        <f t="shared" si="128"/>
        <v>-1.8638981479703445</v>
      </c>
      <c r="CL16" s="173">
        <f t="shared" si="129"/>
        <v>0.46237068329041964</v>
      </c>
      <c r="CM16" s="5">
        <f t="shared" si="130"/>
        <v>4.9624745889937039</v>
      </c>
      <c r="CN16" s="6">
        <f t="shared" si="131"/>
        <v>-1.8638981479703445</v>
      </c>
      <c r="CO16" s="167">
        <f t="shared" si="35"/>
        <v>0.3125</v>
      </c>
      <c r="CP16" s="4">
        <f t="shared" si="240"/>
        <v>0.97648189259682838</v>
      </c>
      <c r="CQ16" s="5">
        <f t="shared" si="241"/>
        <v>-0.99596391847940813</v>
      </c>
      <c r="CR16" s="5">
        <f>IF(ISNUMBER($AV16),BF16^2+BG16^2+BH16^2+CI16^2+CJ16^2+CK16^2-2*(BF16*CI16+BG16*CJ16+BH16*CK16)-CO16^2,"")</f>
        <v>0.18904475214191763</v>
      </c>
      <c r="CS16" s="8">
        <f t="shared" si="159"/>
        <v>0.25354901748470493</v>
      </c>
      <c r="CT16" s="9">
        <f t="shared" si="160"/>
        <v>0.76780759603709503</v>
      </c>
      <c r="CU16" s="6">
        <f t="shared" si="161"/>
        <v>0.25214364528164546</v>
      </c>
      <c r="CV16" s="4">
        <f t="shared" si="242"/>
        <v>0.35501172281524612</v>
      </c>
      <c r="CW16" s="5">
        <f t="shared" si="162"/>
        <v>4.7596953321874089</v>
      </c>
      <c r="CX16" s="8">
        <f t="shared" si="163"/>
        <v>-1.8638981479703445</v>
      </c>
      <c r="CY16" s="9">
        <f t="shared" si="164"/>
        <v>0.1165838295562116</v>
      </c>
      <c r="CZ16" s="5">
        <f t="shared" si="165"/>
        <v>4.3093534996755523</v>
      </c>
      <c r="DA16" s="6">
        <f t="shared" si="166"/>
        <v>-1.8638981479703445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0.35501172281524612</v>
      </c>
      <c r="DM16" s="173">
        <f t="shared" si="176"/>
        <v>4.7596953321874089</v>
      </c>
      <c r="DN16" s="178">
        <f t="shared" si="177"/>
        <v>8.1361018520296557</v>
      </c>
      <c r="DO16" s="9">
        <f t="shared" si="178"/>
        <v>-0.23842789325903452</v>
      </c>
      <c r="DP16" s="173">
        <f t="shared" si="179"/>
        <v>-0.45034183251185667</v>
      </c>
      <c r="DQ16" s="11">
        <f t="shared" si="180"/>
        <v>0</v>
      </c>
      <c r="DR16" s="173">
        <f t="shared" si="181"/>
        <v>162.72203704059311</v>
      </c>
      <c r="DS16" s="5">
        <f t="shared" si="182"/>
        <v>0</v>
      </c>
      <c r="DT16" s="5">
        <f t="shared" si="183"/>
        <v>400</v>
      </c>
      <c r="DU16" s="5">
        <f t="shared" si="184"/>
        <v>0.25965562639407869</v>
      </c>
      <c r="DV16" s="5">
        <f t="shared" si="185"/>
        <v>-2.2281346152485075</v>
      </c>
      <c r="DW16" s="5">
        <f t="shared" si="186"/>
        <v>88.976886325183258</v>
      </c>
      <c r="DX16" s="167">
        <f t="shared" si="187"/>
        <v>66.059602485183262</v>
      </c>
      <c r="DY16" s="9">
        <f t="shared" si="188"/>
        <v>103.86225055763147</v>
      </c>
      <c r="DZ16" s="5">
        <f t="shared" si="189"/>
        <v>-891.25384609940306</v>
      </c>
      <c r="EA16" s="10">
        <f t="shared" si="190"/>
        <v>-54.62034456685069</v>
      </c>
      <c r="EB16" s="6">
        <f t="shared" si="191"/>
        <v>800006.41009992489</v>
      </c>
      <c r="EC16" s="173">
        <f t="shared" si="192"/>
        <v>17.192816551342563</v>
      </c>
      <c r="ED16" s="5">
        <f t="shared" si="193"/>
        <v>-3.0587901100463905E-2</v>
      </c>
      <c r="EE16" s="4">
        <f t="shared" si="194"/>
        <v>-3.7442353067104204</v>
      </c>
      <c r="EF16" s="5">
        <f t="shared" si="195"/>
        <v>-2.9829491795843808</v>
      </c>
      <c r="EG16" s="10">
        <f t="shared" si="196"/>
        <v>-1.8638981479703445</v>
      </c>
      <c r="EH16" s="9">
        <f t="shared" si="197"/>
        <v>0.36230473163384541</v>
      </c>
      <c r="EI16" s="5">
        <f t="shared" si="198"/>
        <v>4.7734703436216837</v>
      </c>
      <c r="EJ16" s="6">
        <f t="shared" si="199"/>
        <v>-1.8638981479703445</v>
      </c>
      <c r="EK16" s="236" t="b">
        <f t="shared" si="200"/>
        <v>0</v>
      </c>
      <c r="EL16" s="238" t="b">
        <f t="shared" si="201"/>
        <v>0</v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e">
        <f t="shared" si="205"/>
        <v>#VALUE!</v>
      </c>
      <c r="EQ16" s="5" t="e">
        <f t="shared" si="206"/>
        <v>#VALUE!</v>
      </c>
      <c r="ER16" s="7" t="str">
        <f t="shared" si="207"/>
        <v/>
      </c>
      <c r="ES16" s="21">
        <f t="shared" si="132"/>
        <v>0.87332424896505534</v>
      </c>
      <c r="ET16" s="5">
        <f t="shared" si="44"/>
        <v>-0.4623706832904198</v>
      </c>
      <c r="EU16" s="10">
        <f t="shared" si="45"/>
        <v>-0.15335614563222574</v>
      </c>
      <c r="EV16" s="174" t="e">
        <f t="shared" si="254"/>
        <v>#VALUE!</v>
      </c>
      <c r="EW16" s="9" t="e">
        <f t="shared" si="133"/>
        <v>#VALUE!</v>
      </c>
      <c r="EX16" s="5" t="e">
        <f t="shared" si="47"/>
        <v>#VALUE!</v>
      </c>
      <c r="EY16" s="6">
        <f t="shared" si="208"/>
        <v>-0.15335614563222574</v>
      </c>
      <c r="EZ16" s="51" t="e">
        <f t="shared" si="209"/>
        <v>#VALUE!</v>
      </c>
      <c r="FA16" s="266" t="e">
        <f>IF(ISNUMBER($AV16),SIN(RADIANS($EP16))*COS(RADIANS($EZ16)),"")</f>
        <v>#VALUE!</v>
      </c>
      <c r="FB16" s="267" t="e">
        <f t="shared" si="135"/>
        <v>#VALUE!</v>
      </c>
      <c r="FC16" s="269" t="e">
        <f t="shared" si="48"/>
        <v>#VALUE!</v>
      </c>
      <c r="FD16" s="4" t="e">
        <f t="shared" si="136"/>
        <v>#VALUE!</v>
      </c>
      <c r="FE16" s="5" t="e">
        <f t="shared" si="49"/>
        <v>#VALUE!</v>
      </c>
      <c r="FF16" s="7" t="e">
        <f t="shared" si="210"/>
        <v>#VALUE!</v>
      </c>
      <c r="FG16" s="173" t="e">
        <f t="shared" si="211"/>
        <v>#VALUE!</v>
      </c>
      <c r="FH16" s="5" t="e">
        <f t="shared" si="50"/>
        <v>#VALUE!</v>
      </c>
      <c r="FI16" s="10" t="e">
        <f t="shared" si="51"/>
        <v>#VALUE!</v>
      </c>
      <c r="FJ16" s="279" t="e">
        <f t="shared" si="212"/>
        <v>#VALUE!</v>
      </c>
      <c r="FK16" s="4">
        <f t="shared" si="52"/>
        <v>0.98817098348252852</v>
      </c>
      <c r="FL16" s="5" t="e">
        <f t="shared" si="213"/>
        <v>#VALUE!</v>
      </c>
      <c r="FM16" s="8" t="e">
        <f t="shared" si="214"/>
        <v>#VALUE!</v>
      </c>
      <c r="FN16" s="9" t="e">
        <f t="shared" si="215"/>
        <v>#VALUE!</v>
      </c>
      <c r="FO16" s="10" t="e">
        <f t="shared" si="53"/>
        <v>#VALUE!</v>
      </c>
      <c r="FP16" s="277" t="e">
        <f t="shared" si="54"/>
        <v>#VALUE!</v>
      </c>
      <c r="FQ16" s="173" t="e">
        <f t="shared" si="243"/>
        <v>#VALUE!</v>
      </c>
      <c r="FR16" s="10" t="e">
        <f t="shared" si="216"/>
        <v>#VALUE!</v>
      </c>
      <c r="FS16" s="9" t="e">
        <f t="shared" si="217"/>
        <v>#VALUE!</v>
      </c>
      <c r="FT16" s="6" t="e">
        <f t="shared" si="218"/>
        <v>#VALUE!</v>
      </c>
      <c r="FU16" s="4" t="e">
        <f t="shared" si="219"/>
        <v>#VALUE!</v>
      </c>
      <c r="FV16" s="5" t="e">
        <f t="shared" si="220"/>
        <v>#VALUE!</v>
      </c>
      <c r="FW16" s="8" t="e">
        <f t="shared" si="244"/>
        <v>#VALUE!</v>
      </c>
      <c r="FX16" s="9" t="e">
        <f t="shared" si="245"/>
        <v>#VALUE!</v>
      </c>
      <c r="FY16" s="10" t="e">
        <f t="shared" si="55"/>
        <v>#VALUE!</v>
      </c>
      <c r="FZ16" s="277" t="e">
        <f t="shared" si="246"/>
        <v>#VALUE!</v>
      </c>
      <c r="GA16" s="177" t="e">
        <f t="shared" si="221"/>
        <v>#VALUE!</v>
      </c>
      <c r="GB16" s="4" t="e">
        <f t="shared" si="222"/>
        <v>#VALUE!</v>
      </c>
      <c r="GC16" s="5" t="e">
        <f t="shared" si="223"/>
        <v>#VALUE!</v>
      </c>
      <c r="GD16" s="10" t="e">
        <f t="shared" si="224"/>
        <v>#VALUE!</v>
      </c>
      <c r="GE16" s="311" t="e">
        <f t="shared" si="225"/>
        <v>#VALUE!</v>
      </c>
      <c r="GF16" s="341" t="e">
        <f t="shared" si="247"/>
        <v>#VALUE!</v>
      </c>
      <c r="GG16" s="285" t="e">
        <f t="shared" si="56"/>
        <v>#VALUE!</v>
      </c>
      <c r="GH16" s="286" t="e">
        <f t="shared" si="57"/>
        <v>#VALUE!</v>
      </c>
      <c r="GI16" s="281" t="e">
        <f t="shared" si="58"/>
        <v>#VALUE!</v>
      </c>
      <c r="GJ16" s="167">
        <f t="shared" si="226"/>
        <v>4.7872000000000003</v>
      </c>
      <c r="GK16" s="174">
        <f t="shared" si="59"/>
        <v>2.5066105373410044</v>
      </c>
      <c r="GL16" s="174">
        <f t="shared" si="227"/>
        <v>9.4999999999999998E-3</v>
      </c>
      <c r="GM16" s="177">
        <f t="shared" si="248"/>
        <v>0.28575360125687449</v>
      </c>
      <c r="GN16" s="280">
        <f t="shared" si="228"/>
        <v>1.493410660784936E-2</v>
      </c>
      <c r="GO16" s="4" t="e">
        <f t="shared" si="229"/>
        <v>#VALUE!</v>
      </c>
      <c r="GP16" s="8" t="e">
        <f t="shared" si="249"/>
        <v>#VALUE!</v>
      </c>
      <c r="GQ16" s="177" t="e">
        <f t="shared" si="230"/>
        <v>#VALUE!</v>
      </c>
      <c r="GR16" s="371" t="e">
        <f t="shared" si="250"/>
        <v>#VALUE!</v>
      </c>
      <c r="GS16" s="342" t="e">
        <f t="shared" si="61"/>
        <v>#VALUE!</v>
      </c>
      <c r="GT16" s="343" t="e">
        <f t="shared" si="62"/>
        <v>#VALUE!</v>
      </c>
      <c r="GU16" s="344">
        <f t="shared" si="63"/>
        <v>702.47760308981651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 t="e">
        <f t="shared" si="66"/>
        <v>#VALUE!</v>
      </c>
      <c r="GZ16" s="345" t="e">
        <f t="shared" si="67"/>
        <v>#VALUE!</v>
      </c>
      <c r="HA16" s="342" t="e">
        <f t="shared" si="68"/>
        <v>#VALUE!</v>
      </c>
      <c r="HB16" s="5" t="e">
        <f t="shared" si="231"/>
        <v>#VALUE!</v>
      </c>
      <c r="HC16" s="343" t="e">
        <f t="shared" si="232"/>
        <v>#VALUE!</v>
      </c>
      <c r="HD16" s="345" t="e">
        <f t="shared" si="233"/>
        <v>#VALUE!</v>
      </c>
      <c r="HE16" s="344" t="e">
        <f t="shared" si="69"/>
        <v>#VALUE!</v>
      </c>
      <c r="HF16" s="5" t="e">
        <f t="shared" si="70"/>
        <v>#VALUE!</v>
      </c>
      <c r="HG16" s="343" t="e">
        <f t="shared" si="234"/>
        <v>#VALUE!</v>
      </c>
      <c r="HH16" s="349" t="e">
        <f t="shared" si="235"/>
        <v>#VALUE!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5.1079999999999997</v>
      </c>
      <c r="HM16" s="909" t="e">
        <f t="shared" si="138"/>
        <v>#NUM!</v>
      </c>
      <c r="HN16" s="910">
        <f t="shared" si="73"/>
        <v>15.99999768988615</v>
      </c>
      <c r="HO16" s="911"/>
      <c r="HP16" s="912"/>
      <c r="HQ16" s="910" t="e">
        <f t="shared" si="74"/>
        <v>#NUM!</v>
      </c>
      <c r="HR16" s="913" t="e">
        <f t="shared" si="75"/>
        <v>#NUM!</v>
      </c>
      <c r="HS16" s="865">
        <f t="shared" si="251"/>
        <v>1.8936999999999999</v>
      </c>
      <c r="HT16" s="875">
        <f t="shared" si="76"/>
        <v>6.4399999999999999E-2</v>
      </c>
      <c r="HU16" s="876">
        <f t="shared" si="77"/>
        <v>0.76633650963298272</v>
      </c>
      <c r="HV16" s="872">
        <f t="shared" si="78"/>
        <v>4.0050417849531179E-2</v>
      </c>
      <c r="HW16" s="866">
        <f t="shared" si="79"/>
        <v>29500</v>
      </c>
      <c r="HX16" s="867">
        <f t="shared" si="80"/>
        <v>299.80427166666664</v>
      </c>
      <c r="HY16" s="866" t="e">
        <f t="shared" si="81"/>
        <v>#NUM!</v>
      </c>
      <c r="HZ16" s="868">
        <f t="shared" si="82"/>
        <v>1883.9105861810824</v>
      </c>
      <c r="IA16" s="869" t="e">
        <f t="shared" si="83"/>
        <v>#NUM!</v>
      </c>
      <c r="IB16" s="870" t="e">
        <f t="shared" si="84"/>
        <v>#NUM!</v>
      </c>
      <c r="IC16" s="841" t="e">
        <f t="shared" si="85"/>
        <v>#NUM!</v>
      </c>
      <c r="ID16" s="351">
        <f t="shared" si="86"/>
        <v>1899.8</v>
      </c>
      <c r="IE16" s="843" t="e">
        <f t="shared" si="87"/>
        <v>#NUM!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0.23653968143848556</v>
      </c>
      <c r="C17" s="572">
        <f t="shared" si="3"/>
        <v>4.6855473527715654</v>
      </c>
      <c r="D17" s="576">
        <f t="shared" si="4"/>
        <v>-2.8411085687834436</v>
      </c>
      <c r="E17" s="580">
        <f t="shared" si="5"/>
        <v>-0.83981062807658513</v>
      </c>
      <c r="F17" s="572">
        <f t="shared" si="6"/>
        <v>0.54112759058728155</v>
      </c>
      <c r="G17" s="579">
        <f t="shared" si="7"/>
        <v>4.3577972357774906E-2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0.23653968143848556</v>
      </c>
      <c r="O17" s="572">
        <f t="shared" si="14"/>
        <v>4.6855473527715654</v>
      </c>
      <c r="P17" s="576">
        <f t="shared" si="15"/>
        <v>-2.8411085687834436</v>
      </c>
      <c r="Q17" s="528">
        <f>IF(M17="","",IF(DEGREES(ATAN2(N17,O17))&lt;0,DEGREES(ATAN2(N17,O17))+360,IF(DEGREES(ATAN2(N17,O17))&gt;360,DEGREES(ATAN2(N17,O17))-360,DEGREES(ATAN2(N17,O17)))))</f>
        <v>87.110000417264317</v>
      </c>
      <c r="R17" s="572">
        <f>IF(M17="","",SQRT(N17^2+O17^2))</f>
        <v>4.6915141496066752</v>
      </c>
      <c r="S17" s="577">
        <f>IF(M17="","",P17)</f>
        <v>-2.8411085687834436</v>
      </c>
      <c r="T17" s="578">
        <f>IF(M17="","",X17*COS(RADIANS(W17)))</f>
        <v>4.6859131276683792</v>
      </c>
      <c r="U17" s="572">
        <f>IF(M17="","",X17*SIN(RADIANS(W17)))</f>
        <v>-0.22917935313808868</v>
      </c>
      <c r="V17" s="579">
        <f>IF(M17="","",Y17)</f>
        <v>-2.8411085687834436</v>
      </c>
      <c r="W17" s="528">
        <f t="shared" si="253"/>
        <v>357.20000040426993</v>
      </c>
      <c r="X17" s="572">
        <f>IF(M17="","",R17)</f>
        <v>4.6915141496066752</v>
      </c>
      <c r="Y17" s="573">
        <f t="shared" si="255"/>
        <v>-2.8411085687834436</v>
      </c>
      <c r="Z17" s="575">
        <f t="shared" si="18"/>
        <v>0.83981062807658513</v>
      </c>
      <c r="AA17" s="572">
        <f t="shared" si="19"/>
        <v>-0.54112759058728155</v>
      </c>
      <c r="AB17" s="572">
        <f t="shared" si="20"/>
        <v>-4.3577972357774906E-2</v>
      </c>
      <c r="AC17" s="579">
        <f>IF(M17="","",SQRT(Z17^2+AA17^2+AB17^2))</f>
        <v>1</v>
      </c>
      <c r="AD17" s="580">
        <f>IF(M17="","",Z17*(1/SQRT(Z17^2+AA17^2+AB17^2)))</f>
        <v>0.83981062807658513</v>
      </c>
      <c r="AE17" s="572">
        <f>IF(M17="","",AA17*(1/SQRT(Z17^2+AA17^2+AB17^2)))</f>
        <v>-0.54112759058728155</v>
      </c>
      <c r="AF17" s="576">
        <f>IF(M17="","",AB17*(1/SQRT(Z17^2+AA17^2+AB17^2)))</f>
        <v>-4.3577972357774906E-2</v>
      </c>
      <c r="AG17" s="545">
        <f>IF(M17="","",DEGREES(ATAN2(-AF17,AE17)))</f>
        <v>-85.395804582620826</v>
      </c>
      <c r="AH17" s="546">
        <f>IF(M17="","",DEGREES(ACOS(AD17)))</f>
        <v>32.879872185660922</v>
      </c>
      <c r="AI17" s="528">
        <f>IF(M17="","",DEGREES(-ACOS(-AF17)))</f>
        <v>-87.502375163624507</v>
      </c>
      <c r="AJ17" s="529">
        <f>IF(M17="","",DEGREES(ATAN2(-AE17,AD17)))</f>
        <v>57.204503798211981</v>
      </c>
      <c r="AK17" s="578">
        <f>IF(M17="","",(COS(RADIANS((90-$Q$8)-W17))*AD17)+(-SIN(RADIANS((90-$Q$8)-W17))*AE17))</f>
        <v>0.8660254415835853</v>
      </c>
      <c r="AL17" s="572">
        <f>IF(M17="","",(SIN(RADIANS((90-$Q$8)-W17))*AD17)+(COS(RADIANS((90-$Q$8)-W17))*AE17))</f>
        <v>-0.4980972744907774</v>
      </c>
      <c r="AM17" s="577">
        <f>IF(M17="","",AF17)</f>
        <v>-4.3577972357774906E-2</v>
      </c>
      <c r="AN17" s="524">
        <f>IF(M17="","",DEGREES(ATAN2(-AM17,AL17)))</f>
        <v>-84.999987727520178</v>
      </c>
      <c r="AO17" s="525">
        <f t="shared" si="116"/>
        <v>29.999995668536574</v>
      </c>
      <c r="AP17" s="528">
        <f>IF(M17="","",DEGREES(ATAN2(AK17,AL17)))</f>
        <v>-29.905496619052336</v>
      </c>
      <c r="AQ17" s="529">
        <f t="shared" si="21"/>
        <v>0.32394692021455668</v>
      </c>
      <c r="AS17" s="932">
        <f t="shared" si="143"/>
        <v>-2.7999995957300712</v>
      </c>
      <c r="AT17" s="928">
        <f t="shared" si="22"/>
        <v>-2.8397706060136585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0.14230716460858367</v>
      </c>
      <c r="BA17" s="296">
        <f t="shared" si="24"/>
        <v>7.4372828827970142E-3</v>
      </c>
      <c r="BB17" s="190">
        <f t="shared" si="145"/>
        <v>0.1545039393469918</v>
      </c>
      <c r="BC17" s="9"/>
      <c r="BD17" s="5">
        <f t="shared" si="146"/>
        <v>4.9236000000000004</v>
      </c>
      <c r="BE17" s="6">
        <f t="shared" si="25"/>
        <v>-2.6866046294364518</v>
      </c>
      <c r="BF17" s="4">
        <f t="shared" si="26"/>
        <v>0.23653968143848556</v>
      </c>
      <c r="BG17" s="5">
        <f t="shared" si="27"/>
        <v>4.6855473527715654</v>
      </c>
      <c r="BH17" s="10">
        <f t="shared" si="28"/>
        <v>-2.8411085687834436</v>
      </c>
      <c r="BI17" s="9">
        <f t="shared" si="147"/>
        <v>0.23653968143848556</v>
      </c>
      <c r="BJ17" s="5">
        <f t="shared" si="29"/>
        <v>4.7658192648692079</v>
      </c>
      <c r="BK17" s="8">
        <f t="shared" si="30"/>
        <v>-3.8378815720937203</v>
      </c>
      <c r="BL17" s="173">
        <f t="shared" si="31"/>
        <v>0.77941914224872066</v>
      </c>
      <c r="BM17" s="5">
        <f t="shared" si="32"/>
        <v>5.522647914731353</v>
      </c>
      <c r="BN17" s="6">
        <f t="shared" si="33"/>
        <v>-2.7736953638678137</v>
      </c>
      <c r="BO17" s="4">
        <f t="shared" si="148"/>
        <v>0.83981062807658446</v>
      </c>
      <c r="BP17" s="5">
        <f t="shared" si="239"/>
        <v>-0.54112759058728166</v>
      </c>
      <c r="BQ17" s="5">
        <f t="shared" si="149"/>
        <v>-4.3577972357774719E-2</v>
      </c>
      <c r="BR17" s="6">
        <f t="shared" si="150"/>
        <v>2.2130206604781213</v>
      </c>
      <c r="BS17" s="4">
        <f t="shared" si="118"/>
        <v>0</v>
      </c>
      <c r="BT17" s="5">
        <f t="shared" si="118"/>
        <v>0</v>
      </c>
      <c r="BU17" s="10">
        <f t="shared" si="119"/>
        <v>-2.6866046294364518</v>
      </c>
      <c r="BV17" s="9">
        <f t="shared" si="120"/>
        <v>0</v>
      </c>
      <c r="BW17" s="5">
        <f t="shared" si="121"/>
        <v>1</v>
      </c>
      <c r="BX17" s="8">
        <f t="shared" si="122"/>
        <v>-2.6866046294364518</v>
      </c>
      <c r="BY17" s="173">
        <f t="shared" si="123"/>
        <v>1</v>
      </c>
      <c r="BZ17" s="5">
        <f t="shared" si="124"/>
        <v>0</v>
      </c>
      <c r="CA17" s="6">
        <f t="shared" si="125"/>
        <v>-2.6866046294364518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-2.6866046294364518</v>
      </c>
      <c r="CF17" s="4">
        <f t="shared" si="155"/>
        <v>0.54112759058728166</v>
      </c>
      <c r="CG17" s="5">
        <f t="shared" si="156"/>
        <v>0.83981062807658446</v>
      </c>
      <c r="CH17" s="5">
        <f t="shared" si="157"/>
        <v>0</v>
      </c>
      <c r="CI17" s="4">
        <f t="shared" si="126"/>
        <v>0</v>
      </c>
      <c r="CJ17" s="5">
        <f t="shared" si="127"/>
        <v>4.3060037656315684</v>
      </c>
      <c r="CK17" s="8">
        <f t="shared" si="128"/>
        <v>-2.6866046294364518</v>
      </c>
      <c r="CL17" s="173">
        <f t="shared" si="129"/>
        <v>0.54112759058728166</v>
      </c>
      <c r="CM17" s="5">
        <f t="shared" si="130"/>
        <v>5.1458143937081529</v>
      </c>
      <c r="CN17" s="6">
        <f t="shared" si="131"/>
        <v>-2.6866046294364518</v>
      </c>
      <c r="CO17" s="167">
        <f t="shared" si="35"/>
        <v>0.3125</v>
      </c>
      <c r="CP17" s="4">
        <f t="shared" si="240"/>
        <v>0.99810096032518403</v>
      </c>
      <c r="CQ17" s="5">
        <f t="shared" si="241"/>
        <v>-0.89348577238714322</v>
      </c>
      <c r="CR17" s="5">
        <f t="shared" si="158"/>
        <v>0.12621957270786055</v>
      </c>
      <c r="CS17" s="8">
        <f t="shared" si="159"/>
        <v>0.29439731853204987</v>
      </c>
      <c r="CT17" s="9">
        <f t="shared" si="160"/>
        <v>0.71940102109418014</v>
      </c>
      <c r="CU17" s="6">
        <f t="shared" si="161"/>
        <v>0.17578474457830562</v>
      </c>
      <c r="CV17" s="4">
        <f t="shared" si="242"/>
        <v>0.3892877412107239</v>
      </c>
      <c r="CW17" s="5">
        <f t="shared" si="162"/>
        <v>4.9101643889956081</v>
      </c>
      <c r="CX17" s="8">
        <f t="shared" si="163"/>
        <v>-2.6866046294364518</v>
      </c>
      <c r="CY17" s="9">
        <f t="shared" si="164"/>
        <v>9.5121975295659245E-2</v>
      </c>
      <c r="CZ17" s="5">
        <f t="shared" si="165"/>
        <v>4.4536296623821574</v>
      </c>
      <c r="DA17" s="6">
        <f t="shared" si="166"/>
        <v>-2.6866046294364518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0.3892877412107239</v>
      </c>
      <c r="DM17" s="173">
        <f t="shared" si="176"/>
        <v>4.9101643889956081</v>
      </c>
      <c r="DN17" s="178">
        <f t="shared" si="177"/>
        <v>7.3133953705635477</v>
      </c>
      <c r="DO17" s="9">
        <f t="shared" si="178"/>
        <v>-0.29416576591506466</v>
      </c>
      <c r="DP17" s="173">
        <f t="shared" si="179"/>
        <v>-0.45653472661345074</v>
      </c>
      <c r="DQ17" s="11">
        <f t="shared" si="180"/>
        <v>0</v>
      </c>
      <c r="DR17" s="173">
        <f t="shared" si="181"/>
        <v>146.26790741127095</v>
      </c>
      <c r="DS17" s="5">
        <f t="shared" si="182"/>
        <v>0</v>
      </c>
      <c r="DT17" s="5">
        <f t="shared" si="183"/>
        <v>400</v>
      </c>
      <c r="DU17" s="5">
        <f t="shared" si="184"/>
        <v>0.29495745444041482</v>
      </c>
      <c r="DV17" s="5">
        <f t="shared" si="185"/>
        <v>-2.3561756835118097</v>
      </c>
      <c r="DW17" s="5">
        <f t="shared" si="186"/>
        <v>77.747011118597896</v>
      </c>
      <c r="DX17" s="167">
        <f t="shared" si="187"/>
        <v>53.505174158597896</v>
      </c>
      <c r="DY17" s="9">
        <f t="shared" si="188"/>
        <v>117.98298177616593</v>
      </c>
      <c r="DZ17" s="5">
        <f t="shared" si="189"/>
        <v>-942.47027340472391</v>
      </c>
      <c r="EA17" s="10">
        <f t="shared" si="190"/>
        <v>7.7689249670256686</v>
      </c>
      <c r="EB17" s="6">
        <f t="shared" si="191"/>
        <v>887333.61531877005</v>
      </c>
      <c r="EC17" s="173">
        <f t="shared" si="192"/>
        <v>15.972253939908677</v>
      </c>
      <c r="ED17" s="5">
        <f t="shared" si="193"/>
        <v>4.1226394314290704E-3</v>
      </c>
      <c r="EE17" s="4">
        <f t="shared" si="194"/>
        <v>-4.3092025724124206</v>
      </c>
      <c r="EF17" s="5">
        <f t="shared" si="195"/>
        <v>-2.3817241968612111</v>
      </c>
      <c r="EG17" s="10">
        <f t="shared" si="196"/>
        <v>-2.6866046294364518</v>
      </c>
      <c r="EH17" s="9">
        <f t="shared" si="197"/>
        <v>0.38807500182478594</v>
      </c>
      <c r="EI17" s="5">
        <f t="shared" si="198"/>
        <v>4.9082822609298544</v>
      </c>
      <c r="EJ17" s="6">
        <f t="shared" si="199"/>
        <v>-2.6866046294364518</v>
      </c>
      <c r="EK17" s="236" t="b">
        <f t="shared" si="200"/>
        <v>0</v>
      </c>
      <c r="EL17" s="238" t="b">
        <f t="shared" si="201"/>
        <v>1</v>
      </c>
      <c r="EM17" s="4">
        <f t="shared" si="202"/>
        <v>0.38807500182478594</v>
      </c>
      <c r="EN17" s="5">
        <f t="shared" si="203"/>
        <v>4.9082822609298544</v>
      </c>
      <c r="EO17" s="10">
        <f t="shared" si="204"/>
        <v>-2.6866046294364518</v>
      </c>
      <c r="EP17" s="9">
        <f t="shared" si="205"/>
        <v>85.479294243959174</v>
      </c>
      <c r="EQ17" s="5">
        <f t="shared" si="206"/>
        <v>4.9235999999999986</v>
      </c>
      <c r="ER17" s="7">
        <f t="shared" si="207"/>
        <v>-2.6866046294364518</v>
      </c>
      <c r="ES17" s="21">
        <f t="shared" si="132"/>
        <v>0.83981062807658513</v>
      </c>
      <c r="ET17" s="5">
        <f t="shared" si="44"/>
        <v>-0.54112759058728155</v>
      </c>
      <c r="EU17" s="10">
        <f t="shared" si="45"/>
        <v>-4.3577972357774906E-2</v>
      </c>
      <c r="EV17" s="174">
        <f t="shared" si="254"/>
        <v>4.5207057560408259</v>
      </c>
      <c r="EW17" s="9">
        <f t="shared" si="133"/>
        <v>0.87984923613479249</v>
      </c>
      <c r="EX17" s="5">
        <f t="shared" si="47"/>
        <v>-0.47325076016653911</v>
      </c>
      <c r="EY17" s="6">
        <f t="shared" si="208"/>
        <v>-4.3577972357774906E-2</v>
      </c>
      <c r="EZ17" s="51">
        <f t="shared" si="209"/>
        <v>0.30867719771185442</v>
      </c>
      <c r="FA17" s="266">
        <f t="shared" si="134"/>
        <v>0.99687444776846235</v>
      </c>
      <c r="FB17" s="267">
        <f t="shared" si="135"/>
        <v>-7.8818216347553552E-2</v>
      </c>
      <c r="FC17" s="269">
        <f t="shared" si="48"/>
        <v>-5.3874073647337877E-3</v>
      </c>
      <c r="FD17" s="4">
        <f t="shared" si="136"/>
        <v>0.99998548781564156</v>
      </c>
      <c r="FE17" s="5">
        <f t="shared" si="49"/>
        <v>-2.7755575615628914E-17</v>
      </c>
      <c r="FF17" s="7">
        <f t="shared" si="210"/>
        <v>-5.3874073647337877E-3</v>
      </c>
      <c r="FG17" s="173">
        <f t="shared" si="211"/>
        <v>-0.12013625168084907</v>
      </c>
      <c r="FH17" s="5">
        <f t="shared" si="50"/>
        <v>-0.47325076016653911</v>
      </c>
      <c r="FI17" s="10">
        <f t="shared" si="51"/>
        <v>-3.8190564993041118E-2</v>
      </c>
      <c r="FJ17" s="279">
        <f t="shared" si="212"/>
        <v>28.349041758431181</v>
      </c>
      <c r="FK17" s="4">
        <f t="shared" si="52"/>
        <v>0.99905002894008521</v>
      </c>
      <c r="FL17" s="5">
        <f t="shared" si="213"/>
        <v>0.99998548781564156</v>
      </c>
      <c r="FM17" s="8">
        <f t="shared" si="214"/>
        <v>0.48826120157773278</v>
      </c>
      <c r="FN17" s="9">
        <f t="shared" si="215"/>
        <v>28.274790445747186</v>
      </c>
      <c r="FO17" s="10">
        <f t="shared" si="53"/>
        <v>1</v>
      </c>
      <c r="FP17" s="277">
        <f t="shared" si="54"/>
        <v>28.274790445747186</v>
      </c>
      <c r="FQ17" s="173">
        <f t="shared" si="243"/>
        <v>0.47370076218167112</v>
      </c>
      <c r="FR17" s="10">
        <f t="shared" si="216"/>
        <v>0.8806858622167747</v>
      </c>
      <c r="FS17" s="9">
        <f t="shared" si="217"/>
        <v>0.34975298312036013</v>
      </c>
      <c r="FT17" s="6">
        <f t="shared" si="218"/>
        <v>0.65024701687963993</v>
      </c>
      <c r="FU17" s="4">
        <f t="shared" si="219"/>
        <v>0.88092775980882376</v>
      </c>
      <c r="FV17" s="5">
        <f t="shared" si="220"/>
        <v>1</v>
      </c>
      <c r="FW17" s="8">
        <f t="shared" si="244"/>
        <v>0.12606045463352894</v>
      </c>
      <c r="FX17" s="9">
        <f t="shared" si="245"/>
        <v>2.5268031567381422</v>
      </c>
      <c r="FY17" s="10">
        <f t="shared" si="55"/>
        <v>1</v>
      </c>
      <c r="FZ17" s="277">
        <f t="shared" si="246"/>
        <v>2.5268031567381422</v>
      </c>
      <c r="GA17" s="177">
        <f t="shared" si="221"/>
        <v>2.225843346149281</v>
      </c>
      <c r="GB17" s="4">
        <f t="shared" si="222"/>
        <v>-0.47324018623318997</v>
      </c>
      <c r="GC17" s="5">
        <f t="shared" si="223"/>
        <v>0.87982957749298352</v>
      </c>
      <c r="GD17" s="10">
        <f t="shared" si="224"/>
        <v>-4.408674066534797E-2</v>
      </c>
      <c r="GE17" s="311">
        <f t="shared" si="225"/>
        <v>1.3971565043915215</v>
      </c>
      <c r="GF17" s="341">
        <f t="shared" si="247"/>
        <v>0.71573942994704953</v>
      </c>
      <c r="GG17" s="285">
        <f t="shared" si="56"/>
        <v>0.33871666112257892</v>
      </c>
      <c r="GH17" s="286">
        <f t="shared" si="57"/>
        <v>0.62972872024538151</v>
      </c>
      <c r="GI17" s="281">
        <f t="shared" si="58"/>
        <v>3.1554618632039566E-2</v>
      </c>
      <c r="GJ17" s="167">
        <f t="shared" si="226"/>
        <v>4.9236000000000004</v>
      </c>
      <c r="GK17" s="174">
        <f t="shared" si="59"/>
        <v>2.5780283443583998</v>
      </c>
      <c r="GL17" s="174">
        <f t="shared" si="227"/>
        <v>4.5999999999999999E-3</v>
      </c>
      <c r="GM17" s="177">
        <f t="shared" si="248"/>
        <v>0.14230716460858367</v>
      </c>
      <c r="GN17" s="280">
        <f t="shared" si="228"/>
        <v>7.4372828827970142E-3</v>
      </c>
      <c r="GO17" s="4">
        <f t="shared" si="229"/>
        <v>28.274790445747186</v>
      </c>
      <c r="GP17" s="8">
        <f t="shared" si="249"/>
        <v>2.5268031567381422</v>
      </c>
      <c r="GQ17" s="177">
        <f t="shared" si="230"/>
        <v>28.349041758431181</v>
      </c>
      <c r="GR17" s="371">
        <f t="shared" si="250"/>
        <v>555.53833751320099</v>
      </c>
      <c r="GS17" s="342">
        <f t="shared" si="61"/>
        <v>188.17009080805974</v>
      </c>
      <c r="GT17" s="343">
        <f t="shared" si="62"/>
        <v>72.989923179021559</v>
      </c>
      <c r="GU17" s="344">
        <f t="shared" si="63"/>
        <v>349.83844632943482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>
        <f t="shared" si="66"/>
        <v>17.529800375706333</v>
      </c>
      <c r="GZ17" s="345">
        <f t="shared" si="67"/>
        <v>6.7996926465403229</v>
      </c>
      <c r="HA17" s="342">
        <f t="shared" si="68"/>
        <v>188.17009080805974</v>
      </c>
      <c r="HB17" s="5">
        <f t="shared" si="231"/>
        <v>4.5207057560408259</v>
      </c>
      <c r="HC17" s="343">
        <f t="shared" si="232"/>
        <v>187.58467762425047</v>
      </c>
      <c r="HD17" s="345">
        <f t="shared" si="233"/>
        <v>14.831446164129483</v>
      </c>
      <c r="HE17" s="344">
        <f t="shared" si="69"/>
        <v>135.69999999999999</v>
      </c>
      <c r="HF17" s="5">
        <f t="shared" si="70"/>
        <v>94.520705756040826</v>
      </c>
      <c r="HG17" s="343">
        <f t="shared" si="234"/>
        <v>-10.695787177598381</v>
      </c>
      <c r="HH17" s="349">
        <f t="shared" si="235"/>
        <v>135.27782573892708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3.109</v>
      </c>
      <c r="HM17" s="909" t="e">
        <f t="shared" si="138"/>
        <v>#NUM!</v>
      </c>
      <c r="HN17" s="910">
        <f t="shared" si="73"/>
        <v>15.99999768988615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2.1025999999999998</v>
      </c>
      <c r="HT17" s="875">
        <f t="shared" si="76"/>
        <v>3.61E-2</v>
      </c>
      <c r="HU17" s="876">
        <f t="shared" si="77"/>
        <v>0.47695596870695217</v>
      </c>
      <c r="HV17" s="872">
        <f t="shared" si="78"/>
        <v>2.492675946196261E-2</v>
      </c>
      <c r="HW17" s="866">
        <f t="shared" si="79"/>
        <v>29500</v>
      </c>
      <c r="HX17" s="867">
        <f t="shared" si="80"/>
        <v>186.59698916666667</v>
      </c>
      <c r="HY17" s="866" t="e">
        <f t="shared" si="81"/>
        <v>#NUM!</v>
      </c>
      <c r="HZ17" s="868">
        <f t="shared" si="82"/>
        <v>1172.5167564045908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1064.95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0.83820903951970804</v>
      </c>
      <c r="C18" s="572">
        <f t="shared" si="3"/>
        <v>2.3177960175382584</v>
      </c>
      <c r="D18" s="576">
        <f t="shared" si="4"/>
        <v>-0.13271261756748581</v>
      </c>
      <c r="E18" s="580">
        <f t="shared" si="5"/>
        <v>-0.85677068856444305</v>
      </c>
      <c r="F18" s="572">
        <f t="shared" si="6"/>
        <v>0.37601728523267292</v>
      </c>
      <c r="G18" s="579">
        <f t="shared" si="7"/>
        <v>0.35292348805805063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0.83820903951970804</v>
      </c>
      <c r="O18" s="572">
        <f t="shared" si="14"/>
        <v>2.3177960175382584</v>
      </c>
      <c r="P18" s="576">
        <f t="shared" si="15"/>
        <v>-0.13271261756748581</v>
      </c>
      <c r="Q18" s="528">
        <f t="shared" si="140"/>
        <v>70.117954624986396</v>
      </c>
      <c r="R18" s="572">
        <f>IF(M18="","",SQRT(N18^2+O18^2))</f>
        <v>2.4647054129953871</v>
      </c>
      <c r="S18" s="577">
        <f>IF(M18="","",P18)</f>
        <v>-0.13271261756748581</v>
      </c>
      <c r="T18" s="578">
        <f>IF(M18="","",X18*COS(RADIANS(W18)))</f>
        <v>2.3191098130222598</v>
      </c>
      <c r="U18" s="572">
        <f>IF(M18="","",X18*SIN(RADIANS(W18)))</f>
        <v>-0.83456722197353361</v>
      </c>
      <c r="V18" s="579">
        <f>IF(M18="","",Y18)</f>
        <v>-0.13271261756748581</v>
      </c>
      <c r="W18" s="528">
        <f t="shared" si="253"/>
        <v>340.20795461199202</v>
      </c>
      <c r="X18" s="572">
        <f>IF(M18="","",R18)</f>
        <v>2.4647054129953871</v>
      </c>
      <c r="Y18" s="573">
        <f t="shared" si="255"/>
        <v>-0.13271261756748581</v>
      </c>
      <c r="Z18" s="575">
        <f t="shared" si="18"/>
        <v>0.85677068856444305</v>
      </c>
      <c r="AA18" s="572">
        <f t="shared" si="19"/>
        <v>-0.37601728523267292</v>
      </c>
      <c r="AB18" s="572">
        <f t="shared" si="20"/>
        <v>-0.35292348805805063</v>
      </c>
      <c r="AC18" s="579">
        <f>IF(M18="","",SQRT(Z18^2+AA18^2+AB18^2))</f>
        <v>1</v>
      </c>
      <c r="AD18" s="580">
        <f>IF(M18="","",Z18*(1/SQRT(Z18^2+AA18^2+AB18^2)))</f>
        <v>0.85677068856444305</v>
      </c>
      <c r="AE18" s="572">
        <f>IF(M18="","",AA18*(1/SQRT(Z18^2+AA18^2+AB18^2)))</f>
        <v>-0.37601728523267292</v>
      </c>
      <c r="AF18" s="576">
        <f>IF(M18="","",AB18*(1/SQRT(Z18^2+AA18^2+AB18^2)))</f>
        <v>-0.35292348805805063</v>
      </c>
      <c r="AG18" s="545">
        <f>IF(M18="","",DEGREES(ATAN2(-AF18,AE18)))</f>
        <v>-46.814598294716369</v>
      </c>
      <c r="AH18" s="546">
        <f>IF(M18="","",DEGREES(ACOS(AD18)))</f>
        <v>31.044093168811468</v>
      </c>
      <c r="AI18" s="528">
        <f>IF(M18="","",DEGREES(-ACOS(-AF18)))</f>
        <v>-69.333766681425985</v>
      </c>
      <c r="AJ18" s="529">
        <f>IF(M18="","",DEGREES(ATAN2(-AE18,AD18)))</f>
        <v>66.304415793196981</v>
      </c>
      <c r="AK18" s="578">
        <f>IF(M18="","",(COS(RADIANS((90-$Q$8)-W18))*AD18)+(-SIN(RADIANS((90-$Q$8)-W18))*AE18))</f>
        <v>0.93358044546160568</v>
      </c>
      <c r="AL18" s="572">
        <f>IF(M18="","",(SIN(RADIANS((90-$Q$8)-W18))*AD18)+(COS(RADIANS((90-$Q$8)-W18))*AE18))</f>
        <v>-6.2229923900395334E-2</v>
      </c>
      <c r="AM18" s="577">
        <f>IF(M18="","",AF18)</f>
        <v>-0.35292348805805063</v>
      </c>
      <c r="AN18" s="524">
        <f>IF(M18="","",DEGREES(ATAN2(-AM18,AL18)))</f>
        <v>-9.9999985561788076</v>
      </c>
      <c r="AO18" s="525">
        <f t="shared" si="116"/>
        <v>20.999996967975559</v>
      </c>
      <c r="AP18" s="528">
        <f>IF(M18="","",DEGREES(ATAN2(AK18,AL18)))</f>
        <v>-3.8135388317894012</v>
      </c>
      <c r="AQ18" s="529">
        <f t="shared" si="21"/>
        <v>0.61660881350661267</v>
      </c>
      <c r="AS18" s="932">
        <f t="shared" si="143"/>
        <v>-19.792045388007978</v>
      </c>
      <c r="AT18" s="928">
        <f t="shared" si="22"/>
        <v>-0.12350796693090545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2.11</v>
      </c>
      <c r="HM18" s="909" t="e">
        <f t="shared" si="138"/>
        <v>#NUM!</v>
      </c>
      <c r="HN18" s="910">
        <f t="shared" si="73"/>
        <v>15.999997689886175</v>
      </c>
      <c r="HO18" s="911"/>
      <c r="HP18" s="912"/>
      <c r="HQ18" s="910" t="e">
        <f t="shared" si="74"/>
        <v>#NUM!</v>
      </c>
      <c r="HR18" s="913" t="e">
        <f t="shared" si="75"/>
        <v>#NUM!</v>
      </c>
      <c r="HS18" s="865">
        <f t="shared" si="251"/>
        <v>2.2400000000000002</v>
      </c>
      <c r="HT18" s="875">
        <f t="shared" si="76"/>
        <v>3.6799999999999999E-2</v>
      </c>
      <c r="HU18" s="876">
        <f t="shared" si="77"/>
        <v>0.51797184508438077</v>
      </c>
      <c r="HV18" s="872">
        <f t="shared" si="78"/>
        <v>2.7070338642559737E-2</v>
      </c>
      <c r="HW18" s="866">
        <f t="shared" si="79"/>
        <v>29500</v>
      </c>
      <c r="HX18" s="867">
        <f t="shared" si="80"/>
        <v>202.64533333333333</v>
      </c>
      <c r="HY18" s="866" t="e">
        <f t="shared" si="81"/>
        <v>#NUM!</v>
      </c>
      <c r="HZ18" s="868">
        <f t="shared" si="82"/>
        <v>1273.3474524991025</v>
      </c>
      <c r="IA18" s="869" t="e">
        <f t="shared" si="83"/>
        <v>#NUM!</v>
      </c>
      <c r="IB18" s="870" t="e">
        <f t="shared" si="84"/>
        <v>#NUM!</v>
      </c>
      <c r="IC18" s="841" t="e">
        <f t="shared" si="85"/>
        <v>#NUM!</v>
      </c>
      <c r="ID18" s="351">
        <f t="shared" si="86"/>
        <v>1085.5999999999999</v>
      </c>
      <c r="IE18" s="843" t="e">
        <f t="shared" si="87"/>
        <v>#NUM!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19.792045388007978</v>
      </c>
      <c r="IO18" s="702">
        <v>3.0654223668929101E-2</v>
      </c>
      <c r="IP18" s="5">
        <f t="shared" si="91"/>
        <v>0.3</v>
      </c>
      <c r="IQ18" s="714">
        <v>270</v>
      </c>
      <c r="IR18" s="9">
        <f t="shared" si="139"/>
        <v>-2.4586074151599639</v>
      </c>
      <c r="IS18" s="5">
        <f t="shared" si="92"/>
        <v>-0.15630047140222181</v>
      </c>
      <c r="IT18" s="5">
        <f t="shared" si="93"/>
        <v>0.3125</v>
      </c>
      <c r="IU18" s="5">
        <f t="shared" si="94"/>
        <v>0.30039428345367697</v>
      </c>
      <c r="IV18" s="670">
        <f t="shared" si="95"/>
        <v>9.999998556178836</v>
      </c>
      <c r="IW18" s="9">
        <f t="shared" si="96"/>
        <v>-2.4647054129953871</v>
      </c>
      <c r="IX18" s="5">
        <f t="shared" si="97"/>
        <v>-0.13271261756748581</v>
      </c>
      <c r="IY18" s="5">
        <f t="shared" si="98"/>
        <v>0.26450000000000001</v>
      </c>
      <c r="IZ18" s="5">
        <f t="shared" si="99"/>
        <v>0.24693202782459472</v>
      </c>
      <c r="JA18" s="705">
        <f t="shared" si="100"/>
        <v>9.9999985561788076</v>
      </c>
    </row>
    <row r="19" spans="1:271" ht="15" customHeight="1" thickBot="1" x14ac:dyDescent="0.3">
      <c r="A19" s="75">
        <f t="shared" si="1"/>
        <v>0</v>
      </c>
      <c r="B19" s="578">
        <f t="shared" si="2"/>
        <v>0.87506634331155442</v>
      </c>
      <c r="C19" s="572">
        <f t="shared" si="3"/>
        <v>3.0717724989311681</v>
      </c>
      <c r="D19" s="576">
        <f t="shared" si="4"/>
        <v>-0.32813875431451983</v>
      </c>
      <c r="E19" s="580">
        <f t="shared" si="5"/>
        <v>-0.85189912166076331</v>
      </c>
      <c r="F19" s="572">
        <f t="shared" si="6"/>
        <v>0.40416385387118903</v>
      </c>
      <c r="G19" s="579">
        <f t="shared" si="7"/>
        <v>0.33304574120923458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0.87506634331155442</v>
      </c>
      <c r="O19" s="572">
        <f t="shared" si="14"/>
        <v>3.0717724989311681</v>
      </c>
      <c r="P19" s="576">
        <f t="shared" si="15"/>
        <v>-0.32813875431451983</v>
      </c>
      <c r="Q19" s="528">
        <f t="shared" si="140"/>
        <v>74.099155857705171</v>
      </c>
      <c r="R19" s="572">
        <f>IF(M19="","",SQRT(N19^2+O19^2))</f>
        <v>3.1939829978236403</v>
      </c>
      <c r="S19" s="577">
        <f>IF(M19="","",P19)</f>
        <v>-0.32813875431451983</v>
      </c>
      <c r="T19" s="578">
        <f>IF(M19="","",X19*COS(RADIANS(W19)))</f>
        <v>3.0731432595196737</v>
      </c>
      <c r="U19" s="572">
        <f>IF(M19="","",X19*SIN(RADIANS(W19)))</f>
        <v>-0.87024013746510342</v>
      </c>
      <c r="V19" s="579">
        <f>IF(M19="","",Y19)</f>
        <v>-0.32813875431451983</v>
      </c>
      <c r="W19" s="528">
        <f t="shared" si="253"/>
        <v>344.1891558447108</v>
      </c>
      <c r="X19" s="572">
        <f>IF(M19="","",R19)</f>
        <v>3.1939829978236403</v>
      </c>
      <c r="Y19" s="573">
        <f t="shared" si="255"/>
        <v>-0.32813875431451983</v>
      </c>
      <c r="Z19" s="575">
        <f t="shared" si="18"/>
        <v>0.85189912166076331</v>
      </c>
      <c r="AA19" s="572">
        <f t="shared" si="19"/>
        <v>-0.40416385387118903</v>
      </c>
      <c r="AB19" s="572">
        <f t="shared" si="20"/>
        <v>-0.33304574120923458</v>
      </c>
      <c r="AC19" s="579">
        <f>IF(M19="","",SQRT(Z19^2+AA19^2+AB19^2))</f>
        <v>1</v>
      </c>
      <c r="AD19" s="580">
        <f>IF(M19="","",Z19*(1/SQRT(Z19^2+AA19^2+AB19^2)))</f>
        <v>0.85189912166076331</v>
      </c>
      <c r="AE19" s="572">
        <f>IF(M19="","",AA19*(1/SQRT(Z19^2+AA19^2+AB19^2)))</f>
        <v>-0.40416385387118903</v>
      </c>
      <c r="AF19" s="576">
        <f>IF(M19="","",AB19*(1/SQRT(Z19^2+AA19^2+AB19^2)))</f>
        <v>-0.33304574120923458</v>
      </c>
      <c r="AG19" s="545">
        <f>IF(M19="","",DEGREES(ATAN2(-AF19,AE19)))</f>
        <v>-50.510234085830639</v>
      </c>
      <c r="AH19" s="546">
        <f>IF(M19="","",DEGREES(ACOS(AD19)))</f>
        <v>31.581166946703807</v>
      </c>
      <c r="AI19" s="528">
        <f>IF(M19="","",DEGREES(-ACOS(-AF19)))</f>
        <v>-70.546255785457376</v>
      </c>
      <c r="AJ19" s="529">
        <f>IF(M19="","",DEGREES(ATAN2(-AE19,AD19)))</f>
        <v>64.619079546003974</v>
      </c>
      <c r="AK19" s="578">
        <f>IF(M19="","",(COS(RADIANS((90-$Q$8)-W19))*AD19)+(-SIN(RADIANS((90-$Q$8)-W19))*AE19))</f>
        <v>0.93003327867149066</v>
      </c>
      <c r="AL19" s="572">
        <f>IF(M19="","",(SIN(RADIANS((90-$Q$8)-W19))*AD19)+(COS(RADIANS((90-$Q$8)-W19))*AE19))</f>
        <v>-0.15530175409810798</v>
      </c>
      <c r="AM19" s="577">
        <f>IF(M19="","",AF19)</f>
        <v>-0.33304574120923458</v>
      </c>
      <c r="AN19" s="524">
        <f>IF(M19="","",DEGREES(ATAN2(-AM19,AL19)))</f>
        <v>-24.999996390447119</v>
      </c>
      <c r="AO19" s="525">
        <f t="shared" si="116"/>
        <v>21.559996887121574</v>
      </c>
      <c r="AP19" s="528">
        <f>IF(M19="","",DEGREES(ATAN2(AK19,AL19)))</f>
        <v>-9.4800763117011879</v>
      </c>
      <c r="AQ19" s="529">
        <f t="shared" si="21"/>
        <v>0.47582683298998263</v>
      </c>
      <c r="AS19" s="932">
        <f t="shared" si="143"/>
        <v>-15.810844155289203</v>
      </c>
      <c r="AT19" s="928">
        <f t="shared" si="22"/>
        <v>-0.32077725239679072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1.111</v>
      </c>
      <c r="HM19" s="909" t="e">
        <f t="shared" si="138"/>
        <v>#NUM!</v>
      </c>
      <c r="HN19" s="910">
        <f t="shared" si="73"/>
        <v>15.999997689886136</v>
      </c>
      <c r="HO19" s="911"/>
      <c r="HP19" s="912"/>
      <c r="HQ19" s="910" t="e">
        <f t="shared" si="74"/>
        <v>#NUM!</v>
      </c>
      <c r="HR19" s="913" t="e">
        <f t="shared" si="75"/>
        <v>#NUM!</v>
      </c>
      <c r="HS19" s="865">
        <f t="shared" si="251"/>
        <v>2.3776000000000002</v>
      </c>
      <c r="HT19" s="875">
        <f t="shared" si="76"/>
        <v>3.3799999999999997E-2</v>
      </c>
      <c r="HU19" s="876">
        <f t="shared" si="77"/>
        <v>0.50496629017588213</v>
      </c>
      <c r="HV19" s="872">
        <f t="shared" si="78"/>
        <v>2.6390639969844986E-2</v>
      </c>
      <c r="HW19" s="866">
        <f t="shared" si="79"/>
        <v>29500</v>
      </c>
      <c r="HX19" s="867">
        <f t="shared" si="80"/>
        <v>197.55874666666668</v>
      </c>
      <c r="HY19" s="866" t="e">
        <f t="shared" si="81"/>
        <v>#NUM!</v>
      </c>
      <c r="HZ19" s="868">
        <f t="shared" si="82"/>
        <v>1241.3754633490435</v>
      </c>
      <c r="IA19" s="869" t="e">
        <f t="shared" si="83"/>
        <v>#NUM!</v>
      </c>
      <c r="IB19" s="870" t="e">
        <f t="shared" si="84"/>
        <v>#NUM!</v>
      </c>
      <c r="IC19" s="841" t="e">
        <f t="shared" si="85"/>
        <v>#NUM!</v>
      </c>
      <c r="ID19" s="351">
        <f t="shared" si="86"/>
        <v>997.09999999999991</v>
      </c>
      <c r="IE19" s="843" t="e">
        <f t="shared" si="87"/>
        <v>#NUM!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15.180844246249933</v>
      </c>
      <c r="IO19" s="702">
        <v>2.71920686263902E-2</v>
      </c>
      <c r="IP19" s="5">
        <f t="shared" si="91"/>
        <v>0.36666666666666664</v>
      </c>
      <c r="IQ19" s="714">
        <v>330</v>
      </c>
      <c r="IR19" s="9">
        <f t="shared" si="139"/>
        <v>-3.1791095881945184</v>
      </c>
      <c r="IS19" s="5">
        <f t="shared" si="92"/>
        <v>-0.35160106042879813</v>
      </c>
      <c r="IT19" s="5">
        <f t="shared" si="93"/>
        <v>0.3125</v>
      </c>
      <c r="IU19" s="5">
        <f t="shared" si="94"/>
        <v>0.29953806278478229</v>
      </c>
      <c r="IV19" s="670">
        <f t="shared" si="95"/>
        <v>24.99999639044708</v>
      </c>
      <c r="IW19" s="9">
        <f t="shared" si="96"/>
        <v>-3.1939829978236403</v>
      </c>
      <c r="IX19" s="5">
        <f t="shared" si="97"/>
        <v>-0.32813875431451983</v>
      </c>
      <c r="IY19" s="5">
        <f t="shared" si="98"/>
        <v>0.26450000000000001</v>
      </c>
      <c r="IZ19" s="5">
        <f t="shared" si="99"/>
        <v>0.24599380220860928</v>
      </c>
      <c r="JA19" s="705">
        <f t="shared" si="100"/>
        <v>24.999996390447119</v>
      </c>
      <c r="JD19" s="1354" t="s">
        <v>356</v>
      </c>
      <c r="JE19" s="1355"/>
      <c r="JF19" s="1355"/>
      <c r="JG19" s="1355"/>
      <c r="JH19" s="1355"/>
      <c r="JI19" s="1355"/>
      <c r="JJ19" s="1355"/>
      <c r="JK19" s="1356"/>
    </row>
    <row r="20" spans="1:271" ht="15" customHeight="1" x14ac:dyDescent="0.25">
      <c r="A20" s="75">
        <f t="shared" si="1"/>
        <v>0</v>
      </c>
      <c r="B20" s="578">
        <f t="shared" si="2"/>
        <v>0.93548137612266236</v>
      </c>
      <c r="C20" s="572">
        <f t="shared" si="3"/>
        <v>3.7055993981046584</v>
      </c>
      <c r="D20" s="576">
        <f t="shared" si="4"/>
        <v>-0.74810826541159559</v>
      </c>
      <c r="E20" s="580">
        <f t="shared" si="5"/>
        <v>-0.8130160498221789</v>
      </c>
      <c r="F20" s="572">
        <f t="shared" si="6"/>
        <v>0.48458376601522896</v>
      </c>
      <c r="G20" s="579">
        <f t="shared" si="7"/>
        <v>0.32277465273165151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0.93548137612266236</v>
      </c>
      <c r="O20" s="572">
        <f t="shared" si="14"/>
        <v>3.7055993981046584</v>
      </c>
      <c r="P20" s="576">
        <f t="shared" si="15"/>
        <v>-0.74810826541159559</v>
      </c>
      <c r="Q20" s="528">
        <f t="shared" si="140"/>
        <v>75.831674739890801</v>
      </c>
      <c r="R20" s="572">
        <f>IF(M20="","",SQRT(N20^2+O20^2))</f>
        <v>3.8218571799984828</v>
      </c>
      <c r="S20" s="577">
        <f>IF(M20="","",P20)</f>
        <v>-0.74810826541159559</v>
      </c>
      <c r="T20" s="578">
        <f>IF(M20="","",X20*COS(RADIANS(W20)))</f>
        <v>3.7070642763998509</v>
      </c>
      <c r="U20" s="572">
        <f>IF(M20="","",X20*SIN(RADIANS(W20)))</f>
        <v>-0.92965948333032389</v>
      </c>
      <c r="V20" s="579">
        <f>IF(M20="","",Y20)</f>
        <v>-0.74810826541159559</v>
      </c>
      <c r="W20" s="528">
        <f t="shared" si="253"/>
        <v>345.92167472689641</v>
      </c>
      <c r="X20" s="572">
        <f>IF(M20="","",R20)</f>
        <v>3.8218571799984828</v>
      </c>
      <c r="Y20" s="573">
        <f t="shared" si="255"/>
        <v>-0.74810826541159559</v>
      </c>
      <c r="Z20" s="575">
        <f t="shared" si="18"/>
        <v>0.8130160498221789</v>
      </c>
      <c r="AA20" s="572">
        <f t="shared" si="19"/>
        <v>-0.48458376601522896</v>
      </c>
      <c r="AB20" s="572">
        <f t="shared" si="20"/>
        <v>-0.32277465273165151</v>
      </c>
      <c r="AC20" s="579">
        <f>IF(M20="","",SQRT(Z20^2+AA20^2+AB20^2))</f>
        <v>1</v>
      </c>
      <c r="AD20" s="580">
        <f>IF(M20="","",Z20*(1/SQRT(Z20^2+AA20^2+AB20^2)))</f>
        <v>0.8130160498221789</v>
      </c>
      <c r="AE20" s="572">
        <f>IF(M20="","",AA20*(1/SQRT(Z20^2+AA20^2+AB20^2)))</f>
        <v>-0.48458376601522896</v>
      </c>
      <c r="AF20" s="576">
        <f>IF(M20="","",AB20*(1/SQRT(Z20^2+AA20^2+AB20^2)))</f>
        <v>-0.32277465273165151</v>
      </c>
      <c r="AG20" s="545">
        <f>IF(M20="","",DEGREES(ATAN2(-AF20,AE20)))</f>
        <v>-56.332955959937252</v>
      </c>
      <c r="AH20" s="546">
        <f>IF(M20="","",DEGREES(ACOS(AD20)))</f>
        <v>35.608336902599582</v>
      </c>
      <c r="AI20" s="528">
        <f>IF(M20="","",DEGREES(-ACOS(-AF20)))</f>
        <v>-71.169192615956916</v>
      </c>
      <c r="AJ20" s="529">
        <f>IF(M20="","",DEGREES(ATAN2(-AE20,AD20)))</f>
        <v>59.203695452716516</v>
      </c>
      <c r="AK20" s="578">
        <f>IF(M20="","",(COS(RADIANS((90-$Q$8)-W20))*AD20)+(-SIN(RADIANS((90-$Q$8)-W20))*AE20))</f>
        <v>0.90689701626958708</v>
      </c>
      <c r="AL20" s="572">
        <f>IF(M20="","",(SIN(RADIANS((90-$Q$8)-W20))*AD20)+(COS(RADIANS((90-$Q$8)-W20))*AE20))</f>
        <v>-0.27084003661807865</v>
      </c>
      <c r="AM20" s="577">
        <f>IF(M20="","",AF20)</f>
        <v>-0.32277465273165151</v>
      </c>
      <c r="AN20" s="524">
        <f>IF(M20="","",DEGREES(ATAN2(-AM20,AL20)))</f>
        <v>-39.999994224715337</v>
      </c>
      <c r="AO20" s="525">
        <f t="shared" si="116"/>
        <v>24.919996401997658</v>
      </c>
      <c r="AP20" s="528">
        <f>IF(M20="","",DEGREES(ATAN2(AK20,AL20)))</f>
        <v>-16.627979287174259</v>
      </c>
      <c r="AQ20" s="529">
        <f t="shared" si="21"/>
        <v>0.39765833202796053</v>
      </c>
      <c r="AS20" s="932">
        <f t="shared" si="143"/>
        <v>-14.078325273103587</v>
      </c>
      <c r="AT20" s="928">
        <f t="shared" si="22"/>
        <v>-0.74154885556895245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6.1120000000000001</v>
      </c>
      <c r="HM20" s="909">
        <f t="shared" si="138"/>
        <v>2.7960283931854728</v>
      </c>
      <c r="HN20" s="910">
        <f t="shared" si="73"/>
        <v>15.999997689886111</v>
      </c>
      <c r="HO20" s="911"/>
      <c r="HP20" s="912"/>
      <c r="HQ20" s="910">
        <f t="shared" si="74"/>
        <v>15.259633846534109</v>
      </c>
      <c r="HR20" s="913">
        <f t="shared" si="75"/>
        <v>15.025718916939013</v>
      </c>
      <c r="HS20" s="865">
        <f t="shared" si="251"/>
        <v>2.5207000000000002</v>
      </c>
      <c r="HT20" s="875">
        <f t="shared" si="76"/>
        <v>3.5200000000000002E-2</v>
      </c>
      <c r="HU20" s="876">
        <f t="shared" si="77"/>
        <v>0.55752935436540607</v>
      </c>
      <c r="HV20" s="872">
        <f t="shared" si="78"/>
        <v>2.9137700377093994E-2</v>
      </c>
      <c r="HW20" s="866">
        <f t="shared" si="79"/>
        <v>29500</v>
      </c>
      <c r="HX20" s="867">
        <f t="shared" si="80"/>
        <v>218.12457333333336</v>
      </c>
      <c r="HY20" s="866">
        <f t="shared" si="81"/>
        <v>66.937947585407969</v>
      </c>
      <c r="HZ20" s="868">
        <f t="shared" si="82"/>
        <v>1370.5929961482898</v>
      </c>
      <c r="IA20" s="869">
        <f t="shared" si="83"/>
        <v>368.34727861736718</v>
      </c>
      <c r="IB20" s="870">
        <f t="shared" si="84"/>
        <v>1805.878222351065</v>
      </c>
      <c r="IC20" s="841">
        <f t="shared" si="85"/>
        <v>50.714081399820067</v>
      </c>
      <c r="ID20" s="351">
        <f t="shared" si="86"/>
        <v>1038.4000000000001</v>
      </c>
      <c r="IE20" s="843">
        <f t="shared" si="87"/>
        <v>279.07031131136091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12.658325478126187</v>
      </c>
      <c r="IO20" s="702">
        <v>2.4753013801641601E-2</v>
      </c>
      <c r="IP20" s="5">
        <f t="shared" si="91"/>
        <v>0.44444444444444442</v>
      </c>
      <c r="IQ20" s="714">
        <v>400</v>
      </c>
      <c r="IR20" s="9">
        <f t="shared" si="139"/>
        <v>-3.7990114578185561</v>
      </c>
      <c r="IS20" s="5">
        <f t="shared" si="92"/>
        <v>-0.76830231719978814</v>
      </c>
      <c r="IT20" s="5">
        <f t="shared" si="93"/>
        <v>0.3125</v>
      </c>
      <c r="IU20" s="5">
        <f t="shared" si="94"/>
        <v>0.29380289748520261</v>
      </c>
      <c r="IV20" s="670">
        <f t="shared" si="95"/>
        <v>39.999994224715344</v>
      </c>
      <c r="IW20" s="9">
        <f t="shared" si="96"/>
        <v>-3.8218571799984828</v>
      </c>
      <c r="IX20" s="5">
        <f t="shared" si="97"/>
        <v>-0.74810826541159559</v>
      </c>
      <c r="IY20" s="5">
        <f t="shared" si="98"/>
        <v>0.26450000000000001</v>
      </c>
      <c r="IZ20" s="5">
        <f t="shared" si="99"/>
        <v>0.23987426080330579</v>
      </c>
      <c r="JA20" s="705">
        <f t="shared" si="100"/>
        <v>39.999994224715337</v>
      </c>
      <c r="JC20" s="31"/>
      <c r="JD20" s="1357" t="s">
        <v>360</v>
      </c>
      <c r="JE20" s="1358"/>
      <c r="JF20" s="1358"/>
      <c r="JG20" s="1358"/>
      <c r="JH20" s="1136" t="s">
        <v>361</v>
      </c>
      <c r="JI20" s="1137"/>
      <c r="JJ20" s="1137"/>
      <c r="JK20" s="1138"/>
    </row>
    <row r="21" spans="1:271" ht="15" customHeight="1" x14ac:dyDescent="0.25">
      <c r="A21" s="75">
        <f t="shared" si="1"/>
        <v>0</v>
      </c>
      <c r="B21" s="578">
        <f t="shared" si="2"/>
        <v>1.4022608688270897</v>
      </c>
      <c r="C21" s="572">
        <f t="shared" si="3"/>
        <v>4.0412351458789111</v>
      </c>
      <c r="D21" s="576">
        <f t="shared" si="4"/>
        <v>-1.3578913381564921</v>
      </c>
      <c r="E21" s="580">
        <f t="shared" si="5"/>
        <v>0.27402104596718652</v>
      </c>
      <c r="F21" s="572">
        <f t="shared" si="6"/>
        <v>0.78971288887163849</v>
      </c>
      <c r="G21" s="579">
        <f t="shared" si="7"/>
        <v>0.54887705318865387</v>
      </c>
      <c r="H21" s="580">
        <f t="shared" si="8"/>
        <v>0.255</v>
      </c>
      <c r="I21" s="572">
        <f t="shared" si="9"/>
        <v>0.41499999999999992</v>
      </c>
      <c r="J21" s="483">
        <f t="shared" si="10"/>
        <v>1.2290000000000001</v>
      </c>
      <c r="K21" s="806" t="str">
        <f t="shared" si="11"/>
        <v>CPS-32193r1</v>
      </c>
      <c r="L21" s="719" t="s">
        <v>358</v>
      </c>
      <c r="M21" s="164">
        <f t="shared" si="12"/>
        <v>1.2290000000000001</v>
      </c>
      <c r="N21" s="575">
        <f t="shared" si="13"/>
        <v>1.4022608688270897</v>
      </c>
      <c r="O21" s="572">
        <f t="shared" si="14"/>
        <v>4.0412351458789111</v>
      </c>
      <c r="P21" s="576">
        <f t="shared" si="15"/>
        <v>-1.3578913381564921</v>
      </c>
      <c r="Q21" s="528">
        <f t="shared" si="140"/>
        <v>70.863829762890816</v>
      </c>
      <c r="R21" s="572">
        <f>IF(M21="","",SQRT(N21^2+O21^2))</f>
        <v>4.2776064625594827</v>
      </c>
      <c r="S21" s="577">
        <f>IF(M21="","",P21)</f>
        <v>-1.3578913381564921</v>
      </c>
      <c r="T21" s="578">
        <f>IF(M21="","",X21*COS(RADIANS(W21)))</f>
        <v>4.0434328252054801</v>
      </c>
      <c r="U21" s="572">
        <f>IF(M21="","",X21*SIN(RADIANS(W21)))</f>
        <v>-1.3959111850621013</v>
      </c>
      <c r="V21" s="579">
        <f>IF(M21="","",Y21)</f>
        <v>-1.3578913381564921</v>
      </c>
      <c r="W21" s="528">
        <f t="shared" si="253"/>
        <v>340.95382974989644</v>
      </c>
      <c r="X21" s="572">
        <f>IF(M21="","",R21)</f>
        <v>4.2776064625594827</v>
      </c>
      <c r="Y21" s="573">
        <f t="shared" si="255"/>
        <v>-1.3578913381564921</v>
      </c>
      <c r="Z21" s="575">
        <f t="shared" si="18"/>
        <v>-0.27402104596718652</v>
      </c>
      <c r="AA21" s="572">
        <f t="shared" si="19"/>
        <v>-0.78971288887163849</v>
      </c>
      <c r="AB21" s="572">
        <f t="shared" si="20"/>
        <v>-0.54887705318865387</v>
      </c>
      <c r="AC21" s="579">
        <f>IF(M21="","",SQRT(Z21^2+AA21^2+AB21^2))</f>
        <v>1</v>
      </c>
      <c r="AD21" s="580">
        <f>IF(M21="","",Z21*(1/SQRT(Z21^2+AA21^2+AB21^2)))</f>
        <v>-0.27402104596718652</v>
      </c>
      <c r="AE21" s="572">
        <f>IF(M21="","",AA21*(1/SQRT(Z21^2+AA21^2+AB21^2)))</f>
        <v>-0.78971288887163849</v>
      </c>
      <c r="AF21" s="576">
        <f>IF(M21="","",AB21*(1/SQRT(Z21^2+AA21^2+AB21^2)))</f>
        <v>-0.54887705318865387</v>
      </c>
      <c r="AG21" s="545">
        <f>IF(M21="","",DEGREES(ATAN2(-AF21,AE21)))</f>
        <v>-55.199398407160487</v>
      </c>
      <c r="AH21" s="546">
        <f>IF(M21="","",DEGREES(ACOS(AD21)))</f>
        <v>105.9036833962581</v>
      </c>
      <c r="AI21" s="528">
        <f>IF(M21="","",DEGREES(-ACOS(-AF21)))</f>
        <v>-56.709991812090216</v>
      </c>
      <c r="AJ21" s="529">
        <f>IF(M21="","",DEGREES(ATAN2(-AE21,AD21)))</f>
        <v>-19.136170237109187</v>
      </c>
      <c r="AK21" s="578">
        <f>IF(M21="","",(COS(RADIANS((90-$Q$8)-W21))*AD21)+(-SIN(RADIANS((90-$Q$8)-W21))*AE21))</f>
        <v>5.5511151231257827E-17</v>
      </c>
      <c r="AL21" s="572">
        <f>IF(M21="","",(SIN(RADIANS((90-$Q$8)-W21))*AD21)+(COS(RADIANS((90-$Q$8)-W21))*AE21))</f>
        <v>-0.83590309275832919</v>
      </c>
      <c r="AM21" s="577">
        <f>IF(M21="","",AF21)</f>
        <v>-0.54887705318865387</v>
      </c>
      <c r="AN21" s="524">
        <f>IF(M21="","",DEGREES(ATAN2(-AM21,AL21)))</f>
        <v>-56.709991812090223</v>
      </c>
      <c r="AO21" s="525">
        <f>IF(ROUND(IF(M21="",0,DEGREES(ACOS(AK21))),4)=90,0,IF(M21="","",DEGREES(ACOS(AK21))))</f>
        <v>0</v>
      </c>
      <c r="AP21" s="528">
        <f>IF(M21="","",DEGREES(ATAN2(AK21,AL21)))</f>
        <v>-90</v>
      </c>
      <c r="AQ21" s="529">
        <f t="shared" si="21"/>
        <v>0.35529174729038132</v>
      </c>
      <c r="AS21" s="932">
        <f t="shared" si="143"/>
        <v>-19.046170250103557</v>
      </c>
      <c r="AT21" s="928">
        <f t="shared" si="22"/>
        <v>-1.3490320000837563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5.1130000000000004</v>
      </c>
      <c r="HM21" s="909" t="e">
        <f t="shared" si="138"/>
        <v>#NUM!</v>
      </c>
      <c r="HN21" s="910">
        <f t="shared" si="73"/>
        <v>15.999997689886136</v>
      </c>
      <c r="HO21" s="911"/>
      <c r="HP21" s="912"/>
      <c r="HQ21" s="910" t="e">
        <f t="shared" si="74"/>
        <v>#NUM!</v>
      </c>
      <c r="HR21" s="913" t="e">
        <f t="shared" si="75"/>
        <v>#NUM!</v>
      </c>
      <c r="HS21" s="865">
        <f t="shared" si="251"/>
        <v>2.6514000000000002</v>
      </c>
      <c r="HT21" s="875">
        <f t="shared" si="76"/>
        <v>3.27E-2</v>
      </c>
      <c r="HU21" s="876">
        <f t="shared" si="77"/>
        <v>0.54478432848694802</v>
      </c>
      <c r="HV21" s="872">
        <f t="shared" si="78"/>
        <v>2.8471617519864868E-2</v>
      </c>
      <c r="HW21" s="866">
        <f t="shared" si="79"/>
        <v>29500</v>
      </c>
      <c r="HX21" s="867">
        <f t="shared" si="80"/>
        <v>213.13941750000001</v>
      </c>
      <c r="HY21" s="866" t="e">
        <f t="shared" si="81"/>
        <v>#NUM!</v>
      </c>
      <c r="HZ21" s="868">
        <f t="shared" si="82"/>
        <v>1339.2614741970804</v>
      </c>
      <c r="IA21" s="869" t="e">
        <f t="shared" si="83"/>
        <v>#NUM!</v>
      </c>
      <c r="IB21" s="870" t="e">
        <f t="shared" si="84"/>
        <v>#NUM!</v>
      </c>
      <c r="IC21" s="841" t="e">
        <f t="shared" si="85"/>
        <v>#NUM!</v>
      </c>
      <c r="ID21" s="351">
        <f t="shared" si="86"/>
        <v>964.65</v>
      </c>
      <c r="IE21" s="843" t="e">
        <f t="shared" si="87"/>
        <v>#NUM!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 t="str">
        <f t="shared" si="237"/>
        <v>CPS-32193r1</v>
      </c>
      <c r="IN21" s="670">
        <f t="shared" si="90"/>
        <v>16.926170556193654</v>
      </c>
      <c r="IO21" s="702">
        <v>1.7606470794528699E-2</v>
      </c>
      <c r="IP21" s="5">
        <f t="shared" si="91"/>
        <v>0.34444444444444444</v>
      </c>
      <c r="IQ21" s="714">
        <v>310</v>
      </c>
      <c r="IR21" s="9">
        <f t="shared" si="139"/>
        <v>-4.2660128662948056</v>
      </c>
      <c r="IS21" s="5">
        <f t="shared" si="92"/>
        <v>-1.351904077342698</v>
      </c>
      <c r="IT21" s="5">
        <f t="shared" si="93"/>
        <v>0.3125</v>
      </c>
      <c r="IU21" s="5">
        <f t="shared" si="94"/>
        <v>0.28705763124941741</v>
      </c>
      <c r="IV21" s="670">
        <f t="shared" si="95"/>
        <v>54.999992058983644</v>
      </c>
      <c r="IW21" s="9">
        <f t="shared" si="96"/>
        <v>-4.2776064625594827</v>
      </c>
      <c r="IX21" s="5">
        <f t="shared" si="97"/>
        <v>-1.3578913381564921</v>
      </c>
      <c r="IY21" s="5">
        <f t="shared" si="98"/>
        <v>0.255</v>
      </c>
      <c r="IZ21" s="5">
        <f t="shared" si="99"/>
        <v>0.255</v>
      </c>
      <c r="JA21" s="705">
        <f t="shared" si="100"/>
        <v>56.709991812090223</v>
      </c>
      <c r="JC21" s="708"/>
      <c r="JD21" s="1211"/>
      <c r="JE21" s="1212"/>
      <c r="JF21" s="1212"/>
      <c r="JG21" s="1212"/>
      <c r="JH21" s="1139" t="s">
        <v>349</v>
      </c>
      <c r="JI21" s="1140"/>
      <c r="JJ21" s="1359" t="s">
        <v>362</v>
      </c>
      <c r="JK21" s="1360"/>
    </row>
    <row r="22" spans="1:271" ht="15" customHeight="1" thickBot="1" x14ac:dyDescent="0.3">
      <c r="A22" s="75">
        <f t="shared" si="1"/>
        <v>0</v>
      </c>
      <c r="B22" s="578">
        <f t="shared" si="2"/>
        <v>1.5661556311680518</v>
      </c>
      <c r="C22" s="572">
        <f t="shared" si="3"/>
        <v>4.279893990108941</v>
      </c>
      <c r="D22" s="576">
        <f t="shared" si="4"/>
        <v>-2.0554064436676369</v>
      </c>
      <c r="E22" s="580">
        <f t="shared" si="5"/>
        <v>0.3294448120639964</v>
      </c>
      <c r="F22" s="572">
        <f t="shared" si="6"/>
        <v>0.90028656358607584</v>
      </c>
      <c r="G22" s="579">
        <f t="shared" si="7"/>
        <v>0.28451752007651976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1.2350000000000001</v>
      </c>
      <c r="K22" s="806" t="str">
        <f t="shared" si="11"/>
        <v>CPS-32193r1</v>
      </c>
      <c r="L22" s="814">
        <f>IF($L21=$JJ$22,$JJ$30,IF($L21=$JK$22,$JK$30,""))</f>
        <v>290</v>
      </c>
      <c r="M22" s="164">
        <f t="shared" si="12"/>
        <v>1.2350000000000001</v>
      </c>
      <c r="N22" s="575">
        <f t="shared" si="13"/>
        <v>1.5661556311680518</v>
      </c>
      <c r="O22" s="572">
        <f t="shared" si="14"/>
        <v>4.279893990108941</v>
      </c>
      <c r="P22" s="576">
        <f t="shared" si="15"/>
        <v>-2.0554064436676369</v>
      </c>
      <c r="Q22" s="528">
        <f t="shared" si="140"/>
        <v>69.900745644135924</v>
      </c>
      <c r="R22" s="572">
        <f t="shared" si="101"/>
        <v>4.5574484119526826</v>
      </c>
      <c r="S22" s="577">
        <f t="shared" si="102"/>
        <v>-2.0554064436676369</v>
      </c>
      <c r="T22" s="578">
        <f t="shared" si="103"/>
        <v>4.2823488201497328</v>
      </c>
      <c r="U22" s="572">
        <f t="shared" si="104"/>
        <v>-1.5594308609785235</v>
      </c>
      <c r="V22" s="579">
        <f t="shared" si="141"/>
        <v>-2.0554064436676369</v>
      </c>
      <c r="W22" s="528">
        <f t="shared" si="253"/>
        <v>339.99074563114152</v>
      </c>
      <c r="X22" s="572">
        <f t="shared" si="105"/>
        <v>4.5574484119526826</v>
      </c>
      <c r="Y22" s="573">
        <f t="shared" si="255"/>
        <v>-2.0554064436676369</v>
      </c>
      <c r="Z22" s="575">
        <f t="shared" si="18"/>
        <v>-0.3294448120639964</v>
      </c>
      <c r="AA22" s="572">
        <f t="shared" si="19"/>
        <v>-0.90028656358607584</v>
      </c>
      <c r="AB22" s="572">
        <f t="shared" si="20"/>
        <v>-0.28451752007651976</v>
      </c>
      <c r="AC22" s="579">
        <f t="shared" si="106"/>
        <v>1</v>
      </c>
      <c r="AD22" s="580">
        <f t="shared" si="142"/>
        <v>-0.3294448120639964</v>
      </c>
      <c r="AE22" s="572">
        <f t="shared" si="107"/>
        <v>-0.90028656358607584</v>
      </c>
      <c r="AF22" s="576">
        <f t="shared" si="108"/>
        <v>-0.28451752007651976</v>
      </c>
      <c r="AG22" s="545">
        <f t="shared" si="109"/>
        <v>-72.461903490334223</v>
      </c>
      <c r="AH22" s="546">
        <f t="shared" si="110"/>
        <v>109.23508131726619</v>
      </c>
      <c r="AI22" s="528">
        <f t="shared" si="111"/>
        <v>-73.469989392245964</v>
      </c>
      <c r="AJ22" s="529">
        <f t="shared" si="112"/>
        <v>-20.099254355864101</v>
      </c>
      <c r="AK22" s="578">
        <f t="shared" si="238"/>
        <v>1.1102230246251565E-16</v>
      </c>
      <c r="AL22" s="572">
        <f t="shared" si="113"/>
        <v>-0.95867084067969199</v>
      </c>
      <c r="AM22" s="577">
        <f t="shared" si="114"/>
        <v>-0.28451752007651976</v>
      </c>
      <c r="AN22" s="524">
        <f t="shared" si="115"/>
        <v>-73.469989392245964</v>
      </c>
      <c r="AO22" s="525">
        <f t="shared" si="116"/>
        <v>0</v>
      </c>
      <c r="AP22" s="528">
        <f t="shared" si="117"/>
        <v>-90</v>
      </c>
      <c r="AQ22" s="529">
        <f t="shared" si="21"/>
        <v>0.33347620329223326</v>
      </c>
      <c r="AS22" s="932">
        <f t="shared" si="143"/>
        <v>-20.009254368858478</v>
      </c>
      <c r="AT22" s="928">
        <f t="shared" si="22"/>
        <v>-2.0461012333177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4.1139999999999999</v>
      </c>
      <c r="HM22" s="909" t="e">
        <f t="shared" si="138"/>
        <v>#NUM!</v>
      </c>
      <c r="HN22" s="910">
        <f t="shared" si="73"/>
        <v>15.999997689886136</v>
      </c>
      <c r="HO22" s="911"/>
      <c r="HP22" s="912"/>
      <c r="HQ22" s="910" t="e">
        <f t="shared" si="74"/>
        <v>#NUM!</v>
      </c>
      <c r="HR22" s="913" t="e">
        <f t="shared" si="75"/>
        <v>#NUM!</v>
      </c>
      <c r="HS22" s="865">
        <f t="shared" si="251"/>
        <v>2.7862</v>
      </c>
      <c r="HT22" s="875">
        <f t="shared" si="76"/>
        <v>3.61E-2</v>
      </c>
      <c r="HU22" s="876">
        <f t="shared" si="77"/>
        <v>0.63200285357326613</v>
      </c>
      <c r="HV22" s="872">
        <f t="shared" si="78"/>
        <v>3.3029847918674665E-2</v>
      </c>
      <c r="HW22" s="866">
        <f t="shared" si="79"/>
        <v>29500</v>
      </c>
      <c r="HX22" s="867">
        <f t="shared" si="80"/>
        <v>247.26364083333334</v>
      </c>
      <c r="HY22" s="866" t="e">
        <f t="shared" si="81"/>
        <v>#NUM!</v>
      </c>
      <c r="HZ22" s="868">
        <f t="shared" si="82"/>
        <v>1553.673681700946</v>
      </c>
      <c r="IA22" s="869" t="e">
        <f t="shared" si="83"/>
        <v>#NUM!</v>
      </c>
      <c r="IB22" s="870" t="e">
        <f t="shared" si="84"/>
        <v>#NUM!</v>
      </c>
      <c r="IC22" s="841" t="e">
        <f t="shared" si="85"/>
        <v>#NUM!</v>
      </c>
      <c r="ID22" s="351">
        <f t="shared" si="86"/>
        <v>1064.95</v>
      </c>
      <c r="IE22" s="843" t="e">
        <f t="shared" si="87"/>
        <v>#NUM!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 t="str">
        <f t="shared" si="237"/>
        <v>CPS-32193r1</v>
      </c>
      <c r="IN22" s="670">
        <f t="shared" si="90"/>
        <v>17.439254739920557</v>
      </c>
      <c r="IO22" s="702">
        <v>1.43804761617864E-2</v>
      </c>
      <c r="IP22" s="5">
        <f t="shared" si="91"/>
        <v>0.41111111111111109</v>
      </c>
      <c r="IQ22" s="714">
        <v>370</v>
      </c>
      <c r="IR22" s="9">
        <f t="shared" si="139"/>
        <v>-4.5524137300798104</v>
      </c>
      <c r="IS22" s="5">
        <f t="shared" si="92"/>
        <v>-2.0427061608017816</v>
      </c>
      <c r="IT22" s="5">
        <f t="shared" si="93"/>
        <v>0.3125</v>
      </c>
      <c r="IU22" s="5">
        <f t="shared" si="94"/>
        <v>0.27932545445368917</v>
      </c>
      <c r="IV22" s="670">
        <f t="shared" si="95"/>
        <v>69.999989893251936</v>
      </c>
      <c r="IW22" s="9">
        <f t="shared" si="96"/>
        <v>-4.5574484119526826</v>
      </c>
      <c r="IX22" s="5">
        <f t="shared" si="97"/>
        <v>-2.0554064436676369</v>
      </c>
      <c r="IY22" s="5">
        <f t="shared" si="98"/>
        <v>0.255</v>
      </c>
      <c r="IZ22" s="5">
        <f t="shared" si="99"/>
        <v>0.255</v>
      </c>
      <c r="JA22" s="705">
        <f t="shared" si="100"/>
        <v>73.469989392245964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1.707536935486879</v>
      </c>
      <c r="C23" s="572">
        <f t="shared" si="3"/>
        <v>4.3650682813838868</v>
      </c>
      <c r="D23" s="576">
        <f t="shared" si="4"/>
        <v>-2.8568846942489663</v>
      </c>
      <c r="E23" s="580">
        <f t="shared" si="5"/>
        <v>0.36293097728600632</v>
      </c>
      <c r="F23" s="572">
        <f t="shared" si="6"/>
        <v>0.92777992929979325</v>
      </c>
      <c r="G23" s="579">
        <f t="shared" si="7"/>
        <v>8.66343379653534E-2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1.707536935486879</v>
      </c>
      <c r="O23" s="572">
        <f t="shared" si="14"/>
        <v>4.3650682813838868</v>
      </c>
      <c r="P23" s="576">
        <f t="shared" si="15"/>
        <v>-2.8568846942489663</v>
      </c>
      <c r="Q23" s="528">
        <f t="shared" si="140"/>
        <v>68.635448108484482</v>
      </c>
      <c r="R23" s="572">
        <f t="shared" si="101"/>
        <v>4.6871636932366254</v>
      </c>
      <c r="S23" s="577">
        <f t="shared" si="102"/>
        <v>-2.8568846942489663</v>
      </c>
      <c r="T23" s="578">
        <f t="shared" si="103"/>
        <v>4.3677450874552708</v>
      </c>
      <c r="U23" s="572">
        <f t="shared" si="104"/>
        <v>-1.7006781994857085</v>
      </c>
      <c r="V23" s="579">
        <f t="shared" si="141"/>
        <v>-2.8568846942489663</v>
      </c>
      <c r="W23" s="528">
        <f t="shared" si="253"/>
        <v>338.72544809549009</v>
      </c>
      <c r="X23" s="572">
        <f t="shared" si="105"/>
        <v>4.6871636932366254</v>
      </c>
      <c r="Y23" s="573">
        <f t="shared" si="255"/>
        <v>-2.8568846942489663</v>
      </c>
      <c r="Z23" s="575">
        <f t="shared" si="18"/>
        <v>-0.36293097728600632</v>
      </c>
      <c r="AA23" s="572">
        <f t="shared" si="19"/>
        <v>-0.92777992929979325</v>
      </c>
      <c r="AB23" s="572">
        <f t="shared" si="20"/>
        <v>-8.66343379653534E-2</v>
      </c>
      <c r="AC23" s="579">
        <f t="shared" si="106"/>
        <v>1</v>
      </c>
      <c r="AD23" s="580">
        <f t="shared" si="142"/>
        <v>-0.36293097728600632</v>
      </c>
      <c r="AE23" s="572">
        <f t="shared" si="107"/>
        <v>-0.92777992929979325</v>
      </c>
      <c r="AF23" s="576">
        <f t="shared" si="108"/>
        <v>-8.66343379653534E-2</v>
      </c>
      <c r="AG23" s="545">
        <f t="shared" si="109"/>
        <v>-84.665297668010865</v>
      </c>
      <c r="AH23" s="546">
        <f t="shared" si="110"/>
        <v>111.28030685871894</v>
      </c>
      <c r="AI23" s="528">
        <f t="shared" si="111"/>
        <v>-85.029987723188711</v>
      </c>
      <c r="AJ23" s="529">
        <f t="shared" si="112"/>
        <v>-21.364551891515525</v>
      </c>
      <c r="AK23" s="578">
        <f t="shared" si="238"/>
        <v>3.3306690738754696E-16</v>
      </c>
      <c r="AL23" s="572">
        <f t="shared" si="113"/>
        <v>-0.99624017761045192</v>
      </c>
      <c r="AM23" s="577">
        <f t="shared" si="114"/>
        <v>-8.66343379653534E-2</v>
      </c>
      <c r="AN23" s="524">
        <f t="shared" si="115"/>
        <v>-85.029987723188711</v>
      </c>
      <c r="AO23" s="525">
        <f t="shared" si="116"/>
        <v>0</v>
      </c>
      <c r="AP23" s="528">
        <f t="shared" si="117"/>
        <v>-89.999999999999986</v>
      </c>
      <c r="AQ23" s="529">
        <f t="shared" si="21"/>
        <v>0.32424758965107364</v>
      </c>
      <c r="AS23" s="932">
        <f t="shared" si="143"/>
        <v>-21.274551904509906</v>
      </c>
      <c r="AT23" s="928">
        <f t="shared" si="22"/>
        <v>-2.8469936980028945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3.1150000000000002</v>
      </c>
      <c r="HM23" s="909" t="e">
        <f t="shared" si="138"/>
        <v>#NUM!</v>
      </c>
      <c r="HN23" s="910">
        <f t="shared" si="73"/>
        <v>15.999997689886111</v>
      </c>
      <c r="HO23" s="911"/>
      <c r="HP23" s="912"/>
      <c r="HQ23" s="910" t="e">
        <f t="shared" si="74"/>
        <v>#NUM!</v>
      </c>
      <c r="HR23" s="913" t="e">
        <f t="shared" si="75"/>
        <v>#NUM!</v>
      </c>
      <c r="HS23" s="865">
        <f t="shared" si="251"/>
        <v>2.9211999999999998</v>
      </c>
      <c r="HT23" s="875">
        <f t="shared" si="76"/>
        <v>3.6299999999999999E-2</v>
      </c>
      <c r="HU23" s="876">
        <f t="shared" si="77"/>
        <v>0.66629367318061905</v>
      </c>
      <c r="HV23" s="872">
        <f t="shared" si="78"/>
        <v>3.4821960960940021E-2</v>
      </c>
      <c r="HW23" s="866">
        <f t="shared" si="79"/>
        <v>29500</v>
      </c>
      <c r="HX23" s="867">
        <f t="shared" si="80"/>
        <v>260.68058499999995</v>
      </c>
      <c r="HY23" s="866" t="e">
        <f t="shared" si="81"/>
        <v>#NUM!</v>
      </c>
      <c r="HZ23" s="868">
        <f t="shared" si="82"/>
        <v>1637.9719465690218</v>
      </c>
      <c r="IA23" s="869" t="e">
        <f t="shared" si="83"/>
        <v>#NUM!</v>
      </c>
      <c r="IB23" s="870" t="e">
        <f t="shared" si="84"/>
        <v>#NUM!</v>
      </c>
      <c r="IC23" s="841" t="e">
        <f t="shared" si="85"/>
        <v>#NUM!</v>
      </c>
      <c r="ID23" s="351">
        <f t="shared" si="86"/>
        <v>1070.8499999999999</v>
      </c>
      <c r="IE23" s="843" t="e">
        <f t="shared" si="87"/>
        <v>#NUM!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18.474552308779835</v>
      </c>
      <c r="IO23" s="702">
        <v>1.06924186482747E-2</v>
      </c>
      <c r="IP23" s="5">
        <f t="shared" si="91"/>
        <v>0.5444444444444444</v>
      </c>
      <c r="IQ23" s="714">
        <v>490</v>
      </c>
      <c r="IR23" s="9">
        <f t="shared" si="139"/>
        <v>-4.6915141496066752</v>
      </c>
      <c r="IS23" s="5">
        <f t="shared" si="92"/>
        <v>-2.8411085687834436</v>
      </c>
      <c r="IT23" s="5">
        <f t="shared" si="93"/>
        <v>0.3125</v>
      </c>
      <c r="IU23" s="5">
        <f t="shared" si="94"/>
        <v>0.27063295049487041</v>
      </c>
      <c r="IV23" s="670">
        <f t="shared" si="95"/>
        <v>84.999987727520178</v>
      </c>
      <c r="IW23" s="9">
        <f t="shared" si="96"/>
        <v>-4.6871636932366254</v>
      </c>
      <c r="IX23" s="5">
        <f t="shared" si="97"/>
        <v>-2.8568846942489663</v>
      </c>
      <c r="IY23" s="5">
        <f t="shared" si="98"/>
        <v>0.255</v>
      </c>
      <c r="IZ23" s="5">
        <f t="shared" si="99"/>
        <v>0.255</v>
      </c>
      <c r="JA23" s="705">
        <f t="shared" si="100"/>
        <v>85.029987723188711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3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3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</v>
      </c>
      <c r="B24" s="578">
        <f t="shared" si="2"/>
        <v>2.080177271552091</v>
      </c>
      <c r="C24" s="572">
        <f t="shared" si="3"/>
        <v>1.0580726880008247</v>
      </c>
      <c r="D24" s="576">
        <f t="shared" si="4"/>
        <v>-0.14790044606774536</v>
      </c>
      <c r="E24" s="580">
        <f t="shared" si="5"/>
        <v>-0.40373705515361075</v>
      </c>
      <c r="F24" s="572">
        <f t="shared" si="6"/>
        <v>0.87310644705908014</v>
      </c>
      <c r="G24" s="579">
        <f t="shared" si="7"/>
        <v>0.27327920228176877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2.080177271552091</v>
      </c>
      <c r="O24" s="572">
        <f t="shared" si="14"/>
        <v>1.0580726880008247</v>
      </c>
      <c r="P24" s="576">
        <f t="shared" si="15"/>
        <v>-0.14790044606774536</v>
      </c>
      <c r="Q24" s="528">
        <f t="shared" si="140"/>
        <v>26.959957124286976</v>
      </c>
      <c r="R24" s="572">
        <f t="shared" si="101"/>
        <v>2.3338070387620293</v>
      </c>
      <c r="S24" s="577">
        <f t="shared" si="102"/>
        <v>-0.14790044606774536</v>
      </c>
      <c r="T24" s="578">
        <f t="shared" si="103"/>
        <v>1.0613389156583566</v>
      </c>
      <c r="U24" s="572">
        <f t="shared" si="104"/>
        <v>-2.0785126894691639</v>
      </c>
      <c r="V24" s="579">
        <f t="shared" si="141"/>
        <v>-0.14790044606774536</v>
      </c>
      <c r="W24" s="528">
        <f t="shared" si="253"/>
        <v>297.0499571112926</v>
      </c>
      <c r="X24" s="572">
        <f t="shared" si="105"/>
        <v>2.3338070387620293</v>
      </c>
      <c r="Y24" s="573">
        <f t="shared" si="255"/>
        <v>-0.14790044606774536</v>
      </c>
      <c r="Z24" s="575">
        <f t="shared" si="18"/>
        <v>0.40373705515361075</v>
      </c>
      <c r="AA24" s="572">
        <f t="shared" si="19"/>
        <v>-0.87310644705908014</v>
      </c>
      <c r="AB24" s="572">
        <f t="shared" si="20"/>
        <v>-0.27327920228176877</v>
      </c>
      <c r="AC24" s="579">
        <f t="shared" si="106"/>
        <v>1</v>
      </c>
      <c r="AD24" s="580">
        <f t="shared" si="142"/>
        <v>0.40373705515361075</v>
      </c>
      <c r="AE24" s="572">
        <f t="shared" si="107"/>
        <v>-0.87310644705908014</v>
      </c>
      <c r="AF24" s="576">
        <f t="shared" si="108"/>
        <v>-0.27327920228176877</v>
      </c>
      <c r="AG24" s="545">
        <f t="shared" si="109"/>
        <v>-72.620066149858729</v>
      </c>
      <c r="AH24" s="546">
        <f t="shared" si="110"/>
        <v>66.187991298079382</v>
      </c>
      <c r="AI24" s="528">
        <f t="shared" si="111"/>
        <v>-74.140507931014</v>
      </c>
      <c r="AJ24" s="529">
        <f t="shared" si="112"/>
        <v>24.816504239799979</v>
      </c>
      <c r="AK24" s="578">
        <f>IF(M24="","",(COS(RADIANS((90-$Q$8)-W24))*AD24)+(-SIN(RADIANS((90-$Q$8)-W24))*AE24))</f>
        <v>0.96126170705176606</v>
      </c>
      <c r="AL24" s="572">
        <f t="shared" si="113"/>
        <v>-3.5977884264705939E-2</v>
      </c>
      <c r="AM24" s="577">
        <f t="shared" si="114"/>
        <v>-0.27327920228176877</v>
      </c>
      <c r="AN24" s="524">
        <f t="shared" si="115"/>
        <v>-7.4999989171341195</v>
      </c>
      <c r="AO24" s="525">
        <f t="shared" si="116"/>
        <v>15.999997689886175</v>
      </c>
      <c r="AP24" s="528">
        <f t="shared" si="117"/>
        <v>-2.1434528844869898</v>
      </c>
      <c r="AQ24" s="529">
        <f t="shared" si="21"/>
        <v>0.65119021804967647</v>
      </c>
      <c r="AS24" s="932">
        <f t="shared" si="143"/>
        <v>-62.950042888707401</v>
      </c>
      <c r="AT24" s="928">
        <f t="shared" si="22"/>
        <v>-0.11871524103269304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0.51797184508438077</v>
      </c>
      <c r="BA24" s="296">
        <f t="shared" si="24"/>
        <v>2.7070338642559737E-2</v>
      </c>
      <c r="BB24" s="190">
        <f t="shared" si="145"/>
        <v>0.31284857436602642</v>
      </c>
      <c r="BC24" s="9"/>
      <c r="BD24" s="5">
        <f t="shared" si="146"/>
        <v>2.2400000000000002</v>
      </c>
      <c r="BE24" s="6">
        <f t="shared" si="25"/>
        <v>0.16494812829828107</v>
      </c>
      <c r="BF24" s="4">
        <f t="shared" si="26"/>
        <v>2.080177271552091</v>
      </c>
      <c r="BG24" s="5">
        <f t="shared" si="27"/>
        <v>1.0580726880008247</v>
      </c>
      <c r="BH24" s="10">
        <f t="shared" si="28"/>
        <v>-0.14790044606774536</v>
      </c>
      <c r="BI24" s="9">
        <f t="shared" si="147"/>
        <v>2.080177271552091</v>
      </c>
      <c r="BJ24" s="5">
        <f t="shared" si="29"/>
        <v>1.3567792675108714</v>
      </c>
      <c r="BK24" s="8">
        <f t="shared" si="30"/>
        <v>-1.1022454462419005</v>
      </c>
      <c r="BL24" s="173">
        <f t="shared" si="31"/>
        <v>2.9950523396875659</v>
      </c>
      <c r="BM24" s="5">
        <f t="shared" si="32"/>
        <v>1.4433771279717102</v>
      </c>
      <c r="BN24" s="6">
        <f t="shared" si="33"/>
        <v>-2.7301531301351156E-2</v>
      </c>
      <c r="BO24" s="4">
        <f t="shared" si="148"/>
        <v>0.40373705515361102</v>
      </c>
      <c r="BP24" s="5">
        <f t="shared" si="239"/>
        <v>-0.8731064470590798</v>
      </c>
      <c r="BQ24" s="5">
        <f t="shared" si="149"/>
        <v>-0.27327920228176872</v>
      </c>
      <c r="BR24" s="6">
        <f t="shared" si="150"/>
        <v>4.354732361822472E-2</v>
      </c>
      <c r="BS24" s="4">
        <f t="shared" si="118"/>
        <v>0</v>
      </c>
      <c r="BT24" s="5">
        <f t="shared" si="118"/>
        <v>0</v>
      </c>
      <c r="BU24" s="10">
        <f t="shared" si="119"/>
        <v>0.16494812829828107</v>
      </c>
      <c r="BV24" s="9">
        <f t="shared" si="120"/>
        <v>0</v>
      </c>
      <c r="BW24" s="5">
        <f t="shared" si="121"/>
        <v>1</v>
      </c>
      <c r="BX24" s="8">
        <f t="shared" si="122"/>
        <v>0.16494812829828107</v>
      </c>
      <c r="BY24" s="173">
        <f t="shared" si="123"/>
        <v>1</v>
      </c>
      <c r="BZ24" s="5">
        <f t="shared" si="124"/>
        <v>0</v>
      </c>
      <c r="CA24" s="6">
        <f t="shared" si="125"/>
        <v>0.16494812829828107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0.16494812829828107</v>
      </c>
      <c r="CF24" s="4">
        <f t="shared" si="155"/>
        <v>0.8731064470590798</v>
      </c>
      <c r="CG24" s="5">
        <f t="shared" si="156"/>
        <v>0.40373705515361102</v>
      </c>
      <c r="CH24" s="5">
        <f t="shared" si="157"/>
        <v>0</v>
      </c>
      <c r="CI24" s="4">
        <f t="shared" si="126"/>
        <v>0</v>
      </c>
      <c r="CJ24" s="5">
        <f t="shared" si="127"/>
        <v>-1.7518703545856096E-3</v>
      </c>
      <c r="CK24" s="8">
        <f t="shared" si="128"/>
        <v>0.16494812829828107</v>
      </c>
      <c r="CL24" s="173">
        <f t="shared" si="129"/>
        <v>0.8731064470590798</v>
      </c>
      <c r="CM24" s="5">
        <f t="shared" si="130"/>
        <v>0.4019851847990254</v>
      </c>
      <c r="CN24" s="6">
        <f t="shared" si="131"/>
        <v>0.16494812829828107</v>
      </c>
      <c r="CO24" s="167">
        <f t="shared" si="35"/>
        <v>0.3125</v>
      </c>
      <c r="CP24" s="4">
        <f t="shared" si="240"/>
        <v>0.92531847760023966</v>
      </c>
      <c r="CQ24" s="5">
        <f t="shared" si="241"/>
        <v>-4.4882132659755731</v>
      </c>
      <c r="CR24" s="5">
        <f t="shared" si="158"/>
        <v>5.4505835560579978</v>
      </c>
      <c r="CS24" s="8">
        <f t="shared" si="159"/>
        <v>-3.0044391618826438E-2</v>
      </c>
      <c r="CT24" s="9" t="e">
        <f t="shared" si="160"/>
        <v>#NUM!</v>
      </c>
      <c r="CU24" s="6" t="e">
        <f t="shared" si="161"/>
        <v>#NUM!</v>
      </c>
      <c r="CV24" s="4" t="e">
        <f t="shared" si="242"/>
        <v>#NUM!</v>
      </c>
      <c r="CW24" s="5" t="e">
        <f t="shared" si="162"/>
        <v>#NUM!</v>
      </c>
      <c r="CX24" s="8" t="e">
        <f t="shared" si="163"/>
        <v>#NUM!</v>
      </c>
      <c r="CY24" s="9" t="e">
        <f t="shared" si="164"/>
        <v>#NUM!</v>
      </c>
      <c r="CZ24" s="5" t="e">
        <f t="shared" si="165"/>
        <v>#NUM!</v>
      </c>
      <c r="DA24" s="6" t="e">
        <f t="shared" si="166"/>
        <v>#NUM!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 t="e">
        <f t="shared" si="175"/>
        <v>#NUM!</v>
      </c>
      <c r="DM24" s="173" t="e">
        <f t="shared" si="176"/>
        <v>#NUM!</v>
      </c>
      <c r="DN24" s="178" t="e">
        <f t="shared" si="177"/>
        <v>#NUM!</v>
      </c>
      <c r="DO24" s="9" t="e">
        <f t="shared" si="178"/>
        <v>#NUM!</v>
      </c>
      <c r="DP24" s="173" t="e">
        <f t="shared" si="179"/>
        <v>#NUM!</v>
      </c>
      <c r="DQ24" s="11" t="e">
        <f t="shared" si="180"/>
        <v>#NUM!</v>
      </c>
      <c r="DR24" s="173" t="e">
        <f t="shared" si="181"/>
        <v>#NUM!</v>
      </c>
      <c r="DS24" s="5" t="e">
        <f t="shared" si="182"/>
        <v>#NUM!</v>
      </c>
      <c r="DT24" s="5">
        <f t="shared" si="183"/>
        <v>400</v>
      </c>
      <c r="DU24" s="5" t="e">
        <f t="shared" si="184"/>
        <v>#NUM!</v>
      </c>
      <c r="DV24" s="5" t="e">
        <f t="shared" si="185"/>
        <v>#NUM!</v>
      </c>
      <c r="DW24" s="5" t="e">
        <f t="shared" si="186"/>
        <v>#NUM!</v>
      </c>
      <c r="DX24" s="167" t="e">
        <f t="shared" si="187"/>
        <v>#NUM!</v>
      </c>
      <c r="DY24" s="9" t="e">
        <f t="shared" si="188"/>
        <v>#NUM!</v>
      </c>
      <c r="DZ24" s="5" t="e">
        <f t="shared" si="189"/>
        <v>#NUM!</v>
      </c>
      <c r="EA24" s="10" t="e">
        <f t="shared" si="190"/>
        <v>#NUM!</v>
      </c>
      <c r="EB24" s="6" t="e">
        <f t="shared" si="191"/>
        <v>#NUM!</v>
      </c>
      <c r="EC24" s="173" t="e">
        <f t="shared" si="192"/>
        <v>#NUM!</v>
      </c>
      <c r="ED24" s="5" t="e">
        <f t="shared" si="193"/>
        <v>#NUM!</v>
      </c>
      <c r="EE24" s="4" t="e">
        <f t="shared" si="194"/>
        <v>#NUM!</v>
      </c>
      <c r="EF24" s="5" t="e">
        <f t="shared" si="195"/>
        <v>#NUM!</v>
      </c>
      <c r="EG24" s="10" t="e">
        <f t="shared" si="196"/>
        <v>#NUM!</v>
      </c>
      <c r="EH24" s="9" t="e">
        <f t="shared" si="197"/>
        <v>#NUM!</v>
      </c>
      <c r="EI24" s="5" t="e">
        <f t="shared" si="198"/>
        <v>#NUM!</v>
      </c>
      <c r="EJ24" s="6" t="e">
        <f t="shared" si="199"/>
        <v>#NUM!</v>
      </c>
      <c r="EK24" s="236" t="e">
        <f t="shared" si="200"/>
        <v>#NUM!</v>
      </c>
      <c r="EL24" s="238" t="e">
        <f t="shared" si="201"/>
        <v>#NUM!</v>
      </c>
      <c r="EM24" s="4" t="e">
        <f t="shared" si="202"/>
        <v>#NUM!</v>
      </c>
      <c r="EN24" s="5" t="e">
        <f t="shared" si="203"/>
        <v>#NUM!</v>
      </c>
      <c r="EO24" s="10" t="e">
        <f t="shared" si="204"/>
        <v>#NUM!</v>
      </c>
      <c r="EP24" s="9" t="e">
        <f t="shared" si="205"/>
        <v>#NUM!</v>
      </c>
      <c r="EQ24" s="5" t="e">
        <f t="shared" si="206"/>
        <v>#NUM!</v>
      </c>
      <c r="ER24" s="7" t="e">
        <f t="shared" si="207"/>
        <v>#NUM!</v>
      </c>
      <c r="ES24" s="21">
        <f t="shared" si="132"/>
        <v>0.40373705515361075</v>
      </c>
      <c r="ET24" s="5">
        <f t="shared" si="44"/>
        <v>-0.87310644705908014</v>
      </c>
      <c r="EU24" s="10">
        <f t="shared" si="45"/>
        <v>-0.27327920228176877</v>
      </c>
      <c r="EV24" s="174" t="e">
        <f t="shared" si="254"/>
        <v>#NUM!</v>
      </c>
      <c r="EW24" s="9" t="e">
        <f t="shared" si="133"/>
        <v>#NUM!</v>
      </c>
      <c r="EX24" s="5" t="e">
        <f t="shared" si="47"/>
        <v>#NUM!</v>
      </c>
      <c r="EY24" s="6">
        <f t="shared" si="208"/>
        <v>-0.27327920228176877</v>
      </c>
      <c r="EZ24" s="51" t="e">
        <f t="shared" si="209"/>
        <v>#NUM!</v>
      </c>
      <c r="FA24" s="266" t="e">
        <f t="shared" si="134"/>
        <v>#NUM!</v>
      </c>
      <c r="FB24" s="267" t="e">
        <f t="shared" si="135"/>
        <v>#NUM!</v>
      </c>
      <c r="FC24" s="269" t="e">
        <f t="shared" si="48"/>
        <v>#NUM!</v>
      </c>
      <c r="FD24" s="4" t="e">
        <f t="shared" si="136"/>
        <v>#NUM!</v>
      </c>
      <c r="FE24" s="5" t="e">
        <f t="shared" si="49"/>
        <v>#NUM!</v>
      </c>
      <c r="FF24" s="7" t="e">
        <f t="shared" si="210"/>
        <v>#NUM!</v>
      </c>
      <c r="FG24" s="173" t="e">
        <f t="shared" si="211"/>
        <v>#NUM!</v>
      </c>
      <c r="FH24" s="5" t="e">
        <f t="shared" si="50"/>
        <v>#NUM!</v>
      </c>
      <c r="FI24" s="10" t="e">
        <f t="shared" si="51"/>
        <v>#NUM!</v>
      </c>
      <c r="FJ24" s="279" t="e">
        <f t="shared" si="212"/>
        <v>#NUM!</v>
      </c>
      <c r="FK24" s="4">
        <f t="shared" si="52"/>
        <v>0.9619347574551198</v>
      </c>
      <c r="FL24" s="5" t="e">
        <f t="shared" si="213"/>
        <v>#NUM!</v>
      </c>
      <c r="FM24" s="8" t="e">
        <f t="shared" si="214"/>
        <v>#NUM!</v>
      </c>
      <c r="FN24" s="9" t="e">
        <f t="shared" si="215"/>
        <v>#NUM!</v>
      </c>
      <c r="FO24" s="10" t="e">
        <f t="shared" si="53"/>
        <v>#NUM!</v>
      </c>
      <c r="FP24" s="277" t="e">
        <f t="shared" si="54"/>
        <v>#NUM!</v>
      </c>
      <c r="FQ24" s="173" t="e">
        <f t="shared" si="243"/>
        <v>#NUM!</v>
      </c>
      <c r="FR24" s="10" t="e">
        <f t="shared" si="216"/>
        <v>#NUM!</v>
      </c>
      <c r="FS24" s="9" t="e">
        <f t="shared" si="217"/>
        <v>#NUM!</v>
      </c>
      <c r="FT24" s="6" t="e">
        <f t="shared" si="218"/>
        <v>#NUM!</v>
      </c>
      <c r="FU24" s="4" t="e">
        <f t="shared" si="219"/>
        <v>#NUM!</v>
      </c>
      <c r="FV24" s="5" t="e">
        <f t="shared" si="220"/>
        <v>#NUM!</v>
      </c>
      <c r="FW24" s="8" t="e">
        <f t="shared" si="244"/>
        <v>#NUM!</v>
      </c>
      <c r="FX24" s="9" t="e">
        <f t="shared" si="245"/>
        <v>#NUM!</v>
      </c>
      <c r="FY24" s="10" t="e">
        <f t="shared" si="55"/>
        <v>#NUM!</v>
      </c>
      <c r="FZ24" s="277" t="e">
        <f t="shared" si="246"/>
        <v>#NUM!</v>
      </c>
      <c r="GA24" s="177" t="e">
        <f t="shared" si="221"/>
        <v>#NUM!</v>
      </c>
      <c r="GB24" s="4" t="e">
        <f t="shared" si="222"/>
        <v>#NUM!</v>
      </c>
      <c r="GC24" s="5" t="e">
        <f t="shared" si="223"/>
        <v>#NUM!</v>
      </c>
      <c r="GD24" s="10" t="e">
        <f t="shared" si="224"/>
        <v>#NUM!</v>
      </c>
      <c r="GE24" s="311" t="e">
        <f t="shared" si="225"/>
        <v>#NUM!</v>
      </c>
      <c r="GF24" s="341" t="e">
        <f t="shared" si="247"/>
        <v>#NUM!</v>
      </c>
      <c r="GG24" s="285" t="e">
        <f t="shared" si="56"/>
        <v>#NUM!</v>
      </c>
      <c r="GH24" s="286" t="e">
        <f t="shared" si="57"/>
        <v>#NUM!</v>
      </c>
      <c r="GI24" s="281" t="e">
        <f t="shared" si="58"/>
        <v>#NUM!</v>
      </c>
      <c r="GJ24" s="167">
        <f t="shared" si="226"/>
        <v>2.2400000000000002</v>
      </c>
      <c r="GK24" s="174">
        <f t="shared" si="59"/>
        <v>1.1729434897744129</v>
      </c>
      <c r="GL24" s="174">
        <f t="shared" si="227"/>
        <v>3.6799999999999999E-2</v>
      </c>
      <c r="GM24" s="177">
        <f t="shared" si="248"/>
        <v>0.51797184508438077</v>
      </c>
      <c r="GN24" s="280">
        <f t="shared" si="228"/>
        <v>2.7070338642559737E-2</v>
      </c>
      <c r="GO24" s="4" t="e">
        <f t="shared" si="229"/>
        <v>#NUM!</v>
      </c>
      <c r="GP24" s="8" t="e">
        <f t="shared" si="249"/>
        <v>#NUM!</v>
      </c>
      <c r="GQ24" s="177" t="e">
        <f t="shared" si="230"/>
        <v>#NUM!</v>
      </c>
      <c r="GR24" s="371" t="e">
        <f t="shared" si="250"/>
        <v>#NUM!</v>
      </c>
      <c r="GS24" s="342" t="e">
        <f t="shared" si="61"/>
        <v>#NUM!</v>
      </c>
      <c r="GT24" s="343" t="e">
        <f t="shared" si="62"/>
        <v>#NUM!</v>
      </c>
      <c r="GU24" s="344">
        <f t="shared" si="63"/>
        <v>1273.3474524991025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 t="e">
        <f t="shared" si="66"/>
        <v>#NUM!</v>
      </c>
      <c r="GZ24" s="345" t="e">
        <f t="shared" si="67"/>
        <v>#NUM!</v>
      </c>
      <c r="HA24" s="342" t="e">
        <f t="shared" si="68"/>
        <v>#NUM!</v>
      </c>
      <c r="HB24" s="5" t="e">
        <f t="shared" si="231"/>
        <v>#NUM!</v>
      </c>
      <c r="HC24" s="343" t="e">
        <f t="shared" si="232"/>
        <v>#NUM!</v>
      </c>
      <c r="HD24" s="363" t="e">
        <f t="shared" si="233"/>
        <v>#NUM!</v>
      </c>
      <c r="HE24" s="344" t="e">
        <f t="shared" si="69"/>
        <v>#NUM!</v>
      </c>
      <c r="HF24" s="5" t="e">
        <f t="shared" si="70"/>
        <v>#NUM!</v>
      </c>
      <c r="HG24" s="343" t="e">
        <f t="shared" si="234"/>
        <v>#NUM!</v>
      </c>
      <c r="HH24" s="349" t="e">
        <f t="shared" si="235"/>
        <v>#NUM!</v>
      </c>
      <c r="HI24" s="317">
        <f t="shared" si="71"/>
        <v>2.11</v>
      </c>
      <c r="HJ24" s="336"/>
      <c r="HK24" s="310">
        <f t="shared" si="137"/>
        <v>16</v>
      </c>
      <c r="HL24" s="348">
        <f t="shared" si="72"/>
        <v>2.1160000000000001</v>
      </c>
      <c r="HM24" s="909" t="e">
        <f t="shared" si="138"/>
        <v>#NUM!</v>
      </c>
      <c r="HN24" s="910">
        <f t="shared" si="73"/>
        <v>15.99999768988615</v>
      </c>
      <c r="HO24" s="911"/>
      <c r="HP24" s="912"/>
      <c r="HQ24" s="910" t="e">
        <f t="shared" si="74"/>
        <v>#NUM!</v>
      </c>
      <c r="HR24" s="913" t="e">
        <f t="shared" si="75"/>
        <v>#NUM!</v>
      </c>
      <c r="HS24" s="865">
        <f t="shared" si="251"/>
        <v>3.0628000000000002</v>
      </c>
      <c r="HT24" s="875">
        <f t="shared" si="76"/>
        <v>3.3700000000000001E-2</v>
      </c>
      <c r="HU24" s="876">
        <f t="shared" si="77"/>
        <v>0.64855183813485351</v>
      </c>
      <c r="HV24" s="872">
        <f t="shared" si="78"/>
        <v>3.3894733955481711E-2</v>
      </c>
      <c r="HW24" s="866">
        <f t="shared" si="79"/>
        <v>29500</v>
      </c>
      <c r="HX24" s="867">
        <f t="shared" si="80"/>
        <v>253.74021833333336</v>
      </c>
      <c r="HY24" s="866" t="e">
        <f t="shared" si="81"/>
        <v>#NUM!</v>
      </c>
      <c r="HZ24" s="868">
        <f t="shared" si="82"/>
        <v>1594.3566020815147</v>
      </c>
      <c r="IA24" s="869" t="e">
        <f t="shared" si="83"/>
        <v>#NUM!</v>
      </c>
      <c r="IB24" s="870" t="e">
        <f t="shared" si="84"/>
        <v>#NUM!</v>
      </c>
      <c r="IC24" s="841" t="e">
        <f t="shared" si="85"/>
        <v>#NUM!</v>
      </c>
      <c r="ID24" s="351">
        <f t="shared" si="86"/>
        <v>994.15</v>
      </c>
      <c r="IE24" s="843" t="e">
        <f t="shared" si="87"/>
        <v>#NUM!</v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>
        <v>8.8817841970012507E-15</v>
      </c>
      <c r="IP24" s="5" t="str">
        <f t="shared" si="91"/>
        <v/>
      </c>
      <c r="IQ24" s="714">
        <v>0</v>
      </c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13</v>
      </c>
      <c r="JE24" s="5"/>
      <c r="JF24" s="5"/>
      <c r="JG24" s="10"/>
      <c r="JH24" s="236">
        <v>6</v>
      </c>
      <c r="JI24" s="744">
        <v>7</v>
      </c>
      <c r="JJ24" s="728">
        <v>330</v>
      </c>
      <c r="JK24" s="744">
        <v>310</v>
      </c>
    </row>
    <row r="25" spans="1:271" ht="15" customHeight="1" x14ac:dyDescent="0.25">
      <c r="A25" s="75">
        <f t="shared" si="1"/>
        <v>0</v>
      </c>
      <c r="B25" s="578">
        <f t="shared" si="2"/>
        <v>2.7444114365110708</v>
      </c>
      <c r="C25" s="572">
        <f t="shared" si="3"/>
        <v>1.3629321860575463</v>
      </c>
      <c r="D25" s="576">
        <f t="shared" si="4"/>
        <v>-0.30240091204115122</v>
      </c>
      <c r="E25" s="580">
        <f t="shared" si="5"/>
        <v>-0.3330872423298718</v>
      </c>
      <c r="F25" s="572">
        <f t="shared" si="6"/>
        <v>0.90785647148740534</v>
      </c>
      <c r="G25" s="579">
        <f t="shared" si="7"/>
        <v>0.25465568160855789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2.7444114365110708</v>
      </c>
      <c r="O25" s="572">
        <f t="shared" si="14"/>
        <v>1.3629321860575463</v>
      </c>
      <c r="P25" s="576">
        <f t="shared" si="15"/>
        <v>-0.30240091204115122</v>
      </c>
      <c r="Q25" s="528">
        <f t="shared" si="140"/>
        <v>26.40995720369714</v>
      </c>
      <c r="R25" s="572">
        <f>IF(M25="","",SQRT(N25^2+O25^2))</f>
        <v>3.0642092416550737</v>
      </c>
      <c r="S25" s="577">
        <f>IF(M25="","",P25)</f>
        <v>-0.30240091204115122</v>
      </c>
      <c r="T25" s="578">
        <f>IF(M25="","",X25*COS(RADIANS(W25)))</f>
        <v>1.367241413616668</v>
      </c>
      <c r="U25" s="572">
        <f>IF(M25="","",X25*SIN(RADIANS(W25)))</f>
        <v>-2.742267163048826</v>
      </c>
      <c r="V25" s="579">
        <f>IF(M25="","",Y25)</f>
        <v>-0.30240091204115122</v>
      </c>
      <c r="W25" s="528">
        <f t="shared" si="253"/>
        <v>296.49995719070279</v>
      </c>
      <c r="X25" s="572">
        <f>IF(M25="","",R25)</f>
        <v>3.0642092416550737</v>
      </c>
      <c r="Y25" s="573">
        <f t="shared" si="255"/>
        <v>-0.30240091204115122</v>
      </c>
      <c r="Z25" s="575">
        <f t="shared" si="18"/>
        <v>0.3330872423298718</v>
      </c>
      <c r="AA25" s="572">
        <f t="shared" si="19"/>
        <v>-0.90785647148740534</v>
      </c>
      <c r="AB25" s="572">
        <f t="shared" si="20"/>
        <v>-0.25465568160855789</v>
      </c>
      <c r="AC25" s="579">
        <f>IF(M25="","",SQRT(Z25^2+AA25^2+AB25^2))</f>
        <v>1</v>
      </c>
      <c r="AD25" s="580">
        <f>IF(M25="","",Z25*(1/SQRT(Z25^2+AA25^2+AB25^2)))</f>
        <v>0.3330872423298718</v>
      </c>
      <c r="AE25" s="572">
        <f>IF(M25="","",AA25*(1/SQRT(Z25^2+AA25^2+AB25^2)))</f>
        <v>-0.90785647148740534</v>
      </c>
      <c r="AF25" s="576">
        <f>IF(M25="","",AB25*(1/SQRT(Z25^2+AA25^2+AB25^2)))</f>
        <v>-0.25465568160855789</v>
      </c>
      <c r="AG25" s="545">
        <f>IF(M25="","",DEGREES(ATAN2(-AF25,AE25)))</f>
        <v>-74.3310782291707</v>
      </c>
      <c r="AH25" s="546">
        <f>IF(M25="","",DEGREES(ACOS(AD25)))</f>
        <v>70.543733958508284</v>
      </c>
      <c r="AI25" s="528">
        <f>IF(M25="","",DEGREES(-ACOS(-AF25)))</f>
        <v>-75.246816366617637</v>
      </c>
      <c r="AJ25" s="529">
        <f>IF(M25="","",DEGREES(ATAN2(-AE25,AD25)))</f>
        <v>20.147792535325852</v>
      </c>
      <c r="AK25" s="578">
        <f>IF(M25="","",(COS(RADIANS((90-$Q$8)-W25))*AD25)+(-SIN(RADIANS((90-$Q$8)-W25))*AE25))</f>
        <v>0.96126170705176617</v>
      </c>
      <c r="AL25" s="572">
        <f>IF(M25="","",(SIN(RADIANS((90-$Q$8)-W25))*AD25)+(COS(RADIANS((90-$Q$8)-W25))*AE25))</f>
        <v>-0.10548182014169694</v>
      </c>
      <c r="AM25" s="577">
        <f>IF(M25="","",AF25)</f>
        <v>-0.25465568160855789</v>
      </c>
      <c r="AN25" s="524">
        <f>IF(M25="","",DEGREES(ATAN2(-AM25,AL25)))</f>
        <v>-22.499996751402488</v>
      </c>
      <c r="AO25" s="525">
        <f>IF(ROUND(IF(M25="",0,DEGREES(ACOS(AK25))),4)=90,0,IF(M25="","",DEGREES(ACOS(AK25))))</f>
        <v>15.99999768988615</v>
      </c>
      <c r="AP25" s="528">
        <f>IF(M25="","",DEGREES(ATAN2(AK25,AL25)))</f>
        <v>-6.2621646683713053</v>
      </c>
      <c r="AQ25" s="529">
        <f t="shared" si="21"/>
        <v>0.49597781109399292</v>
      </c>
      <c r="AS25" s="932">
        <f t="shared" si="143"/>
        <v>-63.500042809297213</v>
      </c>
      <c r="AT25" s="928">
        <f t="shared" si="22"/>
        <v>-0.27296107741323322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0.64855183813485351</v>
      </c>
      <c r="BA25" s="296">
        <f t="shared" si="24"/>
        <v>3.3894733955481711E-2</v>
      </c>
      <c r="BB25" s="190">
        <f t="shared" si="145"/>
        <v>0.33669441074656659</v>
      </c>
      <c r="BC25" s="9"/>
      <c r="BD25" s="5">
        <f t="shared" si="146"/>
        <v>3.0628000000000002</v>
      </c>
      <c r="BE25" s="6">
        <f t="shared" si="25"/>
        <v>3.4293498705415371E-2</v>
      </c>
      <c r="BF25" s="4">
        <f t="shared" si="26"/>
        <v>2.7444114365110708</v>
      </c>
      <c r="BG25" s="5">
        <f t="shared" si="27"/>
        <v>1.3629321860575463</v>
      </c>
      <c r="BH25" s="10">
        <f t="shared" si="28"/>
        <v>-0.30240091204115122</v>
      </c>
      <c r="BI25" s="9">
        <f t="shared" si="147"/>
        <v>2.7444114365110708</v>
      </c>
      <c r="BJ25" s="5">
        <f t="shared" si="29"/>
        <v>1.6330104114735426</v>
      </c>
      <c r="BK25" s="8">
        <f t="shared" si="30"/>
        <v>-1.2652392952374933</v>
      </c>
      <c r="BL25" s="173">
        <f t="shared" si="31"/>
        <v>3.6873074482732804</v>
      </c>
      <c r="BM25" s="5">
        <f t="shared" si="32"/>
        <v>1.6836413679257682</v>
      </c>
      <c r="BN25" s="6">
        <f t="shared" si="33"/>
        <v>-0.21244130072399151</v>
      </c>
      <c r="BO25" s="4">
        <f t="shared" si="148"/>
        <v>0.33308724232987175</v>
      </c>
      <c r="BP25" s="5">
        <f t="shared" si="239"/>
        <v>-0.90785647148740556</v>
      </c>
      <c r="BQ25" s="5">
        <f t="shared" si="149"/>
        <v>-0.25465568160855767</v>
      </c>
      <c r="BR25" s="6">
        <f t="shared" si="150"/>
        <v>0.24621025772989635</v>
      </c>
      <c r="BS25" s="4">
        <f t="shared" si="118"/>
        <v>0</v>
      </c>
      <c r="BT25" s="5">
        <f t="shared" si="118"/>
        <v>0</v>
      </c>
      <c r="BU25" s="10">
        <f t="shared" si="119"/>
        <v>3.4293498705415371E-2</v>
      </c>
      <c r="BV25" s="9">
        <f t="shared" si="120"/>
        <v>0</v>
      </c>
      <c r="BW25" s="5">
        <f t="shared" si="121"/>
        <v>1</v>
      </c>
      <c r="BX25" s="8">
        <f t="shared" si="122"/>
        <v>3.4293498705415371E-2</v>
      </c>
      <c r="BY25" s="173">
        <f t="shared" si="123"/>
        <v>1</v>
      </c>
      <c r="BZ25" s="5">
        <f t="shared" si="124"/>
        <v>0</v>
      </c>
      <c r="CA25" s="6">
        <f t="shared" si="125"/>
        <v>3.4293498705415371E-2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3.4293498705415371E-2</v>
      </c>
      <c r="CF25" s="4">
        <f t="shared" si="155"/>
        <v>0.90785647148740556</v>
      </c>
      <c r="CG25" s="5">
        <f t="shared" si="156"/>
        <v>0.33308724232987175</v>
      </c>
      <c r="CH25" s="5">
        <f t="shared" si="157"/>
        <v>0</v>
      </c>
      <c r="CI25" s="4">
        <f t="shared" si="126"/>
        <v>0</v>
      </c>
      <c r="CJ25" s="5">
        <f t="shared" si="127"/>
        <v>0.26158014058461337</v>
      </c>
      <c r="CK25" s="8">
        <f t="shared" si="128"/>
        <v>3.4293498705415371E-2</v>
      </c>
      <c r="CL25" s="173">
        <f t="shared" si="129"/>
        <v>0.90785647148740556</v>
      </c>
      <c r="CM25" s="5">
        <f t="shared" si="130"/>
        <v>0.59466738291448507</v>
      </c>
      <c r="CN25" s="6">
        <f t="shared" si="131"/>
        <v>3.4293498705415371E-2</v>
      </c>
      <c r="CO25" s="167">
        <f t="shared" si="35"/>
        <v>0.3125</v>
      </c>
      <c r="CP25" s="4">
        <f t="shared" si="240"/>
        <v>0.93515048382448107</v>
      </c>
      <c r="CQ25" s="5">
        <f t="shared" si="241"/>
        <v>-5.7167559974431299</v>
      </c>
      <c r="CR25" s="5">
        <f t="shared" si="158"/>
        <v>8.760477337148151</v>
      </c>
      <c r="CS25" s="8">
        <f t="shared" si="159"/>
        <v>-8.8159347167987789E-2</v>
      </c>
      <c r="CT25" s="9" t="e">
        <f t="shared" si="160"/>
        <v>#NUM!</v>
      </c>
      <c r="CU25" s="6" t="e">
        <f t="shared" si="161"/>
        <v>#NUM!</v>
      </c>
      <c r="CV25" s="4" t="e">
        <f t="shared" si="242"/>
        <v>#NUM!</v>
      </c>
      <c r="CW25" s="5" t="e">
        <f t="shared" si="162"/>
        <v>#NUM!</v>
      </c>
      <c r="CX25" s="8" t="e">
        <f t="shared" si="163"/>
        <v>#NUM!</v>
      </c>
      <c r="CY25" s="9" t="e">
        <f t="shared" si="164"/>
        <v>#NUM!</v>
      </c>
      <c r="CZ25" s="5" t="e">
        <f t="shared" si="165"/>
        <v>#NUM!</v>
      </c>
      <c r="DA25" s="6" t="e">
        <f t="shared" si="166"/>
        <v>#NUM!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 t="e">
        <f t="shared" si="175"/>
        <v>#NUM!</v>
      </c>
      <c r="DM25" s="173" t="e">
        <f t="shared" si="176"/>
        <v>#NUM!</v>
      </c>
      <c r="DN25" s="178" t="e">
        <f t="shared" si="177"/>
        <v>#NUM!</v>
      </c>
      <c r="DO25" s="9" t="e">
        <f t="shared" si="178"/>
        <v>#NUM!</v>
      </c>
      <c r="DP25" s="173" t="e">
        <f t="shared" si="179"/>
        <v>#NUM!</v>
      </c>
      <c r="DQ25" s="11" t="e">
        <f t="shared" si="180"/>
        <v>#NUM!</v>
      </c>
      <c r="DR25" s="173" t="e">
        <f t="shared" si="181"/>
        <v>#NUM!</v>
      </c>
      <c r="DS25" s="5" t="e">
        <f t="shared" si="182"/>
        <v>#NUM!</v>
      </c>
      <c r="DT25" s="5">
        <f t="shared" si="183"/>
        <v>400</v>
      </c>
      <c r="DU25" s="5" t="e">
        <f t="shared" si="184"/>
        <v>#NUM!</v>
      </c>
      <c r="DV25" s="5" t="e">
        <f t="shared" si="185"/>
        <v>#NUM!</v>
      </c>
      <c r="DW25" s="5" t="e">
        <f t="shared" si="186"/>
        <v>#NUM!</v>
      </c>
      <c r="DX25" s="167" t="e">
        <f t="shared" si="187"/>
        <v>#NUM!</v>
      </c>
      <c r="DY25" s="9" t="e">
        <f t="shared" si="188"/>
        <v>#NUM!</v>
      </c>
      <c r="DZ25" s="5" t="e">
        <f t="shared" si="189"/>
        <v>#NUM!</v>
      </c>
      <c r="EA25" s="10" t="e">
        <f t="shared" si="190"/>
        <v>#NUM!</v>
      </c>
      <c r="EB25" s="6" t="e">
        <f t="shared" si="191"/>
        <v>#NUM!</v>
      </c>
      <c r="EC25" s="173" t="e">
        <f t="shared" si="192"/>
        <v>#NUM!</v>
      </c>
      <c r="ED25" s="5" t="e">
        <f t="shared" si="193"/>
        <v>#NUM!</v>
      </c>
      <c r="EE25" s="4" t="e">
        <f t="shared" si="194"/>
        <v>#NUM!</v>
      </c>
      <c r="EF25" s="5" t="e">
        <f t="shared" si="195"/>
        <v>#NUM!</v>
      </c>
      <c r="EG25" s="10" t="e">
        <f t="shared" si="196"/>
        <v>#NUM!</v>
      </c>
      <c r="EH25" s="9" t="e">
        <f t="shared" si="197"/>
        <v>#NUM!</v>
      </c>
      <c r="EI25" s="5" t="e">
        <f t="shared" si="198"/>
        <v>#NUM!</v>
      </c>
      <c r="EJ25" s="6" t="e">
        <f t="shared" si="199"/>
        <v>#NUM!</v>
      </c>
      <c r="EK25" s="236" t="e">
        <f t="shared" si="200"/>
        <v>#NUM!</v>
      </c>
      <c r="EL25" s="238" t="e">
        <f t="shared" si="201"/>
        <v>#NUM!</v>
      </c>
      <c r="EM25" s="4" t="e">
        <f t="shared" si="202"/>
        <v>#NUM!</v>
      </c>
      <c r="EN25" s="5" t="e">
        <f t="shared" si="203"/>
        <v>#NUM!</v>
      </c>
      <c r="EO25" s="10" t="e">
        <f t="shared" si="204"/>
        <v>#NUM!</v>
      </c>
      <c r="EP25" s="9" t="e">
        <f t="shared" si="205"/>
        <v>#NUM!</v>
      </c>
      <c r="EQ25" s="5" t="e">
        <f t="shared" si="206"/>
        <v>#NUM!</v>
      </c>
      <c r="ER25" s="7" t="e">
        <f t="shared" si="207"/>
        <v>#NUM!</v>
      </c>
      <c r="ES25" s="21">
        <f t="shared" si="132"/>
        <v>0.3330872423298718</v>
      </c>
      <c r="ET25" s="5">
        <f t="shared" si="44"/>
        <v>-0.90785647148740534</v>
      </c>
      <c r="EU25" s="10">
        <f t="shared" si="45"/>
        <v>-0.25465568160855789</v>
      </c>
      <c r="EV25" s="174" t="e">
        <f t="shared" si="254"/>
        <v>#NUM!</v>
      </c>
      <c r="EW25" s="9" t="e">
        <f t="shared" si="133"/>
        <v>#NUM!</v>
      </c>
      <c r="EX25" s="5" t="e">
        <f t="shared" si="47"/>
        <v>#NUM!</v>
      </c>
      <c r="EY25" s="6">
        <f t="shared" si="208"/>
        <v>-0.25465568160855789</v>
      </c>
      <c r="EZ25" s="51" t="e">
        <f t="shared" si="209"/>
        <v>#NUM!</v>
      </c>
      <c r="FA25" s="266" t="e">
        <f t="shared" si="134"/>
        <v>#NUM!</v>
      </c>
      <c r="FB25" s="267" t="e">
        <f t="shared" si="135"/>
        <v>#NUM!</v>
      </c>
      <c r="FC25" s="269" t="e">
        <f t="shared" si="48"/>
        <v>#NUM!</v>
      </c>
      <c r="FD25" s="4" t="e">
        <f t="shared" si="136"/>
        <v>#NUM!</v>
      </c>
      <c r="FE25" s="5" t="e">
        <f t="shared" si="49"/>
        <v>#NUM!</v>
      </c>
      <c r="FF25" s="7" t="e">
        <f t="shared" si="210"/>
        <v>#NUM!</v>
      </c>
      <c r="FG25" s="173" t="e">
        <f t="shared" si="211"/>
        <v>#NUM!</v>
      </c>
      <c r="FH25" s="5" t="e">
        <f t="shared" si="50"/>
        <v>#NUM!</v>
      </c>
      <c r="FI25" s="10" t="e">
        <f t="shared" si="51"/>
        <v>#NUM!</v>
      </c>
      <c r="FJ25" s="279" t="e">
        <f t="shared" si="212"/>
        <v>#NUM!</v>
      </c>
      <c r="FK25" s="4">
        <f t="shared" si="52"/>
        <v>0.96703179049319821</v>
      </c>
      <c r="FL25" s="5" t="e">
        <f t="shared" si="213"/>
        <v>#NUM!</v>
      </c>
      <c r="FM25" s="8" t="e">
        <f t="shared" si="214"/>
        <v>#NUM!</v>
      </c>
      <c r="FN25" s="9" t="e">
        <f t="shared" si="215"/>
        <v>#NUM!</v>
      </c>
      <c r="FO25" s="10" t="e">
        <f t="shared" si="53"/>
        <v>#NUM!</v>
      </c>
      <c r="FP25" s="277" t="e">
        <f t="shared" si="54"/>
        <v>#NUM!</v>
      </c>
      <c r="FQ25" s="173" t="e">
        <f t="shared" si="243"/>
        <v>#NUM!</v>
      </c>
      <c r="FR25" s="10" t="e">
        <f t="shared" si="216"/>
        <v>#NUM!</v>
      </c>
      <c r="FS25" s="9" t="e">
        <f t="shared" si="217"/>
        <v>#NUM!</v>
      </c>
      <c r="FT25" s="6" t="e">
        <f t="shared" si="218"/>
        <v>#NUM!</v>
      </c>
      <c r="FU25" s="4" t="e">
        <f t="shared" si="219"/>
        <v>#NUM!</v>
      </c>
      <c r="FV25" s="5" t="e">
        <f t="shared" si="220"/>
        <v>#NUM!</v>
      </c>
      <c r="FW25" s="8" t="e">
        <f t="shared" si="244"/>
        <v>#NUM!</v>
      </c>
      <c r="FX25" s="9" t="e">
        <f t="shared" si="245"/>
        <v>#NUM!</v>
      </c>
      <c r="FY25" s="10" t="e">
        <f t="shared" si="55"/>
        <v>#NUM!</v>
      </c>
      <c r="FZ25" s="277" t="e">
        <f t="shared" si="246"/>
        <v>#NUM!</v>
      </c>
      <c r="GA25" s="177" t="e">
        <f t="shared" si="221"/>
        <v>#NUM!</v>
      </c>
      <c r="GB25" s="4" t="e">
        <f t="shared" si="222"/>
        <v>#NUM!</v>
      </c>
      <c r="GC25" s="5" t="e">
        <f t="shared" si="223"/>
        <v>#NUM!</v>
      </c>
      <c r="GD25" s="10" t="e">
        <f t="shared" si="224"/>
        <v>#NUM!</v>
      </c>
      <c r="GE25" s="311" t="e">
        <f t="shared" si="225"/>
        <v>#NUM!</v>
      </c>
      <c r="GF25" s="341" t="e">
        <f t="shared" si="247"/>
        <v>#NUM!</v>
      </c>
      <c r="GG25" s="285" t="e">
        <f t="shared" si="56"/>
        <v>#NUM!</v>
      </c>
      <c r="GH25" s="286" t="e">
        <f t="shared" si="57"/>
        <v>#NUM!</v>
      </c>
      <c r="GI25" s="281" t="e">
        <f t="shared" si="58"/>
        <v>#NUM!</v>
      </c>
      <c r="GJ25" s="167">
        <f t="shared" si="226"/>
        <v>3.0628000000000002</v>
      </c>
      <c r="GK25" s="174">
        <f t="shared" si="59"/>
        <v>1.6037384721435546</v>
      </c>
      <c r="GL25" s="174">
        <f t="shared" si="227"/>
        <v>3.3700000000000001E-2</v>
      </c>
      <c r="GM25" s="177">
        <f t="shared" si="248"/>
        <v>0.64855183813485351</v>
      </c>
      <c r="GN25" s="280">
        <f t="shared" si="228"/>
        <v>3.3894733955481711E-2</v>
      </c>
      <c r="GO25" s="4" t="e">
        <f t="shared" si="229"/>
        <v>#NUM!</v>
      </c>
      <c r="GP25" s="8" t="e">
        <f t="shared" si="249"/>
        <v>#NUM!</v>
      </c>
      <c r="GQ25" s="177" t="e">
        <f t="shared" si="230"/>
        <v>#NUM!</v>
      </c>
      <c r="GR25" s="371" t="e">
        <f t="shared" si="250"/>
        <v>#NUM!</v>
      </c>
      <c r="GS25" s="342" t="e">
        <f t="shared" si="61"/>
        <v>#NUM!</v>
      </c>
      <c r="GT25" s="343" t="e">
        <f t="shared" si="62"/>
        <v>#NUM!</v>
      </c>
      <c r="GU25" s="344">
        <f t="shared" si="63"/>
        <v>1594.3566020815147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 t="e">
        <f t="shared" si="66"/>
        <v>#NUM!</v>
      </c>
      <c r="GZ25" s="345" t="e">
        <f t="shared" si="67"/>
        <v>#NUM!</v>
      </c>
      <c r="HA25" s="342" t="e">
        <f t="shared" si="68"/>
        <v>#NUM!</v>
      </c>
      <c r="HB25" s="5" t="e">
        <f t="shared" si="231"/>
        <v>#NUM!</v>
      </c>
      <c r="HC25" s="343" t="e">
        <f t="shared" si="232"/>
        <v>#NUM!</v>
      </c>
      <c r="HD25" s="363" t="e">
        <f t="shared" si="233"/>
        <v>#NUM!</v>
      </c>
      <c r="HE25" s="344" t="e">
        <f t="shared" si="69"/>
        <v>#NUM!</v>
      </c>
      <c r="HF25" s="5" t="e">
        <f t="shared" si="70"/>
        <v>#NUM!</v>
      </c>
      <c r="HG25" s="343" t="e">
        <f t="shared" si="234"/>
        <v>#NUM!</v>
      </c>
      <c r="HH25" s="349" t="e">
        <f t="shared" si="235"/>
        <v>#NUM!</v>
      </c>
      <c r="HI25" s="317">
        <f t="shared" si="71"/>
        <v>2.1160000000000001</v>
      </c>
      <c r="HJ25" s="336"/>
      <c r="HK25" s="310">
        <f t="shared" si="137"/>
        <v>17</v>
      </c>
      <c r="HL25" s="348">
        <f t="shared" si="72"/>
        <v>1.117</v>
      </c>
      <c r="HM25" s="909" t="e">
        <f t="shared" si="138"/>
        <v>#NUM!</v>
      </c>
      <c r="HN25" s="910">
        <f t="shared" si="73"/>
        <v>16.559997609032152</v>
      </c>
      <c r="HO25" s="911"/>
      <c r="HP25" s="912"/>
      <c r="HQ25" s="910" t="e">
        <f t="shared" si="74"/>
        <v>#NUM!</v>
      </c>
      <c r="HR25" s="913" t="e">
        <f t="shared" si="75"/>
        <v>#NUM!</v>
      </c>
      <c r="HS25" s="865">
        <f t="shared" si="251"/>
        <v>3.1920000000000002</v>
      </c>
      <c r="HT25" s="875">
        <f t="shared" si="76"/>
        <v>3.1199999999999999E-2</v>
      </c>
      <c r="HU25" s="876">
        <f t="shared" si="77"/>
        <v>0.62576654389062714</v>
      </c>
      <c r="HV25" s="872">
        <f t="shared" si="78"/>
        <v>3.2703924769393433E-2</v>
      </c>
      <c r="HW25" s="866">
        <f t="shared" si="79"/>
        <v>29500</v>
      </c>
      <c r="HX25" s="867">
        <f t="shared" si="80"/>
        <v>244.82640000000001</v>
      </c>
      <c r="HY25" s="866" t="e">
        <f t="shared" si="81"/>
        <v>#NUM!</v>
      </c>
      <c r="HZ25" s="868">
        <f t="shared" si="82"/>
        <v>1538.3427537311252</v>
      </c>
      <c r="IA25" s="869" t="e">
        <f t="shared" si="83"/>
        <v>#NUM!</v>
      </c>
      <c r="IB25" s="870" t="e">
        <f t="shared" si="84"/>
        <v>#NUM!</v>
      </c>
      <c r="IC25" s="841" t="e">
        <f t="shared" si="85"/>
        <v>#NUM!</v>
      </c>
      <c r="ID25" s="351">
        <f t="shared" si="86"/>
        <v>920.4</v>
      </c>
      <c r="IE25" s="843" t="e">
        <f t="shared" si="87"/>
        <v>#NUM!</v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18</v>
      </c>
      <c r="JE25" s="5"/>
      <c r="JF25" s="5"/>
      <c r="JG25" s="10"/>
      <c r="JH25" s="236" t="str">
        <v/>
      </c>
      <c r="JI25" s="744">
        <v>12</v>
      </c>
      <c r="JJ25" s="728" t="str">
        <v/>
      </c>
      <c r="JK25" s="744">
        <v>290</v>
      </c>
    </row>
    <row r="26" spans="1:271" ht="15" customHeight="1" x14ac:dyDescent="0.25">
      <c r="A26" s="75">
        <f t="shared" si="1"/>
        <v>0</v>
      </c>
      <c r="B26" s="578">
        <f t="shared" si="2"/>
        <v>3.3410122695616802</v>
      </c>
      <c r="C26" s="572">
        <f t="shared" si="3"/>
        <v>1.602175995275626</v>
      </c>
      <c r="D26" s="576">
        <f t="shared" si="4"/>
        <v>-0.68570206807743761</v>
      </c>
      <c r="E26" s="580">
        <f t="shared" si="5"/>
        <v>-0.22598475645896027</v>
      </c>
      <c r="F26" s="572">
        <f t="shared" si="6"/>
        <v>0.93795661052965396</v>
      </c>
      <c r="G26" s="579">
        <f t="shared" si="7"/>
        <v>0.26299864374537668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309"/>
      <c r="M26" s="164">
        <f t="shared" si="12"/>
        <v>2.1219999999999999</v>
      </c>
      <c r="N26" s="575">
        <f t="shared" si="13"/>
        <v>3.3410122695616802</v>
      </c>
      <c r="O26" s="572">
        <f t="shared" si="14"/>
        <v>1.602175995275626</v>
      </c>
      <c r="P26" s="576">
        <f t="shared" si="15"/>
        <v>-0.68570206807743761</v>
      </c>
      <c r="Q26" s="528">
        <f t="shared" si="140"/>
        <v>25.61995731775901</v>
      </c>
      <c r="R26" s="572">
        <f>IF(M26="","",SQRT(N26^2+O26^2))</f>
        <v>3.7053111752185037</v>
      </c>
      <c r="S26" s="577">
        <f>IF(M26="","",P26)</f>
        <v>-0.68570206807743761</v>
      </c>
      <c r="T26" s="578">
        <f>IF(M26="","",X26*COS(RADIANS(W26)))</f>
        <v>1.6074220655561045</v>
      </c>
      <c r="U26" s="572">
        <f>IF(M26="","",X26*SIN(RADIANS(W26)))</f>
        <v>-3.3384914569850968</v>
      </c>
      <c r="V26" s="579">
        <f>IF(M26="","",Y26)</f>
        <v>-0.68570206807743761</v>
      </c>
      <c r="W26" s="528">
        <f t="shared" si="253"/>
        <v>295.70995730476466</v>
      </c>
      <c r="X26" s="572">
        <f>IF(M26="","",R26)</f>
        <v>3.7053111752185037</v>
      </c>
      <c r="Y26" s="573">
        <f t="shared" si="255"/>
        <v>-0.68570206807743761</v>
      </c>
      <c r="Z26" s="575">
        <f t="shared" si="18"/>
        <v>0.22598475645896027</v>
      </c>
      <c r="AA26" s="572">
        <f t="shared" si="19"/>
        <v>-0.93795661052965396</v>
      </c>
      <c r="AB26" s="572">
        <f t="shared" si="20"/>
        <v>-0.26299864374537668</v>
      </c>
      <c r="AC26" s="579">
        <f>IF(M26="","",SQRT(Z26^2+AA26^2+AB26^2))</f>
        <v>1</v>
      </c>
      <c r="AD26" s="580">
        <f>IF(M26="","",Z26*(1/SQRT(Z26^2+AA26^2+AB26^2)))</f>
        <v>0.22598475645896027</v>
      </c>
      <c r="AE26" s="572">
        <f>IF(M26="","",AA26*(1/SQRT(Z26^2+AA26^2+AB26^2)))</f>
        <v>-0.93795661052965396</v>
      </c>
      <c r="AF26" s="576">
        <f>IF(M26="","",AB26*(1/SQRT(Z26^2+AA26^2+AB26^2)))</f>
        <v>-0.26299864374537668</v>
      </c>
      <c r="AG26" s="545">
        <f>IF(M26="","",DEGREES(ATAN2(-AF26,AE26)))</f>
        <v>-74.336752217609998</v>
      </c>
      <c r="AH26" s="546">
        <f>IF(M26="","",DEGREES(ACOS(AD26)))</f>
        <v>76.939207867111605</v>
      </c>
      <c r="AI26" s="528">
        <f>IF(M26="","",DEGREES(-ACOS(-AF26)))</f>
        <v>-74.751934266479211</v>
      </c>
      <c r="AJ26" s="529">
        <f>IF(M26="","",DEGREES(ATAN2(-AE26,AD26)))</f>
        <v>13.546271364484063</v>
      </c>
      <c r="AK26" s="578">
        <f>IF(M26="","",(COS(RADIANS((90-$Q$8)-W26))*AD26)+(-SIN(RADIANS((90-$Q$8)-W26))*AE26))</f>
        <v>0.94345433645978904</v>
      </c>
      <c r="AL26" s="572">
        <f>IF(M26="","",(SIN(RADIANS((90-$Q$8)-W26))*AD26)+(COS(RADIANS((90-$Q$8)-W26))*AE26))</f>
        <v>-0.20180591766177688</v>
      </c>
      <c r="AM26" s="577">
        <f>IF(M26="","",AF26)</f>
        <v>-0.26299864374537668</v>
      </c>
      <c r="AN26" s="524">
        <f>IF(M26="","",DEGREES(ATAN2(-AM26,AL26)))</f>
        <v>-37.499994585670692</v>
      </c>
      <c r="AO26" s="525">
        <f t="shared" si="116"/>
        <v>19.35999720476222</v>
      </c>
      <c r="AP26" s="528">
        <f>IF(M26="","",DEGREES(ATAN2(AK26,AL26)))</f>
        <v>-12.073685953274953</v>
      </c>
      <c r="AQ26" s="529">
        <f t="shared" si="21"/>
        <v>0.41016576485457013</v>
      </c>
      <c r="AS26" s="932">
        <f t="shared" si="143"/>
        <v>-64.290042695235343</v>
      </c>
      <c r="AT26" s="928">
        <f t="shared" si="22"/>
        <v>-0.65589649276158535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0.66745646992001118</v>
      </c>
      <c r="BA26" s="296">
        <f t="shared" si="24"/>
        <v>3.4882731255322874E-2</v>
      </c>
      <c r="BB26" s="190">
        <f t="shared" si="145"/>
        <v>0.32182982609491873</v>
      </c>
      <c r="BC26" s="9"/>
      <c r="BD26" s="5">
        <f t="shared" si="146"/>
        <v>3.7938000000000001</v>
      </c>
      <c r="BE26" s="6">
        <f t="shared" si="25"/>
        <v>-0.36387224198251888</v>
      </c>
      <c r="BF26" s="4">
        <f t="shared" si="26"/>
        <v>3.3410122695616802</v>
      </c>
      <c r="BG26" s="5">
        <f t="shared" si="27"/>
        <v>1.602175995275626</v>
      </c>
      <c r="BH26" s="10">
        <f t="shared" si="28"/>
        <v>-0.68570206807743761</v>
      </c>
      <c r="BI26" s="9">
        <f t="shared" si="147"/>
        <v>3.3410122695616802</v>
      </c>
      <c r="BJ26" s="5">
        <f t="shared" si="29"/>
        <v>1.8721588696942135</v>
      </c>
      <c r="BK26" s="8">
        <f t="shared" si="30"/>
        <v>-1.6485671923397494</v>
      </c>
      <c r="BL26" s="173">
        <f t="shared" si="31"/>
        <v>4.3151431077185389</v>
      </c>
      <c r="BM26" s="5">
        <f t="shared" si="32"/>
        <v>1.8197688358848711</v>
      </c>
      <c r="BN26" s="6">
        <f t="shared" si="33"/>
        <v>-0.62469005395386301</v>
      </c>
      <c r="BO26" s="4">
        <f t="shared" si="148"/>
        <v>0.22598475645896007</v>
      </c>
      <c r="BP26" s="5">
        <f t="shared" si="239"/>
        <v>-0.93795661052965362</v>
      </c>
      <c r="BQ26" s="5">
        <f t="shared" si="149"/>
        <v>-0.2629986437453764</v>
      </c>
      <c r="BR26" s="6">
        <f t="shared" si="150"/>
        <v>0.56741500801964162</v>
      </c>
      <c r="BS26" s="4">
        <f t="shared" si="118"/>
        <v>0</v>
      </c>
      <c r="BT26" s="5">
        <f t="shared" si="118"/>
        <v>0</v>
      </c>
      <c r="BU26" s="10">
        <f t="shared" si="119"/>
        <v>-0.36387224198251888</v>
      </c>
      <c r="BV26" s="9">
        <f t="shared" si="120"/>
        <v>0</v>
      </c>
      <c r="BW26" s="5">
        <f t="shared" si="121"/>
        <v>1</v>
      </c>
      <c r="BX26" s="8">
        <f t="shared" si="122"/>
        <v>-0.36387224198251888</v>
      </c>
      <c r="BY26" s="173">
        <f t="shared" si="123"/>
        <v>1</v>
      </c>
      <c r="BZ26" s="5">
        <f t="shared" si="124"/>
        <v>0</v>
      </c>
      <c r="CA26" s="6">
        <f t="shared" si="125"/>
        <v>-0.36387224198251888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-0.36387224198251888</v>
      </c>
      <c r="CF26" s="4">
        <f t="shared" si="155"/>
        <v>0.93795661052965362</v>
      </c>
      <c r="CG26" s="5">
        <f t="shared" si="156"/>
        <v>0.22598475645896007</v>
      </c>
      <c r="CH26" s="5">
        <f t="shared" si="157"/>
        <v>0</v>
      </c>
      <c r="CI26" s="4">
        <f t="shared" si="126"/>
        <v>0</v>
      </c>
      <c r="CJ26" s="5">
        <f t="shared" si="127"/>
        <v>0.70697610818391809</v>
      </c>
      <c r="CK26" s="8">
        <f t="shared" si="128"/>
        <v>-0.36387224198251888</v>
      </c>
      <c r="CL26" s="173">
        <f t="shared" si="129"/>
        <v>0.93795661052965362</v>
      </c>
      <c r="CM26" s="5">
        <f t="shared" si="130"/>
        <v>0.9329608646428782</v>
      </c>
      <c r="CN26" s="6">
        <f t="shared" si="131"/>
        <v>-0.36387224198251888</v>
      </c>
      <c r="CO26" s="167">
        <f t="shared" si="35"/>
        <v>0.3125</v>
      </c>
      <c r="CP26" s="4">
        <f t="shared" si="240"/>
        <v>0.93083171338809179</v>
      </c>
      <c r="CQ26" s="5">
        <f t="shared" si="241"/>
        <v>-6.672052145125134</v>
      </c>
      <c r="CR26" s="5">
        <f t="shared" si="158"/>
        <v>11.969664010174981</v>
      </c>
      <c r="CS26" s="8">
        <f t="shared" si="159"/>
        <v>-5.0691609814919047E-2</v>
      </c>
      <c r="CT26" s="9" t="e">
        <f t="shared" si="160"/>
        <v>#NUM!</v>
      </c>
      <c r="CU26" s="6" t="e">
        <f t="shared" si="161"/>
        <v>#NUM!</v>
      </c>
      <c r="CV26" s="4" t="e">
        <f t="shared" si="242"/>
        <v>#NUM!</v>
      </c>
      <c r="CW26" s="5" t="e">
        <f t="shared" si="162"/>
        <v>#NUM!</v>
      </c>
      <c r="CX26" s="8" t="e">
        <f t="shared" si="163"/>
        <v>#NUM!</v>
      </c>
      <c r="CY26" s="9" t="e">
        <f t="shared" si="164"/>
        <v>#NUM!</v>
      </c>
      <c r="CZ26" s="5" t="e">
        <f t="shared" si="165"/>
        <v>#NUM!</v>
      </c>
      <c r="DA26" s="6" t="e">
        <f t="shared" si="166"/>
        <v>#NUM!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 t="e">
        <f t="shared" si="175"/>
        <v>#NUM!</v>
      </c>
      <c r="DM26" s="173" t="e">
        <f t="shared" si="176"/>
        <v>#NUM!</v>
      </c>
      <c r="DN26" s="178" t="e">
        <f t="shared" si="177"/>
        <v>#NUM!</v>
      </c>
      <c r="DO26" s="9" t="e">
        <f t="shared" si="178"/>
        <v>#NUM!</v>
      </c>
      <c r="DP26" s="173" t="e">
        <f t="shared" si="179"/>
        <v>#NUM!</v>
      </c>
      <c r="DQ26" s="11" t="e">
        <f t="shared" si="180"/>
        <v>#NUM!</v>
      </c>
      <c r="DR26" s="173" t="e">
        <f t="shared" si="181"/>
        <v>#NUM!</v>
      </c>
      <c r="DS26" s="5" t="e">
        <f t="shared" si="182"/>
        <v>#NUM!</v>
      </c>
      <c r="DT26" s="5">
        <f t="shared" si="183"/>
        <v>400</v>
      </c>
      <c r="DU26" s="5" t="e">
        <f t="shared" si="184"/>
        <v>#NUM!</v>
      </c>
      <c r="DV26" s="5" t="e">
        <f t="shared" si="185"/>
        <v>#NUM!</v>
      </c>
      <c r="DW26" s="5" t="e">
        <f t="shared" si="186"/>
        <v>#NUM!</v>
      </c>
      <c r="DX26" s="167" t="e">
        <f t="shared" si="187"/>
        <v>#NUM!</v>
      </c>
      <c r="DY26" s="9" t="e">
        <f t="shared" si="188"/>
        <v>#NUM!</v>
      </c>
      <c r="DZ26" s="5" t="e">
        <f t="shared" si="189"/>
        <v>#NUM!</v>
      </c>
      <c r="EA26" s="10" t="e">
        <f t="shared" si="190"/>
        <v>#NUM!</v>
      </c>
      <c r="EB26" s="6" t="e">
        <f t="shared" si="191"/>
        <v>#NUM!</v>
      </c>
      <c r="EC26" s="173" t="e">
        <f t="shared" si="192"/>
        <v>#NUM!</v>
      </c>
      <c r="ED26" s="5" t="e">
        <f t="shared" si="193"/>
        <v>#NUM!</v>
      </c>
      <c r="EE26" s="4" t="e">
        <f t="shared" si="194"/>
        <v>#NUM!</v>
      </c>
      <c r="EF26" s="5" t="e">
        <f t="shared" si="195"/>
        <v>#NUM!</v>
      </c>
      <c r="EG26" s="10" t="e">
        <f t="shared" si="196"/>
        <v>#NUM!</v>
      </c>
      <c r="EH26" s="9" t="e">
        <f t="shared" si="197"/>
        <v>#NUM!</v>
      </c>
      <c r="EI26" s="5" t="e">
        <f t="shared" si="198"/>
        <v>#NUM!</v>
      </c>
      <c r="EJ26" s="6" t="e">
        <f t="shared" si="199"/>
        <v>#NUM!</v>
      </c>
      <c r="EK26" s="236" t="e">
        <f t="shared" si="200"/>
        <v>#NUM!</v>
      </c>
      <c r="EL26" s="238" t="e">
        <f t="shared" si="201"/>
        <v>#NUM!</v>
      </c>
      <c r="EM26" s="4" t="e">
        <f t="shared" si="202"/>
        <v>#NUM!</v>
      </c>
      <c r="EN26" s="5" t="e">
        <f t="shared" si="203"/>
        <v>#NUM!</v>
      </c>
      <c r="EO26" s="10" t="e">
        <f t="shared" si="204"/>
        <v>#NUM!</v>
      </c>
      <c r="EP26" s="9" t="e">
        <f t="shared" si="205"/>
        <v>#NUM!</v>
      </c>
      <c r="EQ26" s="5" t="e">
        <f t="shared" si="206"/>
        <v>#NUM!</v>
      </c>
      <c r="ER26" s="7" t="e">
        <f t="shared" si="207"/>
        <v>#NUM!</v>
      </c>
      <c r="ES26" s="21">
        <f t="shared" si="132"/>
        <v>0.22598475645896027</v>
      </c>
      <c r="ET26" s="5">
        <f t="shared" si="44"/>
        <v>-0.93795661052965396</v>
      </c>
      <c r="EU26" s="10">
        <f t="shared" si="45"/>
        <v>-0.26299864374537668</v>
      </c>
      <c r="EV26" s="174" t="e">
        <f t="shared" si="254"/>
        <v>#NUM!</v>
      </c>
      <c r="EW26" s="9" t="e">
        <f t="shared" si="133"/>
        <v>#NUM!</v>
      </c>
      <c r="EX26" s="5" t="e">
        <f t="shared" si="47"/>
        <v>#NUM!</v>
      </c>
      <c r="EY26" s="6">
        <f t="shared" si="208"/>
        <v>-0.26299864374537668</v>
      </c>
      <c r="EZ26" s="51" t="e">
        <f t="shared" si="209"/>
        <v>#NUM!</v>
      </c>
      <c r="FA26" s="266" t="e">
        <f t="shared" si="134"/>
        <v>#NUM!</v>
      </c>
      <c r="FB26" s="267" t="e">
        <f t="shared" si="135"/>
        <v>#NUM!</v>
      </c>
      <c r="FC26" s="269" t="e">
        <f t="shared" si="48"/>
        <v>#NUM!</v>
      </c>
      <c r="FD26" s="4" t="e">
        <f t="shared" si="136"/>
        <v>#NUM!</v>
      </c>
      <c r="FE26" s="5" t="e">
        <f t="shared" si="49"/>
        <v>#NUM!</v>
      </c>
      <c r="FF26" s="7" t="e">
        <f t="shared" si="210"/>
        <v>#NUM!</v>
      </c>
      <c r="FG26" s="173" t="e">
        <f t="shared" si="211"/>
        <v>#NUM!</v>
      </c>
      <c r="FH26" s="5" t="e">
        <f t="shared" si="50"/>
        <v>#NUM!</v>
      </c>
      <c r="FI26" s="10" t="e">
        <f t="shared" si="51"/>
        <v>#NUM!</v>
      </c>
      <c r="FJ26" s="279" t="e">
        <f t="shared" si="212"/>
        <v>#NUM!</v>
      </c>
      <c r="FK26" s="4">
        <f t="shared" si="52"/>
        <v>0.96479620303362124</v>
      </c>
      <c r="FL26" s="5" t="e">
        <f t="shared" si="213"/>
        <v>#NUM!</v>
      </c>
      <c r="FM26" s="8" t="e">
        <f t="shared" si="214"/>
        <v>#NUM!</v>
      </c>
      <c r="FN26" s="9" t="e">
        <f t="shared" si="215"/>
        <v>#NUM!</v>
      </c>
      <c r="FO26" s="10" t="e">
        <f t="shared" si="53"/>
        <v>#NUM!</v>
      </c>
      <c r="FP26" s="277" t="e">
        <f t="shared" si="54"/>
        <v>#NUM!</v>
      </c>
      <c r="FQ26" s="173" t="e">
        <f t="shared" si="243"/>
        <v>#NUM!</v>
      </c>
      <c r="FR26" s="10" t="e">
        <f t="shared" si="216"/>
        <v>#NUM!</v>
      </c>
      <c r="FS26" s="9" t="e">
        <f>IF(ISNUMBER($AV26),FQ26/(FQ26+FR26),"")</f>
        <v>#NUM!</v>
      </c>
      <c r="FT26" s="6" t="e">
        <f t="shared" si="218"/>
        <v>#NUM!</v>
      </c>
      <c r="FU26" s="4" t="e">
        <f t="shared" si="219"/>
        <v>#NUM!</v>
      </c>
      <c r="FV26" s="5" t="e">
        <f t="shared" si="220"/>
        <v>#NUM!</v>
      </c>
      <c r="FW26" s="8" t="e">
        <f t="shared" si="244"/>
        <v>#NUM!</v>
      </c>
      <c r="FX26" s="9" t="e">
        <f t="shared" si="245"/>
        <v>#NUM!</v>
      </c>
      <c r="FY26" s="10" t="e">
        <f t="shared" si="55"/>
        <v>#NUM!</v>
      </c>
      <c r="FZ26" s="277" t="e">
        <f t="shared" si="246"/>
        <v>#NUM!</v>
      </c>
      <c r="GA26" s="177" t="e">
        <f t="shared" si="221"/>
        <v>#NUM!</v>
      </c>
      <c r="GB26" s="4" t="e">
        <f t="shared" si="222"/>
        <v>#NUM!</v>
      </c>
      <c r="GC26" s="5" t="e">
        <f t="shared" si="223"/>
        <v>#NUM!</v>
      </c>
      <c r="GD26" s="10" t="e">
        <f t="shared" si="224"/>
        <v>#NUM!</v>
      </c>
      <c r="GE26" s="311" t="e">
        <f t="shared" si="225"/>
        <v>#NUM!</v>
      </c>
      <c r="GF26" s="341" t="e">
        <f>IF(ISNUMBER($AV26),1/GE26,"")</f>
        <v>#NUM!</v>
      </c>
      <c r="GG26" s="285" t="e">
        <f t="shared" si="56"/>
        <v>#NUM!</v>
      </c>
      <c r="GH26" s="286" t="e">
        <f t="shared" si="57"/>
        <v>#NUM!</v>
      </c>
      <c r="GI26" s="281" t="e">
        <f t="shared" si="58"/>
        <v>#NUM!</v>
      </c>
      <c r="GJ26" s="167">
        <f t="shared" si="226"/>
        <v>3.7938000000000001</v>
      </c>
      <c r="GK26" s="174">
        <f t="shared" si="59"/>
        <v>1.9864775890476523</v>
      </c>
      <c r="GL26" s="174">
        <f t="shared" si="227"/>
        <v>2.8000000000000001E-2</v>
      </c>
      <c r="GM26" s="177">
        <f t="shared" si="248"/>
        <v>0.66745646992001118</v>
      </c>
      <c r="GN26" s="280">
        <f t="shared" si="228"/>
        <v>3.4882731255322874E-2</v>
      </c>
      <c r="GO26" s="4" t="e">
        <f t="shared" si="229"/>
        <v>#NUM!</v>
      </c>
      <c r="GP26" s="8" t="e">
        <f t="shared" si="249"/>
        <v>#NUM!</v>
      </c>
      <c r="GQ26" s="177" t="e">
        <f t="shared" si="230"/>
        <v>#NUM!</v>
      </c>
      <c r="GR26" s="371" t="e">
        <f t="shared" si="250"/>
        <v>#NUM!</v>
      </c>
      <c r="GS26" s="342" t="e">
        <f t="shared" si="61"/>
        <v>#NUM!</v>
      </c>
      <c r="GT26" s="343" t="e">
        <f t="shared" si="62"/>
        <v>#NUM!</v>
      </c>
      <c r="GU26" s="344">
        <f t="shared" si="63"/>
        <v>1640.8304885533607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 t="e">
        <f t="shared" si="66"/>
        <v>#NUM!</v>
      </c>
      <c r="GZ26" s="345" t="e">
        <f t="shared" si="67"/>
        <v>#NUM!</v>
      </c>
      <c r="HA26" s="342" t="e">
        <f t="shared" si="68"/>
        <v>#NUM!</v>
      </c>
      <c r="HB26" s="5" t="e">
        <f t="shared" si="231"/>
        <v>#NUM!</v>
      </c>
      <c r="HC26" s="343" t="e">
        <f t="shared" si="232"/>
        <v>#NUM!</v>
      </c>
      <c r="HD26" s="363" t="e">
        <f t="shared" si="233"/>
        <v>#NUM!</v>
      </c>
      <c r="HE26" s="344" t="e">
        <f t="shared" si="69"/>
        <v>#NUM!</v>
      </c>
      <c r="HF26" s="5" t="e">
        <f t="shared" si="70"/>
        <v>#NUM!</v>
      </c>
      <c r="HG26" s="343" t="e">
        <f t="shared" si="234"/>
        <v>#NUM!</v>
      </c>
      <c r="HH26" s="349" t="e">
        <f t="shared" si="235"/>
        <v>#NUM!</v>
      </c>
      <c r="HI26" s="317">
        <f t="shared" si="71"/>
        <v>2.1219999999999999</v>
      </c>
      <c r="HJ26" s="336"/>
      <c r="HK26" s="310">
        <f t="shared" si="137"/>
        <v>18</v>
      </c>
      <c r="HL26" s="348">
        <f t="shared" si="72"/>
        <v>6.1180000000000003</v>
      </c>
      <c r="HM26" s="909" t="e">
        <f t="shared" si="138"/>
        <v>#NUM!</v>
      </c>
      <c r="HN26" s="910">
        <f t="shared" si="73"/>
        <v>17.119997528178182</v>
      </c>
      <c r="HO26" s="911"/>
      <c r="HP26" s="912"/>
      <c r="HQ26" s="910" t="e">
        <f t="shared" si="74"/>
        <v>#NUM!</v>
      </c>
      <c r="HR26" s="913" t="e">
        <f t="shared" si="75"/>
        <v>#NUM!</v>
      </c>
      <c r="HS26" s="865">
        <f t="shared" si="251"/>
        <v>3.3212999999999999</v>
      </c>
      <c r="HT26" s="875">
        <f t="shared" si="76"/>
        <v>3.2000000000000001E-2</v>
      </c>
      <c r="HU26" s="876">
        <f t="shared" si="77"/>
        <v>0.66780828474714027</v>
      </c>
      <c r="HV26" s="872">
        <f t="shared" si="78"/>
        <v>3.4901117865715391E-2</v>
      </c>
      <c r="HW26" s="866">
        <f t="shared" si="79"/>
        <v>29500</v>
      </c>
      <c r="HX26" s="867">
        <f t="shared" si="80"/>
        <v>261.2756</v>
      </c>
      <c r="HY26" s="866" t="e">
        <f t="shared" si="81"/>
        <v>#NUM!</v>
      </c>
      <c r="HZ26" s="868">
        <f t="shared" si="82"/>
        <v>1641.6953666700533</v>
      </c>
      <c r="IA26" s="869" t="e">
        <f t="shared" si="83"/>
        <v>#NUM!</v>
      </c>
      <c r="IB26" s="870" t="e">
        <f t="shared" si="84"/>
        <v>#NUM!</v>
      </c>
      <c r="IC26" s="841" t="e">
        <f t="shared" si="85"/>
        <v>#NUM!</v>
      </c>
      <c r="ID26" s="351">
        <f t="shared" si="86"/>
        <v>944</v>
      </c>
      <c r="IE26" s="843" t="e">
        <f t="shared" si="87"/>
        <v>#NUM!</v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3.8097790732987264</v>
      </c>
      <c r="C27" s="572">
        <f t="shared" si="3"/>
        <v>1.7684371257555414</v>
      </c>
      <c r="D27" s="576">
        <f t="shared" si="4"/>
        <v>-1.2456037567409304</v>
      </c>
      <c r="E27" s="580">
        <f t="shared" si="5"/>
        <v>-0.11043202006308134</v>
      </c>
      <c r="F27" s="572">
        <f t="shared" si="6"/>
        <v>0.9656723068006825</v>
      </c>
      <c r="G27" s="579">
        <f t="shared" si="7"/>
        <v>0.23512074519921866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3.8097790732987264</v>
      </c>
      <c r="O27" s="572">
        <f t="shared" si="14"/>
        <v>1.7684371257555414</v>
      </c>
      <c r="P27" s="576">
        <f t="shared" si="15"/>
        <v>-1.2456037567409304</v>
      </c>
      <c r="Q27" s="528">
        <f t="shared" si="140"/>
        <v>24.899957421714131</v>
      </c>
      <c r="R27" s="572">
        <f t="shared" si="101"/>
        <v>4.2002126678414058</v>
      </c>
      <c r="S27" s="577">
        <f t="shared" si="102"/>
        <v>-1.2456037567409304</v>
      </c>
      <c r="T27" s="578">
        <f t="shared" si="103"/>
        <v>1.7744193276839868</v>
      </c>
      <c r="U27" s="572">
        <f t="shared" si="104"/>
        <v>-3.8069965201766243</v>
      </c>
      <c r="V27" s="579">
        <f t="shared" si="141"/>
        <v>-1.2456037567409304</v>
      </c>
      <c r="W27" s="528">
        <f t="shared" si="253"/>
        <v>294.98995740871976</v>
      </c>
      <c r="X27" s="572">
        <f t="shared" si="105"/>
        <v>4.2002126678414058</v>
      </c>
      <c r="Y27" s="573">
        <f t="shared" si="255"/>
        <v>-1.2456037567409304</v>
      </c>
      <c r="Z27" s="575">
        <f t="shared" si="18"/>
        <v>0.11043202006308134</v>
      </c>
      <c r="AA27" s="572">
        <f t="shared" si="19"/>
        <v>-0.9656723068006825</v>
      </c>
      <c r="AB27" s="572">
        <f t="shared" si="20"/>
        <v>-0.23512074519921866</v>
      </c>
      <c r="AC27" s="579">
        <f t="shared" si="106"/>
        <v>1</v>
      </c>
      <c r="AD27" s="580">
        <f t="shared" si="142"/>
        <v>0.11043202006308134</v>
      </c>
      <c r="AE27" s="572">
        <f t="shared" si="107"/>
        <v>-0.9656723068006825</v>
      </c>
      <c r="AF27" s="576">
        <f t="shared" si="108"/>
        <v>-0.23512074519921866</v>
      </c>
      <c r="AG27" s="545">
        <f t="shared" si="109"/>
        <v>-76.315950484666573</v>
      </c>
      <c r="AH27" s="546">
        <f t="shared" si="110"/>
        <v>83.659779776471652</v>
      </c>
      <c r="AI27" s="528">
        <f t="shared" si="111"/>
        <v>-76.40125960550256</v>
      </c>
      <c r="AJ27" s="529">
        <f t="shared" si="112"/>
        <v>6.5238704491598272</v>
      </c>
      <c r="AK27" s="578">
        <f t="shared" si="238"/>
        <v>0.92240334874666596</v>
      </c>
      <c r="AL27" s="572">
        <f t="shared" si="113"/>
        <v>-0.30641523688925904</v>
      </c>
      <c r="AM27" s="577">
        <f t="shared" si="114"/>
        <v>-0.23512074519921866</v>
      </c>
      <c r="AN27" s="524">
        <f t="shared" si="115"/>
        <v>-52.499992419938948</v>
      </c>
      <c r="AO27" s="525">
        <f t="shared" si="116"/>
        <v>22.719996719638328</v>
      </c>
      <c r="AP27" s="528">
        <f t="shared" si="117"/>
        <v>-18.376086972554322</v>
      </c>
      <c r="AQ27" s="529">
        <f t="shared" si="21"/>
        <v>0.36183823772721058</v>
      </c>
      <c r="AS27" s="932">
        <f t="shared" si="143"/>
        <v>-65.010042591280239</v>
      </c>
      <c r="AT27" s="928">
        <f t="shared" si="22"/>
        <v>-1.2154648481398722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0.55427136350537454</v>
      </c>
      <c r="BA27" s="296">
        <f t="shared" si="24"/>
        <v>2.8967430667046237E-2</v>
      </c>
      <c r="BB27" s="190">
        <f t="shared" si="145"/>
        <v>0.27749818147320549</v>
      </c>
      <c r="BC27" s="9"/>
      <c r="BD27" s="5">
        <f t="shared" si="146"/>
        <v>4.367</v>
      </c>
      <c r="BE27" s="6">
        <f t="shared" si="25"/>
        <v>-0.96810557526772489</v>
      </c>
      <c r="BF27" s="4">
        <f t="shared" si="26"/>
        <v>3.8097790732987264</v>
      </c>
      <c r="BG27" s="5">
        <f t="shared" si="27"/>
        <v>1.7684371257555414</v>
      </c>
      <c r="BH27" s="10">
        <f t="shared" si="28"/>
        <v>-1.2456037567409304</v>
      </c>
      <c r="BI27" s="9">
        <f>IF(ISNUMBER($AV27),BF27+0,"")</f>
        <v>3.8097790732987264</v>
      </c>
      <c r="BJ27" s="5">
        <f t="shared" si="29"/>
        <v>2.0050047945695262</v>
      </c>
      <c r="BK27" s="8">
        <f t="shared" si="30"/>
        <v>-2.2172187721003662</v>
      </c>
      <c r="BL27" s="173">
        <f t="shared" si="31"/>
        <v>4.8036627530846392</v>
      </c>
      <c r="BM27" s="5">
        <f t="shared" si="32"/>
        <v>1.8757345346253058</v>
      </c>
      <c r="BN27" s="6">
        <f t="shared" si="33"/>
        <v>-1.2194791111921881</v>
      </c>
      <c r="BO27" s="4">
        <f t="shared" si="148"/>
        <v>0.11043202006308159</v>
      </c>
      <c r="BP27" s="5">
        <f t="shared" si="239"/>
        <v>-0.96567230680068206</v>
      </c>
      <c r="BQ27" s="5">
        <f t="shared" si="149"/>
        <v>-0.23512074519921855</v>
      </c>
      <c r="BR27" s="6">
        <f t="shared" si="150"/>
        <v>0.99414187609401417</v>
      </c>
      <c r="BS27" s="4">
        <f t="shared" si="118"/>
        <v>0</v>
      </c>
      <c r="BT27" s="5">
        <f t="shared" si="118"/>
        <v>0</v>
      </c>
      <c r="BU27" s="10">
        <f t="shared" si="119"/>
        <v>-0.96810557526772489</v>
      </c>
      <c r="BV27" s="9">
        <f t="shared" si="120"/>
        <v>0</v>
      </c>
      <c r="BW27" s="5">
        <f t="shared" si="121"/>
        <v>1</v>
      </c>
      <c r="BX27" s="8">
        <f t="shared" si="122"/>
        <v>-0.96810557526772489</v>
      </c>
      <c r="BY27" s="173">
        <f t="shared" si="123"/>
        <v>1</v>
      </c>
      <c r="BZ27" s="5">
        <f t="shared" si="124"/>
        <v>0</v>
      </c>
      <c r="CA27" s="6">
        <f t="shared" si="125"/>
        <v>-0.96810557526772489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-0.96810557526772489</v>
      </c>
      <c r="CF27" s="4">
        <f t="shared" si="155"/>
        <v>0.96567230680068206</v>
      </c>
      <c r="CG27" s="5">
        <f t="shared" si="156"/>
        <v>0.11043202006308159</v>
      </c>
      <c r="CH27" s="5">
        <f t="shared" si="157"/>
        <v>0</v>
      </c>
      <c r="CI27" s="4">
        <f t="shared" si="126"/>
        <v>0</v>
      </c>
      <c r="CJ27" s="5">
        <f t="shared" si="127"/>
        <v>1.2651947992898753</v>
      </c>
      <c r="CK27" s="8">
        <f t="shared" si="128"/>
        <v>-0.96810557526772489</v>
      </c>
      <c r="CL27" s="173">
        <f t="shared" si="129"/>
        <v>0.96567230680068206</v>
      </c>
      <c r="CM27" s="5">
        <f t="shared" si="130"/>
        <v>1.3756268193529568</v>
      </c>
      <c r="CN27" s="6">
        <f t="shared" si="131"/>
        <v>-0.96810557526772489</v>
      </c>
      <c r="CO27" s="167">
        <f t="shared" si="35"/>
        <v>0.3125</v>
      </c>
      <c r="CP27" s="4">
        <f t="shared" si="240"/>
        <v>0.94471823517696341</v>
      </c>
      <c r="CQ27" s="5">
        <f t="shared" si="241"/>
        <v>-7.469144425612388</v>
      </c>
      <c r="CR27" s="5">
        <f t="shared" si="158"/>
        <v>14.747018417212415</v>
      </c>
      <c r="CS27" s="8">
        <f>IF(ISNUMBER($AV27),CQ27^2-(4*CP27*CR27),"")</f>
        <v>6.1009597732258669E-2</v>
      </c>
      <c r="CT27" s="9">
        <f t="shared" si="160"/>
        <v>4.0838343901281711</v>
      </c>
      <c r="CU27" s="6">
        <f t="shared" si="161"/>
        <v>3.8223794919541167</v>
      </c>
      <c r="CV27" s="4">
        <f t="shared" si="242"/>
        <v>3.9436457761070276</v>
      </c>
      <c r="CW27" s="5">
        <f t="shared" si="162"/>
        <v>1.7161808805948118</v>
      </c>
      <c r="CX27" s="8">
        <f t="shared" si="163"/>
        <v>-0.96810557526772489</v>
      </c>
      <c r="CY27" s="9">
        <f t="shared" si="164"/>
        <v>3.6911660214629509</v>
      </c>
      <c r="CZ27" s="5">
        <f t="shared" si="165"/>
        <v>1.6873078880340637</v>
      </c>
      <c r="DA27" s="6">
        <f t="shared" si="166"/>
        <v>-0.96810557526772489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3.9436457761070276</v>
      </c>
      <c r="DM27" s="173">
        <f t="shared" si="176"/>
        <v>1.7161808805948118</v>
      </c>
      <c r="DN27" s="178">
        <f t="shared" si="177"/>
        <v>9.0318944247322754</v>
      </c>
      <c r="DO27" s="9">
        <f t="shared" si="178"/>
        <v>-0.25247975464407668</v>
      </c>
      <c r="DP27" s="173">
        <f t="shared" si="179"/>
        <v>-2.8872992560748045E-2</v>
      </c>
      <c r="DQ27" s="11">
        <f t="shared" si="180"/>
        <v>0</v>
      </c>
      <c r="DR27" s="173">
        <f t="shared" si="181"/>
        <v>180.63788849464549</v>
      </c>
      <c r="DS27" s="5">
        <f t="shared" si="182"/>
        <v>0</v>
      </c>
      <c r="DT27" s="5">
        <f t="shared" si="183"/>
        <v>400</v>
      </c>
      <c r="DU27" s="5">
        <f t="shared" si="184"/>
        <v>6.457967620454616E-2</v>
      </c>
      <c r="DV27" s="5">
        <f t="shared" si="185"/>
        <v>-1.0452419957529637</v>
      </c>
      <c r="DW27" s="5">
        <f t="shared" si="186"/>
        <v>100.07273572183595</v>
      </c>
      <c r="DX27" s="167">
        <f t="shared" si="187"/>
        <v>81.002046721835953</v>
      </c>
      <c r="DY27" s="9">
        <f t="shared" si="188"/>
        <v>25.831870481818463</v>
      </c>
      <c r="DZ27" s="5">
        <f t="shared" si="189"/>
        <v>-418.09679830118552</v>
      </c>
      <c r="EA27" s="10">
        <f t="shared" si="190"/>
        <v>-229.22807106959954</v>
      </c>
      <c r="EB27" s="6">
        <f t="shared" si="191"/>
        <v>180726.32259236919</v>
      </c>
      <c r="EC27" s="173">
        <f t="shared" si="192"/>
        <v>32.642467189215218</v>
      </c>
      <c r="ED27" s="5">
        <f t="shared" si="193"/>
        <v>-0.27184976950809037</v>
      </c>
      <c r="EE27" s="4">
        <f t="shared" si="194"/>
        <v>-4.2979163308033534</v>
      </c>
      <c r="EF27" s="5">
        <f t="shared" si="195"/>
        <v>0.7736951682761386</v>
      </c>
      <c r="EG27" s="10">
        <f t="shared" si="196"/>
        <v>-0.96810557526772489</v>
      </c>
      <c r="EH27" s="9">
        <f t="shared" si="197"/>
        <v>4.0122823392124793</v>
      </c>
      <c r="EI27" s="5">
        <f t="shared" si="198"/>
        <v>1.72402999696746</v>
      </c>
      <c r="EJ27" s="6">
        <f t="shared" si="199"/>
        <v>-0.96810557526772489</v>
      </c>
      <c r="EK27" s="236" t="b">
        <f t="shared" si="200"/>
        <v>0</v>
      </c>
      <c r="EL27" s="238" t="b">
        <f t="shared" si="201"/>
        <v>0</v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e">
        <f t="shared" si="205"/>
        <v>#VALUE!</v>
      </c>
      <c r="EQ27" s="5" t="e">
        <f t="shared" si="206"/>
        <v>#VALUE!</v>
      </c>
      <c r="ER27" s="7" t="str">
        <f t="shared" si="207"/>
        <v/>
      </c>
      <c r="ES27" s="21">
        <f t="shared" si="132"/>
        <v>0.11043202006308134</v>
      </c>
      <c r="ET27" s="5">
        <f t="shared" si="44"/>
        <v>-0.9656723068006825</v>
      </c>
      <c r="EU27" s="10">
        <f t="shared" si="45"/>
        <v>-0.23512074519921866</v>
      </c>
      <c r="EV27" s="174" t="e">
        <f t="shared" si="254"/>
        <v>#VALUE!</v>
      </c>
      <c r="EW27" s="9" t="e">
        <f t="shared" si="133"/>
        <v>#VALUE!</v>
      </c>
      <c r="EX27" s="5" t="e">
        <f t="shared" si="47"/>
        <v>#VALUE!</v>
      </c>
      <c r="EY27" s="6">
        <f t="shared" si="208"/>
        <v>-0.23512074519921866</v>
      </c>
      <c r="EZ27" s="51" t="e">
        <f t="shared" si="209"/>
        <v>#VALUE!</v>
      </c>
      <c r="FA27" s="266" t="e">
        <f t="shared" si="134"/>
        <v>#VALUE!</v>
      </c>
      <c r="FB27" s="267" t="e">
        <f t="shared" si="135"/>
        <v>#VALUE!</v>
      </c>
      <c r="FC27" s="269" t="e">
        <f t="shared" si="48"/>
        <v>#VALUE!</v>
      </c>
      <c r="FD27" s="4" t="e">
        <f t="shared" si="136"/>
        <v>#VALUE!</v>
      </c>
      <c r="FE27" s="5" t="e">
        <f t="shared" si="49"/>
        <v>#VALUE!</v>
      </c>
      <c r="FF27" s="7" t="e">
        <f t="shared" si="210"/>
        <v>#VALUE!</v>
      </c>
      <c r="FG27" s="173" t="e">
        <f t="shared" si="211"/>
        <v>#VALUE!</v>
      </c>
      <c r="FH27" s="5" t="e">
        <f t="shared" si="50"/>
        <v>#VALUE!</v>
      </c>
      <c r="FI27" s="10" t="e">
        <f t="shared" si="51"/>
        <v>#VALUE!</v>
      </c>
      <c r="FJ27" s="279" t="e">
        <f t="shared" si="212"/>
        <v>#VALUE!</v>
      </c>
      <c r="FK27" s="4">
        <f t="shared" si="52"/>
        <v>0.97196616976979411</v>
      </c>
      <c r="FL27" s="5" t="e">
        <f t="shared" si="213"/>
        <v>#VALUE!</v>
      </c>
      <c r="FM27" s="8" t="e">
        <f t="shared" si="214"/>
        <v>#VALUE!</v>
      </c>
      <c r="FN27" s="9" t="e">
        <f t="shared" si="215"/>
        <v>#VALUE!</v>
      </c>
      <c r="FO27" s="10" t="e">
        <f t="shared" si="53"/>
        <v>#VALUE!</v>
      </c>
      <c r="FP27" s="277" t="e">
        <f t="shared" si="54"/>
        <v>#VALUE!</v>
      </c>
      <c r="FQ27" s="173" t="e">
        <f t="shared" si="243"/>
        <v>#VALUE!</v>
      </c>
      <c r="FR27" s="10" t="e">
        <f t="shared" si="216"/>
        <v>#VALUE!</v>
      </c>
      <c r="FS27" s="9" t="e">
        <f t="shared" si="217"/>
        <v>#VALUE!</v>
      </c>
      <c r="FT27" s="6" t="e">
        <f t="shared" si="218"/>
        <v>#VALUE!</v>
      </c>
      <c r="FU27" s="4" t="e">
        <f t="shared" si="219"/>
        <v>#VALUE!</v>
      </c>
      <c r="FV27" s="5" t="e">
        <f t="shared" si="220"/>
        <v>#VALUE!</v>
      </c>
      <c r="FW27" s="8" t="e">
        <f t="shared" si="244"/>
        <v>#VALUE!</v>
      </c>
      <c r="FX27" s="9" t="e">
        <f t="shared" si="245"/>
        <v>#VALUE!</v>
      </c>
      <c r="FY27" s="10" t="e">
        <f t="shared" si="55"/>
        <v>#VALUE!</v>
      </c>
      <c r="FZ27" s="277" t="e">
        <f t="shared" si="246"/>
        <v>#VALUE!</v>
      </c>
      <c r="GA27" s="177" t="e">
        <f t="shared" si="221"/>
        <v>#VALUE!</v>
      </c>
      <c r="GB27" s="4" t="e">
        <f t="shared" si="222"/>
        <v>#VALUE!</v>
      </c>
      <c r="GC27" s="5" t="e">
        <f t="shared" si="223"/>
        <v>#VALUE!</v>
      </c>
      <c r="GD27" s="10" t="e">
        <f t="shared" si="224"/>
        <v>#VALUE!</v>
      </c>
      <c r="GE27" s="311" t="e">
        <f t="shared" si="225"/>
        <v>#VALUE!</v>
      </c>
      <c r="GF27" s="341" t="e">
        <f t="shared" si="247"/>
        <v>#VALUE!</v>
      </c>
      <c r="GG27" s="285" t="e">
        <f t="shared" si="56"/>
        <v>#VALUE!</v>
      </c>
      <c r="GH27" s="286" t="e">
        <f t="shared" si="57"/>
        <v>#VALUE!</v>
      </c>
      <c r="GI27" s="281" t="e">
        <f t="shared" si="58"/>
        <v>#VALUE!</v>
      </c>
      <c r="GJ27" s="167">
        <f t="shared" si="226"/>
        <v>4.367</v>
      </c>
      <c r="GK27" s="174">
        <f t="shared" si="59"/>
        <v>2.2865980342630965</v>
      </c>
      <c r="GL27" s="174">
        <f t="shared" si="227"/>
        <v>2.0199999999999999E-2</v>
      </c>
      <c r="GM27" s="177">
        <f t="shared" si="248"/>
        <v>0.55427136350537454</v>
      </c>
      <c r="GN27" s="280">
        <f t="shared" si="228"/>
        <v>2.8967430667046237E-2</v>
      </c>
      <c r="GO27" s="4" t="e">
        <f t="shared" si="229"/>
        <v>#VALUE!</v>
      </c>
      <c r="GP27" s="8" t="e">
        <f t="shared" si="249"/>
        <v>#VALUE!</v>
      </c>
      <c r="GQ27" s="177" t="e">
        <f t="shared" si="230"/>
        <v>#VALUE!</v>
      </c>
      <c r="GR27" s="371" t="e">
        <f t="shared" si="250"/>
        <v>#VALUE!</v>
      </c>
      <c r="GS27" s="342" t="e">
        <f t="shared" si="61"/>
        <v>#VALUE!</v>
      </c>
      <c r="GT27" s="343" t="e">
        <f t="shared" si="62"/>
        <v>#VALUE!</v>
      </c>
      <c r="GU27" s="344">
        <f t="shared" si="63"/>
        <v>1362.5837686173791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 t="e">
        <f t="shared" si="66"/>
        <v>#VALUE!</v>
      </c>
      <c r="GZ27" s="345" t="e">
        <f t="shared" si="67"/>
        <v>#VALUE!</v>
      </c>
      <c r="HA27" s="342" t="e">
        <f t="shared" si="68"/>
        <v>#VALUE!</v>
      </c>
      <c r="HB27" s="5" t="e">
        <f t="shared" si="231"/>
        <v>#VALUE!</v>
      </c>
      <c r="HC27" s="343" t="e">
        <f t="shared" si="232"/>
        <v>#VALUE!</v>
      </c>
      <c r="HD27" s="363" t="e">
        <f t="shared" si="233"/>
        <v>#VALUE!</v>
      </c>
      <c r="HE27" s="344" t="e">
        <f t="shared" si="69"/>
        <v>#VALUE!</v>
      </c>
      <c r="HF27" s="5" t="e">
        <f t="shared" si="70"/>
        <v>#VALUE!</v>
      </c>
      <c r="HG27" s="343" t="e">
        <f t="shared" si="234"/>
        <v>#VALUE!</v>
      </c>
      <c r="HH27" s="349" t="e">
        <f t="shared" si="235"/>
        <v>#VALUE!</v>
      </c>
      <c r="HI27" s="317">
        <f t="shared" si="71"/>
        <v>2.1280000000000001</v>
      </c>
      <c r="HJ27" s="336"/>
      <c r="HK27" s="310">
        <f t="shared" si="137"/>
        <v>19</v>
      </c>
      <c r="HL27" s="348">
        <f t="shared" si="72"/>
        <v>5.1189999999999998</v>
      </c>
      <c r="HM27" s="909" t="e">
        <f t="shared" si="138"/>
        <v>#NUM!</v>
      </c>
      <c r="HN27" s="910">
        <f t="shared" si="73"/>
        <v>17.679997447324173</v>
      </c>
      <c r="HO27" s="911"/>
      <c r="HP27" s="912"/>
      <c r="HQ27" s="910" t="e">
        <f t="shared" si="74"/>
        <v>#NUM!</v>
      </c>
      <c r="HR27" s="913" t="e">
        <f t="shared" si="75"/>
        <v>#NUM!</v>
      </c>
      <c r="HS27" s="865">
        <f t="shared" si="251"/>
        <v>3.44</v>
      </c>
      <c r="HT27" s="875">
        <f t="shared" si="76"/>
        <v>2.9100000000000001E-2</v>
      </c>
      <c r="HU27" s="876">
        <f t="shared" si="77"/>
        <v>0.62899068087556731</v>
      </c>
      <c r="HV27" s="872">
        <f t="shared" si="78"/>
        <v>3.2872425202072571E-2</v>
      </c>
      <c r="HW27" s="866">
        <f t="shared" si="79"/>
        <v>29500</v>
      </c>
      <c r="HX27" s="867">
        <f t="shared" si="80"/>
        <v>246.08900000000003</v>
      </c>
      <c r="HY27" s="866" t="e">
        <f t="shared" si="81"/>
        <v>#NUM!</v>
      </c>
      <c r="HZ27" s="868">
        <f t="shared" si="82"/>
        <v>1546.2687571524361</v>
      </c>
      <c r="IA27" s="869" t="e">
        <f t="shared" si="83"/>
        <v>#NUM!</v>
      </c>
      <c r="IB27" s="870" t="e">
        <f t="shared" si="84"/>
        <v>#NUM!</v>
      </c>
      <c r="IC27" s="841" t="e">
        <f t="shared" si="85"/>
        <v>#NUM!</v>
      </c>
      <c r="ID27" s="351">
        <f t="shared" si="86"/>
        <v>858.45</v>
      </c>
      <c r="IE27" s="843" t="e">
        <f t="shared" si="87"/>
        <v>#NUM!</v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4.1143004360907565</v>
      </c>
      <c r="C28" s="572">
        <f t="shared" si="3"/>
        <v>1.866325769628115</v>
      </c>
      <c r="D28" s="576">
        <f t="shared" si="4"/>
        <v>-1.9225057982774874</v>
      </c>
      <c r="E28" s="580">
        <f t="shared" si="5"/>
        <v>-1.1576103097582779E-3</v>
      </c>
      <c r="F28" s="572">
        <f t="shared" si="6"/>
        <v>0.98574580949226143</v>
      </c>
      <c r="G28" s="579">
        <f t="shared" si="7"/>
        <v>0.16823750772885682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4.1143004360907565</v>
      </c>
      <c r="O28" s="572">
        <f t="shared" si="14"/>
        <v>1.866325769628115</v>
      </c>
      <c r="P28" s="576">
        <f t="shared" si="15"/>
        <v>-1.9225057982774874</v>
      </c>
      <c r="Q28" s="528">
        <f t="shared" si="140"/>
        <v>24.399957493905188</v>
      </c>
      <c r="R28" s="572">
        <f t="shared" si="101"/>
        <v>4.5178136257258963</v>
      </c>
      <c r="S28" s="577">
        <f t="shared" si="102"/>
        <v>-1.9225057982774874</v>
      </c>
      <c r="T28" s="578">
        <f t="shared" si="103"/>
        <v>1.8727861915636763</v>
      </c>
      <c r="U28" s="572">
        <f t="shared" si="104"/>
        <v>-4.1113637442438717</v>
      </c>
      <c r="V28" s="579">
        <f t="shared" si="141"/>
        <v>-1.9225057982774874</v>
      </c>
      <c r="W28" s="528">
        <f t="shared" si="253"/>
        <v>294.48995748091079</v>
      </c>
      <c r="X28" s="572">
        <f t="shared" si="105"/>
        <v>4.5178136257258963</v>
      </c>
      <c r="Y28" s="573">
        <f t="shared" si="255"/>
        <v>-1.9225057982774874</v>
      </c>
      <c r="Z28" s="575">
        <f t="shared" si="18"/>
        <v>1.1576103097582779E-3</v>
      </c>
      <c r="AA28" s="572">
        <f t="shared" si="19"/>
        <v>-0.98574580949226143</v>
      </c>
      <c r="AB28" s="572">
        <f t="shared" si="20"/>
        <v>-0.16823750772885682</v>
      </c>
      <c r="AC28" s="579">
        <f t="shared" si="106"/>
        <v>1</v>
      </c>
      <c r="AD28" s="580">
        <f t="shared" si="142"/>
        <v>1.1576103097582779E-3</v>
      </c>
      <c r="AE28" s="572">
        <f t="shared" si="107"/>
        <v>-0.98574580949226143</v>
      </c>
      <c r="AF28" s="576">
        <f t="shared" si="108"/>
        <v>-0.16823750772885682</v>
      </c>
      <c r="AG28" s="545">
        <f t="shared" si="109"/>
        <v>-80.314633629990993</v>
      </c>
      <c r="AH28" s="546">
        <f t="shared" si="110"/>
        <v>89.93367380011648</v>
      </c>
      <c r="AI28" s="528">
        <f t="shared" si="111"/>
        <v>-80.314640182014344</v>
      </c>
      <c r="AJ28" s="529">
        <f t="shared" si="112"/>
        <v>6.7285251371327931E-2</v>
      </c>
      <c r="AK28" s="578">
        <f t="shared" si="238"/>
        <v>0.89818111767922959</v>
      </c>
      <c r="AL28" s="572">
        <f t="shared" si="113"/>
        <v>-0.406161077452866</v>
      </c>
      <c r="AM28" s="577">
        <f t="shared" si="114"/>
        <v>-0.16823750772885682</v>
      </c>
      <c r="AN28" s="524">
        <f t="shared" si="115"/>
        <v>-67.499990254207177</v>
      </c>
      <c r="AO28" s="525">
        <f t="shared" si="116"/>
        <v>26.079996234514347</v>
      </c>
      <c r="AP28" s="528">
        <f t="shared" si="117"/>
        <v>-24.332672242533807</v>
      </c>
      <c r="AQ28" s="529">
        <f t="shared" si="21"/>
        <v>0.33640172361988147</v>
      </c>
      <c r="AS28" s="932">
        <f t="shared" si="143"/>
        <v>-65.510042519089211</v>
      </c>
      <c r="AT28" s="928">
        <f t="shared" si="22"/>
        <v>-1.8921354082283695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0.33986016537684482</v>
      </c>
      <c r="BA28" s="296">
        <f t="shared" si="24"/>
        <v>1.7761833688795938E-2</v>
      </c>
      <c r="BB28" s="190">
        <f t="shared" si="145"/>
        <v>0.20646874156170281</v>
      </c>
      <c r="BC28" s="9"/>
      <c r="BD28" s="5">
        <f t="shared" si="146"/>
        <v>4.7446999999999999</v>
      </c>
      <c r="BE28" s="6">
        <f t="shared" si="25"/>
        <v>-1.7160370567157845</v>
      </c>
      <c r="BF28" s="4">
        <f t="shared" si="26"/>
        <v>4.1143004360907565</v>
      </c>
      <c r="BG28" s="5">
        <f t="shared" si="27"/>
        <v>1.866325769628115</v>
      </c>
      <c r="BH28" s="10">
        <f t="shared" si="28"/>
        <v>-1.9225057982774874</v>
      </c>
      <c r="BI28" s="9">
        <f t="shared" si="147"/>
        <v>4.1143004360907565</v>
      </c>
      <c r="BJ28" s="5">
        <f t="shared" si="29"/>
        <v>2.0345633900813995</v>
      </c>
      <c r="BK28" s="8">
        <f t="shared" si="30"/>
        <v>-2.9082522682504801</v>
      </c>
      <c r="BL28" s="173">
        <f t="shared" si="31"/>
        <v>5.1142997660597178</v>
      </c>
      <c r="BM28" s="5">
        <f t="shared" si="32"/>
        <v>1.8674668799045637</v>
      </c>
      <c r="BN28" s="6">
        <f t="shared" si="33"/>
        <v>-1.9223110446735614</v>
      </c>
      <c r="BO28" s="4">
        <f t="shared" si="148"/>
        <v>1.1576103097580837E-3</v>
      </c>
      <c r="BP28" s="5">
        <f t="shared" si="239"/>
        <v>-0.98574580949226198</v>
      </c>
      <c r="BQ28" s="5">
        <f t="shared" si="149"/>
        <v>-0.16823750772885626</v>
      </c>
      <c r="BR28" s="6">
        <f t="shared" si="150"/>
        <v>1.5115224658595947</v>
      </c>
      <c r="BS28" s="4">
        <f t="shared" si="118"/>
        <v>0</v>
      </c>
      <c r="BT28" s="5">
        <f t="shared" si="118"/>
        <v>0</v>
      </c>
      <c r="BU28" s="10">
        <f t="shared" si="119"/>
        <v>-1.7160370567157845</v>
      </c>
      <c r="BV28" s="9">
        <f t="shared" si="120"/>
        <v>0</v>
      </c>
      <c r="BW28" s="5">
        <f t="shared" si="121"/>
        <v>1</v>
      </c>
      <c r="BX28" s="8">
        <f t="shared" si="122"/>
        <v>-1.7160370567157845</v>
      </c>
      <c r="BY28" s="173">
        <f t="shared" si="123"/>
        <v>1</v>
      </c>
      <c r="BZ28" s="5">
        <f t="shared" si="124"/>
        <v>0</v>
      </c>
      <c r="CA28" s="6">
        <f t="shared" si="125"/>
        <v>-1.7160370567157845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-1.7160370567157845</v>
      </c>
      <c r="CF28" s="4">
        <f t="shared" si="155"/>
        <v>0.98574580949226198</v>
      </c>
      <c r="CG28" s="5">
        <f t="shared" si="156"/>
        <v>1.1576103097580837E-3</v>
      </c>
      <c r="CH28" s="5">
        <f t="shared" si="157"/>
        <v>0</v>
      </c>
      <c r="CI28" s="4">
        <f t="shared" si="126"/>
        <v>0</v>
      </c>
      <c r="CJ28" s="5">
        <f t="shared" si="127"/>
        <v>1.8262560653228441</v>
      </c>
      <c r="CK28" s="8">
        <f t="shared" si="128"/>
        <v>-1.7160370567157845</v>
      </c>
      <c r="CL28" s="173">
        <f t="shared" si="129"/>
        <v>0.98574580949226198</v>
      </c>
      <c r="CM28" s="5">
        <f t="shared" si="130"/>
        <v>1.8274136756326023</v>
      </c>
      <c r="CN28" s="6">
        <f t="shared" si="131"/>
        <v>-1.7160370567157845</v>
      </c>
      <c r="CO28" s="167">
        <f t="shared" si="35"/>
        <v>0.3125</v>
      </c>
      <c r="CP28" s="4">
        <f t="shared" si="240"/>
        <v>0.97169614099318402</v>
      </c>
      <c r="CQ28" s="5">
        <f t="shared" si="241"/>
        <v>-8.1114015979429244</v>
      </c>
      <c r="CR28" s="5">
        <f t="shared" si="158"/>
        <v>16.874046750861773</v>
      </c>
      <c r="CS28" s="8">
        <f t="shared" si="159"/>
        <v>0.20905144010717436</v>
      </c>
      <c r="CT28" s="9">
        <f t="shared" si="160"/>
        <v>4.4091062374809002</v>
      </c>
      <c r="CU28" s="6">
        <f t="shared" si="161"/>
        <v>3.9385667188531133</v>
      </c>
      <c r="CV28" s="4">
        <f t="shared" si="242"/>
        <v>4.3462579972029918</v>
      </c>
      <c r="CW28" s="5">
        <f t="shared" si="162"/>
        <v>1.8313600921601709</v>
      </c>
      <c r="CX28" s="8">
        <f t="shared" si="163"/>
        <v>-1.7160370567157845</v>
      </c>
      <c r="CY28" s="9">
        <f t="shared" si="164"/>
        <v>3.8824256385151443</v>
      </c>
      <c r="CZ28" s="5">
        <f t="shared" si="165"/>
        <v>1.8308153907622589</v>
      </c>
      <c r="DA28" s="6">
        <f t="shared" si="166"/>
        <v>-1.7160370567157845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4.3462579972029918</v>
      </c>
      <c r="DM28" s="173">
        <f t="shared" si="176"/>
        <v>1.8313600921601709</v>
      </c>
      <c r="DN28" s="178">
        <f t="shared" si="177"/>
        <v>8.2839629432842159</v>
      </c>
      <c r="DO28" s="9">
        <f t="shared" si="178"/>
        <v>-0.46383235868784745</v>
      </c>
      <c r="DP28" s="173">
        <f t="shared" si="179"/>
        <v>-5.4470139791207295E-4</v>
      </c>
      <c r="DQ28" s="11">
        <f t="shared" si="180"/>
        <v>0</v>
      </c>
      <c r="DR28" s="173">
        <f t="shared" si="181"/>
        <v>165.67925886568432</v>
      </c>
      <c r="DS28" s="5">
        <f t="shared" si="182"/>
        <v>0</v>
      </c>
      <c r="DT28" s="5">
        <f t="shared" si="183"/>
        <v>400</v>
      </c>
      <c r="DU28" s="5">
        <f t="shared" si="184"/>
        <v>0.21514075366554486</v>
      </c>
      <c r="DV28" s="5">
        <f t="shared" si="185"/>
        <v>-2.0169326427108638</v>
      </c>
      <c r="DW28" s="5">
        <f t="shared" si="186"/>
        <v>90.867880411113958</v>
      </c>
      <c r="DX28" s="167">
        <f t="shared" si="187"/>
        <v>68.355702321113966</v>
      </c>
      <c r="DY28" s="9">
        <f t="shared" si="188"/>
        <v>86.056301466217946</v>
      </c>
      <c r="DZ28" s="5">
        <f t="shared" si="189"/>
        <v>-806.77305708434551</v>
      </c>
      <c r="EA28" s="10">
        <f t="shared" si="190"/>
        <v>-107.33588983684967</v>
      </c>
      <c r="EB28" s="6">
        <f t="shared" si="191"/>
        <v>660119.69533116533</v>
      </c>
      <c r="EC28" s="173">
        <f t="shared" si="192"/>
        <v>18.816176549578529</v>
      </c>
      <c r="ED28" s="5">
        <f t="shared" si="193"/>
        <v>-6.6287387747646365E-2</v>
      </c>
      <c r="EE28" s="4">
        <f t="shared" si="194"/>
        <v>-4.3812935532749808</v>
      </c>
      <c r="EF28" s="5">
        <f t="shared" si="195"/>
        <v>1.8211108944902552</v>
      </c>
      <c r="EG28" s="10">
        <f t="shared" si="196"/>
        <v>-1.7160370567157845</v>
      </c>
      <c r="EH28" s="9">
        <f t="shared" si="197"/>
        <v>4.3770042326132383</v>
      </c>
      <c r="EI28" s="5">
        <f t="shared" si="198"/>
        <v>1.831396198992941</v>
      </c>
      <c r="EJ28" s="6">
        <f t="shared" si="199"/>
        <v>-1.7160370567157845</v>
      </c>
      <c r="EK28" s="236" t="b">
        <f t="shared" si="200"/>
        <v>0</v>
      </c>
      <c r="EL28" s="238" t="b">
        <f t="shared" si="201"/>
        <v>0</v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e">
        <f t="shared" si="205"/>
        <v>#VALUE!</v>
      </c>
      <c r="EQ28" s="5" t="e">
        <f t="shared" si="206"/>
        <v>#VALUE!</v>
      </c>
      <c r="ER28" s="7" t="str">
        <f t="shared" si="207"/>
        <v/>
      </c>
      <c r="ES28" s="21">
        <f t="shared" si="132"/>
        <v>1.1576103097582779E-3</v>
      </c>
      <c r="ET28" s="5">
        <f t="shared" si="44"/>
        <v>-0.98574580949226143</v>
      </c>
      <c r="EU28" s="10">
        <f t="shared" si="45"/>
        <v>-0.16823750772885682</v>
      </c>
      <c r="EV28" s="174" t="e">
        <f t="shared" si="254"/>
        <v>#VALUE!</v>
      </c>
      <c r="EW28" s="9" t="e">
        <f t="shared" si="133"/>
        <v>#VALUE!</v>
      </c>
      <c r="EX28" s="5" t="e">
        <f t="shared" si="47"/>
        <v>#VALUE!</v>
      </c>
      <c r="EY28" s="6">
        <f t="shared" si="208"/>
        <v>-0.16823750772885682</v>
      </c>
      <c r="EZ28" s="51" t="e">
        <f t="shared" si="209"/>
        <v>#VALUE!</v>
      </c>
      <c r="FA28" s="266" t="e">
        <f t="shared" si="134"/>
        <v>#VALUE!</v>
      </c>
      <c r="FB28" s="267" t="e">
        <f t="shared" si="135"/>
        <v>#VALUE!</v>
      </c>
      <c r="FC28" s="269" t="e">
        <f t="shared" si="48"/>
        <v>#VALUE!</v>
      </c>
      <c r="FD28" s="4" t="e">
        <f t="shared" si="136"/>
        <v>#VALUE!</v>
      </c>
      <c r="FE28" s="5" t="e">
        <f t="shared" si="49"/>
        <v>#VALUE!</v>
      </c>
      <c r="FF28" s="7" t="e">
        <f t="shared" si="210"/>
        <v>#VALUE!</v>
      </c>
      <c r="FG28" s="173" t="e">
        <f t="shared" si="211"/>
        <v>#VALUE!</v>
      </c>
      <c r="FH28" s="5" t="e">
        <f t="shared" si="50"/>
        <v>#VALUE!</v>
      </c>
      <c r="FI28" s="10" t="e">
        <f t="shared" si="51"/>
        <v>#VALUE!</v>
      </c>
      <c r="FJ28" s="279" t="e">
        <f t="shared" si="212"/>
        <v>#VALUE!</v>
      </c>
      <c r="FK28" s="4">
        <f t="shared" si="52"/>
        <v>0.98574648921169539</v>
      </c>
      <c r="FL28" s="5" t="e">
        <f t="shared" si="213"/>
        <v>#VALUE!</v>
      </c>
      <c r="FM28" s="8" t="e">
        <f t="shared" si="214"/>
        <v>#VALUE!</v>
      </c>
      <c r="FN28" s="9" t="e">
        <f t="shared" si="215"/>
        <v>#VALUE!</v>
      </c>
      <c r="FO28" s="10" t="e">
        <f t="shared" si="53"/>
        <v>#VALUE!</v>
      </c>
      <c r="FP28" s="277" t="e">
        <f t="shared" si="54"/>
        <v>#VALUE!</v>
      </c>
      <c r="FQ28" s="173" t="e">
        <f t="shared" si="243"/>
        <v>#VALUE!</v>
      </c>
      <c r="FR28" s="10" t="e">
        <f t="shared" si="216"/>
        <v>#VALUE!</v>
      </c>
      <c r="FS28" s="9" t="e">
        <f t="shared" si="217"/>
        <v>#VALUE!</v>
      </c>
      <c r="FT28" s="6" t="e">
        <f t="shared" si="218"/>
        <v>#VALUE!</v>
      </c>
      <c r="FU28" s="4" t="e">
        <f t="shared" si="219"/>
        <v>#VALUE!</v>
      </c>
      <c r="FV28" s="5" t="e">
        <f t="shared" si="220"/>
        <v>#VALUE!</v>
      </c>
      <c r="FW28" s="8" t="e">
        <f t="shared" si="244"/>
        <v>#VALUE!</v>
      </c>
      <c r="FX28" s="9" t="e">
        <f t="shared" si="245"/>
        <v>#VALUE!</v>
      </c>
      <c r="FY28" s="10" t="e">
        <f t="shared" si="55"/>
        <v>#VALUE!</v>
      </c>
      <c r="FZ28" s="277" t="e">
        <f t="shared" si="246"/>
        <v>#VALUE!</v>
      </c>
      <c r="GA28" s="177" t="e">
        <f t="shared" si="221"/>
        <v>#VALUE!</v>
      </c>
      <c r="GB28" s="4" t="e">
        <f t="shared" si="222"/>
        <v>#VALUE!</v>
      </c>
      <c r="GC28" s="5" t="e">
        <f t="shared" si="223"/>
        <v>#VALUE!</v>
      </c>
      <c r="GD28" s="10" t="e">
        <f t="shared" si="224"/>
        <v>#VALUE!</v>
      </c>
      <c r="GE28" s="311" t="e">
        <f t="shared" si="225"/>
        <v>#VALUE!</v>
      </c>
      <c r="GF28" s="341" t="e">
        <f t="shared" si="247"/>
        <v>#VALUE!</v>
      </c>
      <c r="GG28" s="285" t="e">
        <f t="shared" si="56"/>
        <v>#VALUE!</v>
      </c>
      <c r="GH28" s="286" t="e">
        <f t="shared" si="57"/>
        <v>#VALUE!</v>
      </c>
      <c r="GI28" s="281" t="e">
        <f t="shared" si="58"/>
        <v>#VALUE!</v>
      </c>
      <c r="GJ28" s="167">
        <f t="shared" si="226"/>
        <v>4.7446999999999999</v>
      </c>
      <c r="GK28" s="174">
        <f t="shared" si="59"/>
        <v>2.4843579340412636</v>
      </c>
      <c r="GL28" s="174">
        <f t="shared" si="227"/>
        <v>1.14E-2</v>
      </c>
      <c r="GM28" s="177">
        <f t="shared" si="248"/>
        <v>0.33986016537684482</v>
      </c>
      <c r="GN28" s="280">
        <f t="shared" si="228"/>
        <v>1.7761833688795938E-2</v>
      </c>
      <c r="GO28" s="4" t="e">
        <f t="shared" si="229"/>
        <v>#VALUE!</v>
      </c>
      <c r="GP28" s="8" t="e">
        <f t="shared" si="249"/>
        <v>#VALUE!</v>
      </c>
      <c r="GQ28" s="177" t="e">
        <f t="shared" si="230"/>
        <v>#VALUE!</v>
      </c>
      <c r="GR28" s="371" t="e">
        <f t="shared" si="250"/>
        <v>#VALUE!</v>
      </c>
      <c r="GS28" s="342" t="e">
        <f t="shared" si="61"/>
        <v>#VALUE!</v>
      </c>
      <c r="GT28" s="343" t="e">
        <f t="shared" si="62"/>
        <v>#VALUE!</v>
      </c>
      <c r="GU28" s="344">
        <f t="shared" si="63"/>
        <v>835.489573218077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 t="e">
        <f t="shared" si="66"/>
        <v>#VALUE!</v>
      </c>
      <c r="GZ28" s="345" t="e">
        <f t="shared" si="67"/>
        <v>#VALUE!</v>
      </c>
      <c r="HA28" s="342" t="e">
        <f t="shared" si="68"/>
        <v>#VALUE!</v>
      </c>
      <c r="HB28" s="5" t="e">
        <f t="shared" si="231"/>
        <v>#VALUE!</v>
      </c>
      <c r="HC28" s="343" t="e">
        <f t="shared" si="232"/>
        <v>#VALUE!</v>
      </c>
      <c r="HD28" s="363" t="e">
        <f t="shared" si="233"/>
        <v>#VALUE!</v>
      </c>
      <c r="HE28" s="344" t="e">
        <f t="shared" si="69"/>
        <v>#VALUE!</v>
      </c>
      <c r="HF28" s="5" t="e">
        <f t="shared" si="70"/>
        <v>#VALUE!</v>
      </c>
      <c r="HG28" s="343" t="e">
        <f t="shared" si="234"/>
        <v>#VALUE!</v>
      </c>
      <c r="HH28" s="349" t="e">
        <f t="shared" si="235"/>
        <v>#VALUE!</v>
      </c>
      <c r="HI28" s="317">
        <f t="shared" si="71"/>
        <v>2.1339999999999999</v>
      </c>
      <c r="HJ28" s="336"/>
      <c r="HK28" s="310">
        <f t="shared" si="137"/>
        <v>20</v>
      </c>
      <c r="HL28" s="348">
        <f t="shared" si="72"/>
        <v>4.12</v>
      </c>
      <c r="HM28" s="909" t="e">
        <f t="shared" si="138"/>
        <v>#NUM!</v>
      </c>
      <c r="HN28" s="910">
        <f t="shared" si="73"/>
        <v>18.239997366470227</v>
      </c>
      <c r="HO28" s="911"/>
      <c r="HP28" s="912"/>
      <c r="HQ28" s="910" t="e">
        <f t="shared" si="74"/>
        <v>#NUM!</v>
      </c>
      <c r="HR28" s="913" t="e">
        <f t="shared" si="75"/>
        <v>#NUM!</v>
      </c>
      <c r="HS28" s="865">
        <f t="shared" si="251"/>
        <v>3.5615000000000001</v>
      </c>
      <c r="HT28" s="875">
        <f t="shared" si="76"/>
        <v>3.0099999999999998E-2</v>
      </c>
      <c r="HU28" s="876">
        <f t="shared" si="77"/>
        <v>0.67358337223966425</v>
      </c>
      <c r="HV28" s="872">
        <f t="shared" si="78"/>
        <v>3.5202936537129026E-2</v>
      </c>
      <c r="HW28" s="866">
        <f t="shared" si="79"/>
        <v>29500</v>
      </c>
      <c r="HX28" s="867">
        <f t="shared" si="80"/>
        <v>263.53616041666663</v>
      </c>
      <c r="HY28" s="866" t="e">
        <f t="shared" si="81"/>
        <v>#NUM!</v>
      </c>
      <c r="HZ28" s="868">
        <f t="shared" si="82"/>
        <v>1655.8924567558411</v>
      </c>
      <c r="IA28" s="869" t="e">
        <f t="shared" si="83"/>
        <v>#NUM!</v>
      </c>
      <c r="IB28" s="870" t="e">
        <f t="shared" si="84"/>
        <v>#NUM!</v>
      </c>
      <c r="IC28" s="841" t="e">
        <f t="shared" si="85"/>
        <v>#NUM!</v>
      </c>
      <c r="ID28" s="351">
        <f t="shared" si="86"/>
        <v>887.94999999999993</v>
      </c>
      <c r="IE28" s="843" t="e">
        <f t="shared" si="87"/>
        <v>#NUM!</v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4.2365970753616011</v>
      </c>
      <c r="C29" s="572">
        <f t="shared" si="3"/>
        <v>1.9031097431805575</v>
      </c>
      <c r="D29" s="576">
        <f t="shared" si="4"/>
        <v>-2.6596080213777928</v>
      </c>
      <c r="E29" s="580">
        <f t="shared" si="5"/>
        <v>8.7666547929955374E-2</v>
      </c>
      <c r="F29" s="572">
        <f t="shared" si="6"/>
        <v>0.9940818268599253</v>
      </c>
      <c r="G29" s="579">
        <f t="shared" si="7"/>
        <v>6.4155263859471207E-2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4.2365970753616011</v>
      </c>
      <c r="O29" s="572">
        <f t="shared" si="14"/>
        <v>1.9031097431805575</v>
      </c>
      <c r="P29" s="576">
        <f t="shared" si="15"/>
        <v>-2.6596080213777928</v>
      </c>
      <c r="Q29" s="528">
        <f t="shared" si="140"/>
        <v>24.189957524225434</v>
      </c>
      <c r="R29" s="572">
        <f>IF(M29="","",SQRT(N29^2+O29^2))</f>
        <v>4.6444140075526468</v>
      </c>
      <c r="S29" s="577">
        <f>IF(M29="","",P29)</f>
        <v>-2.6596080213777928</v>
      </c>
      <c r="T29" s="578">
        <f>IF(M29="","",X29*COS(RADIANS(W29)))</f>
        <v>1.9097622227407411</v>
      </c>
      <c r="U29" s="572">
        <f>IF(M29="","",X29*SIN(RADIANS(W29)))</f>
        <v>-4.2336024525389231</v>
      </c>
      <c r="V29" s="579">
        <f>IF(M29="","",Y29)</f>
        <v>-2.6596080213777928</v>
      </c>
      <c r="W29" s="528">
        <f t="shared" si="253"/>
        <v>294.27995751123103</v>
      </c>
      <c r="X29" s="572">
        <f>IF(M29="","",R29)</f>
        <v>4.6444140075526468</v>
      </c>
      <c r="Y29" s="573">
        <f t="shared" si="255"/>
        <v>-2.6596080213777928</v>
      </c>
      <c r="Z29" s="575">
        <f t="shared" si="18"/>
        <v>-8.7666547929955374E-2</v>
      </c>
      <c r="AA29" s="572">
        <f t="shared" si="19"/>
        <v>-0.9940818268599253</v>
      </c>
      <c r="AB29" s="572">
        <f t="shared" si="20"/>
        <v>-6.4155263859471207E-2</v>
      </c>
      <c r="AC29" s="579">
        <f>IF(M29="","",SQRT(Z29^2+AA29^2+AB29^2))</f>
        <v>1</v>
      </c>
      <c r="AD29" s="580">
        <f>IF(M29="","",Z29*(1/SQRT(Z29^2+AA29^2+AB29^2)))</f>
        <v>-8.7666547929955374E-2</v>
      </c>
      <c r="AE29" s="572">
        <f>IF(M29="","",AA29*(1/SQRT(Z29^2+AA29^2+AB29^2)))</f>
        <v>-0.9940818268599253</v>
      </c>
      <c r="AF29" s="576">
        <f>IF(M29="","",AB29*(1/SQRT(Z29^2+AA29^2+AB29^2)))</f>
        <v>-6.4155263859471207E-2</v>
      </c>
      <c r="AG29" s="545">
        <f>IF(M29="","",DEGREES(ATAN2(-AF29,AE29)))</f>
        <v>-86.307411387020394</v>
      </c>
      <c r="AH29" s="546">
        <f>IF(M29="","",DEGREES(ACOS(AD29)))</f>
        <v>95.029379436500676</v>
      </c>
      <c r="AI29" s="528">
        <f>IF(M29="","",DEGREES(-ACOS(-AF29)))</f>
        <v>-86.321647911550684</v>
      </c>
      <c r="AJ29" s="529">
        <f>IF(M29="","",DEGREES(ATAN2(-AE29,AD29)))</f>
        <v>-5.0397885343610209</v>
      </c>
      <c r="AK29" s="578">
        <f>IF(M29="","",(COS(RADIANS((90-$Q$8)-W29))*AD29)+(-SIN(RADIANS((90-$Q$8)-W29))*AE29))</f>
        <v>0.8708709198299277</v>
      </c>
      <c r="AL29" s="572">
        <f>IF(M29="","",(SIN(RADIANS((90-$Q$8)-W29))*AD29)+(COS(RADIANS((90-$Q$8)-W29))*AE29))</f>
        <v>-0.48730682645915929</v>
      </c>
      <c r="AM29" s="577">
        <f>IF(M29="","",AF29)</f>
        <v>-6.4155263859471207E-2</v>
      </c>
      <c r="AN29" s="524">
        <f>IF(M29="","",DEGREES(ATAN2(-AM29,AL29)))</f>
        <v>-82.499988088475476</v>
      </c>
      <c r="AO29" s="525">
        <f t="shared" si="116"/>
        <v>29.439995749390469</v>
      </c>
      <c r="AP29" s="528">
        <f>IF(M29="","",DEGREES(ATAN2(AK29,AL29)))</f>
        <v>-29.229746058586425</v>
      </c>
      <c r="AQ29" s="529">
        <f t="shared" si="21"/>
        <v>0.32723207433879614</v>
      </c>
      <c r="AS29" s="932">
        <f t="shared" si="143"/>
        <v>-65.720042488768968</v>
      </c>
      <c r="AT29" s="928">
        <f t="shared" si="22"/>
        <v>-2.62914040912049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5.5504459135919101E-2</v>
      </c>
      <c r="BA29" s="296">
        <f t="shared" si="24"/>
        <v>2.9007841241577102E-3</v>
      </c>
      <c r="BB29" s="190">
        <f t="shared" si="145"/>
        <v>0.11377374245382343</v>
      </c>
      <c r="BC29" s="9"/>
      <c r="BD29" s="5">
        <f t="shared" si="146"/>
        <v>4.9076000000000004</v>
      </c>
      <c r="BE29" s="6">
        <f t="shared" si="25"/>
        <v>-2.5458342789239694</v>
      </c>
      <c r="BF29" s="4">
        <f t="shared" si="26"/>
        <v>4.2365970753616011</v>
      </c>
      <c r="BG29" s="5">
        <f t="shared" si="27"/>
        <v>1.9031097431805575</v>
      </c>
      <c r="BH29" s="10">
        <f t="shared" si="28"/>
        <v>-2.6596080213777928</v>
      </c>
      <c r="BI29" s="9">
        <f t="shared" si="147"/>
        <v>4.2365970753616011</v>
      </c>
      <c r="BJ29" s="5">
        <f t="shared" si="29"/>
        <v>1.9675129674095952</v>
      </c>
      <c r="BK29" s="8">
        <f t="shared" si="30"/>
        <v>-3.6575319787557605</v>
      </c>
      <c r="BL29" s="173">
        <f t="shared" si="31"/>
        <v>5.2327469518229925</v>
      </c>
      <c r="BM29" s="5">
        <f t="shared" si="32"/>
        <v>1.8156251947406312</v>
      </c>
      <c r="BN29" s="6">
        <f t="shared" si="33"/>
        <v>-2.6652540297215115</v>
      </c>
      <c r="BO29" s="4">
        <f t="shared" si="148"/>
        <v>-8.7666547929955652E-2</v>
      </c>
      <c r="BP29" s="5">
        <f t="shared" si="239"/>
        <v>-0.99408182685992674</v>
      </c>
      <c r="BQ29" s="5">
        <f t="shared" si="149"/>
        <v>-6.4155263859470679E-2</v>
      </c>
      <c r="BR29" s="6">
        <f t="shared" si="150"/>
        <v>2.0926267964086955</v>
      </c>
      <c r="BS29" s="4">
        <f t="shared" si="118"/>
        <v>0</v>
      </c>
      <c r="BT29" s="5">
        <f t="shared" si="118"/>
        <v>0</v>
      </c>
      <c r="BU29" s="10">
        <f t="shared" si="119"/>
        <v>-2.5458342789239694</v>
      </c>
      <c r="BV29" s="9">
        <f t="shared" si="120"/>
        <v>0</v>
      </c>
      <c r="BW29" s="5">
        <f t="shared" si="121"/>
        <v>1</v>
      </c>
      <c r="BX29" s="8">
        <f t="shared" si="122"/>
        <v>-2.5458342789239694</v>
      </c>
      <c r="BY29" s="173">
        <f t="shared" si="123"/>
        <v>1</v>
      </c>
      <c r="BZ29" s="5">
        <f t="shared" si="124"/>
        <v>0</v>
      </c>
      <c r="CA29" s="6">
        <f t="shared" si="125"/>
        <v>-2.5458342789239694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-2.5458342789239694</v>
      </c>
      <c r="CF29" s="4">
        <f t="shared" si="155"/>
        <v>0.99408182685992674</v>
      </c>
      <c r="CG29" s="5">
        <f t="shared" si="156"/>
        <v>-8.7666547929955652E-2</v>
      </c>
      <c r="CH29" s="5">
        <f t="shared" si="157"/>
        <v>0</v>
      </c>
      <c r="CI29" s="4">
        <f t="shared" si="126"/>
        <v>0</v>
      </c>
      <c r="CJ29" s="5">
        <f t="shared" si="127"/>
        <v>2.2693860860947299</v>
      </c>
      <c r="CK29" s="8">
        <f t="shared" si="128"/>
        <v>-2.5458342789239694</v>
      </c>
      <c r="CL29" s="173">
        <f t="shared" si="129"/>
        <v>0.99408182685992674</v>
      </c>
      <c r="CM29" s="5">
        <f t="shared" si="130"/>
        <v>2.1817195381647743</v>
      </c>
      <c r="CN29" s="6">
        <f t="shared" si="131"/>
        <v>-2.5458342789239694</v>
      </c>
      <c r="CO29" s="167">
        <f t="shared" si="35"/>
        <v>0.3125</v>
      </c>
      <c r="CP29" s="4">
        <f t="shared" si="240"/>
        <v>0.99588410211912459</v>
      </c>
      <c r="CQ29" s="5">
        <f t="shared" si="241"/>
        <v>-8.4872686858331541</v>
      </c>
      <c r="CR29" s="5">
        <f t="shared" si="158"/>
        <v>17.998201352812998</v>
      </c>
      <c r="CS29" s="8">
        <f t="shared" si="159"/>
        <v>0.33723936950248401</v>
      </c>
      <c r="CT29" s="9">
        <f t="shared" si="160"/>
        <v>4.5527345050135679</v>
      </c>
      <c r="CU29" s="6">
        <f t="shared" si="161"/>
        <v>3.969611285800084</v>
      </c>
      <c r="CV29" s="4">
        <f t="shared" si="242"/>
        <v>4.5257906339521119</v>
      </c>
      <c r="CW29" s="5">
        <f t="shared" si="162"/>
        <v>1.8702635683985951</v>
      </c>
      <c r="CX29" s="8">
        <f t="shared" si="163"/>
        <v>-2.5458342789239694</v>
      </c>
      <c r="CY29" s="9">
        <f t="shared" si="164"/>
        <v>3.9461184389119301</v>
      </c>
      <c r="CZ29" s="5">
        <f t="shared" si="165"/>
        <v>1.9213839680448439</v>
      </c>
      <c r="DA29" s="6">
        <f t="shared" si="166"/>
        <v>-2.5458342789239694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4.5257906339521119</v>
      </c>
      <c r="DM29" s="173">
        <f t="shared" si="176"/>
        <v>1.8702635683985951</v>
      </c>
      <c r="DN29" s="178">
        <f t="shared" si="177"/>
        <v>7.4541657210760306</v>
      </c>
      <c r="DO29" s="9">
        <f t="shared" si="178"/>
        <v>-0.57967219504018175</v>
      </c>
      <c r="DP29" s="173">
        <f t="shared" si="179"/>
        <v>5.1120399646248815E-2</v>
      </c>
      <c r="DQ29" s="11">
        <f t="shared" si="180"/>
        <v>0</v>
      </c>
      <c r="DR29" s="173">
        <f t="shared" si="181"/>
        <v>149.08331442152061</v>
      </c>
      <c r="DS29" s="5">
        <f t="shared" si="182"/>
        <v>0</v>
      </c>
      <c r="DT29" s="5">
        <f t="shared" si="183"/>
        <v>400</v>
      </c>
      <c r="DU29" s="5">
        <f t="shared" si="184"/>
        <v>0.3386331489626947</v>
      </c>
      <c r="DV29" s="5">
        <f t="shared" si="185"/>
        <v>-2.5278663700149608</v>
      </c>
      <c r="DW29" s="5">
        <f t="shared" si="186"/>
        <v>79.545253274912653</v>
      </c>
      <c r="DX29" s="167">
        <f t="shared" si="187"/>
        <v>55.46071551491265</v>
      </c>
      <c r="DY29" s="9">
        <f t="shared" si="188"/>
        <v>135.45325958507789</v>
      </c>
      <c r="DZ29" s="5">
        <f t="shared" si="189"/>
        <v>-1011.1465480059843</v>
      </c>
      <c r="EA29" s="10">
        <f t="shared" si="190"/>
        <v>-41.548432940915518</v>
      </c>
      <c r="EB29" s="6">
        <f t="shared" si="191"/>
        <v>1028045.2122169174</v>
      </c>
      <c r="EC29" s="173">
        <f t="shared" si="192"/>
        <v>14.950339316549165</v>
      </c>
      <c r="ED29" s="5">
        <f t="shared" si="193"/>
        <v>-2.0517013219721606E-2</v>
      </c>
      <c r="EE29" s="4">
        <f t="shared" si="194"/>
        <v>-4.140505374267474</v>
      </c>
      <c r="EF29" s="5">
        <f t="shared" si="195"/>
        <v>2.6345308891076149</v>
      </c>
      <c r="EG29" s="10">
        <f t="shared" si="196"/>
        <v>-2.5458342789239694</v>
      </c>
      <c r="EH29" s="9">
        <f t="shared" si="197"/>
        <v>4.5376837760408559</v>
      </c>
      <c r="EI29" s="5">
        <f t="shared" si="198"/>
        <v>1.8692147304832556</v>
      </c>
      <c r="EJ29" s="6">
        <f t="shared" si="199"/>
        <v>-2.5458342789239694</v>
      </c>
      <c r="EK29" s="236" t="b">
        <f t="shared" si="200"/>
        <v>0</v>
      </c>
      <c r="EL29" s="238" t="b">
        <f t="shared" si="201"/>
        <v>0</v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e">
        <f t="shared" si="205"/>
        <v>#VALUE!</v>
      </c>
      <c r="EQ29" s="5" t="e">
        <f t="shared" si="206"/>
        <v>#VALUE!</v>
      </c>
      <c r="ER29" s="7" t="str">
        <f t="shared" si="207"/>
        <v/>
      </c>
      <c r="ES29" s="21">
        <f t="shared" si="132"/>
        <v>-8.7666547929955374E-2</v>
      </c>
      <c r="ET29" s="5">
        <f t="shared" si="44"/>
        <v>-0.9940818268599253</v>
      </c>
      <c r="EU29" s="10">
        <f t="shared" si="45"/>
        <v>-6.4155263859471207E-2</v>
      </c>
      <c r="EV29" s="174" t="e">
        <f t="shared" si="254"/>
        <v>#VALUE!</v>
      </c>
      <c r="EW29" s="9" t="e">
        <f t="shared" si="133"/>
        <v>#VALUE!</v>
      </c>
      <c r="EX29" s="5" t="e">
        <f t="shared" si="47"/>
        <v>#VALUE!</v>
      </c>
      <c r="EY29" s="6">
        <f t="shared" si="208"/>
        <v>-6.4155263859471207E-2</v>
      </c>
      <c r="EZ29" s="51" t="e">
        <f t="shared" si="209"/>
        <v>#VALUE!</v>
      </c>
      <c r="FA29" s="266" t="e">
        <f t="shared" si="134"/>
        <v>#VALUE!</v>
      </c>
      <c r="FB29" s="267" t="e">
        <f t="shared" si="135"/>
        <v>#VALUE!</v>
      </c>
      <c r="FC29" s="269" t="e">
        <f t="shared" si="48"/>
        <v>#VALUE!</v>
      </c>
      <c r="FD29" s="4" t="e">
        <f t="shared" si="136"/>
        <v>#VALUE!</v>
      </c>
      <c r="FE29" s="5" t="e">
        <f t="shared" si="49"/>
        <v>#VALUE!</v>
      </c>
      <c r="FF29" s="7" t="e">
        <f t="shared" si="210"/>
        <v>#VALUE!</v>
      </c>
      <c r="FG29" s="173" t="e">
        <f t="shared" si="211"/>
        <v>#VALUE!</v>
      </c>
      <c r="FH29" s="5" t="e">
        <f t="shared" si="50"/>
        <v>#VALUE!</v>
      </c>
      <c r="FI29" s="10" t="e">
        <f t="shared" si="51"/>
        <v>#VALUE!</v>
      </c>
      <c r="FJ29" s="279" t="e">
        <f t="shared" si="212"/>
        <v>#VALUE!</v>
      </c>
      <c r="FK29" s="4">
        <f t="shared" si="52"/>
        <v>0.99793992911353213</v>
      </c>
      <c r="FL29" s="5" t="e">
        <f t="shared" si="213"/>
        <v>#VALUE!</v>
      </c>
      <c r="FM29" s="8" t="e">
        <f t="shared" si="214"/>
        <v>#VALUE!</v>
      </c>
      <c r="FN29" s="9" t="e">
        <f t="shared" si="215"/>
        <v>#VALUE!</v>
      </c>
      <c r="FO29" s="10" t="e">
        <f t="shared" si="53"/>
        <v>#VALUE!</v>
      </c>
      <c r="FP29" s="277" t="e">
        <f t="shared" si="54"/>
        <v>#VALUE!</v>
      </c>
      <c r="FQ29" s="173" t="e">
        <f t="shared" si="243"/>
        <v>#VALUE!</v>
      </c>
      <c r="FR29" s="10" t="e">
        <f t="shared" si="216"/>
        <v>#VALUE!</v>
      </c>
      <c r="FS29" s="9" t="e">
        <f t="shared" si="217"/>
        <v>#VALUE!</v>
      </c>
      <c r="FT29" s="6" t="e">
        <f t="shared" si="218"/>
        <v>#VALUE!</v>
      </c>
      <c r="FU29" s="4" t="e">
        <f t="shared" si="219"/>
        <v>#VALUE!</v>
      </c>
      <c r="FV29" s="5" t="e">
        <f t="shared" si="220"/>
        <v>#VALUE!</v>
      </c>
      <c r="FW29" s="8" t="e">
        <f t="shared" si="244"/>
        <v>#VALUE!</v>
      </c>
      <c r="FX29" s="9" t="e">
        <f t="shared" si="245"/>
        <v>#VALUE!</v>
      </c>
      <c r="FY29" s="10" t="e">
        <f t="shared" si="55"/>
        <v>#VALUE!</v>
      </c>
      <c r="FZ29" s="277" t="e">
        <f t="shared" si="246"/>
        <v>#VALUE!</v>
      </c>
      <c r="GA29" s="177" t="e">
        <f t="shared" si="221"/>
        <v>#VALUE!</v>
      </c>
      <c r="GB29" s="4" t="e">
        <f t="shared" si="222"/>
        <v>#VALUE!</v>
      </c>
      <c r="GC29" s="5" t="e">
        <f t="shared" si="223"/>
        <v>#VALUE!</v>
      </c>
      <c r="GD29" s="10" t="e">
        <f t="shared" si="224"/>
        <v>#VALUE!</v>
      </c>
      <c r="GE29" s="311" t="e">
        <f t="shared" si="225"/>
        <v>#VALUE!</v>
      </c>
      <c r="GF29" s="341" t="e">
        <f t="shared" si="247"/>
        <v>#VALUE!</v>
      </c>
      <c r="GG29" s="285" t="e">
        <f t="shared" si="56"/>
        <v>#VALUE!</v>
      </c>
      <c r="GH29" s="286" t="e">
        <f t="shared" si="57"/>
        <v>#VALUE!</v>
      </c>
      <c r="GI29" s="281" t="e">
        <f t="shared" si="58"/>
        <v>#VALUE!</v>
      </c>
      <c r="GJ29" s="167">
        <f t="shared" si="226"/>
        <v>4.9076000000000004</v>
      </c>
      <c r="GK29" s="174">
        <f t="shared" si="59"/>
        <v>2.5696508859221807</v>
      </c>
      <c r="GL29" s="174">
        <f t="shared" si="227"/>
        <v>1.8E-3</v>
      </c>
      <c r="GM29" s="177">
        <f t="shared" si="248"/>
        <v>5.5504459135919101E-2</v>
      </c>
      <c r="GN29" s="280">
        <f t="shared" si="228"/>
        <v>2.9007841241577102E-3</v>
      </c>
      <c r="GO29" s="4" t="e">
        <f t="shared" si="229"/>
        <v>#VALUE!</v>
      </c>
      <c r="GP29" s="8" t="e">
        <f t="shared" si="249"/>
        <v>#VALUE!</v>
      </c>
      <c r="GQ29" s="177" t="e">
        <f t="shared" si="230"/>
        <v>#VALUE!</v>
      </c>
      <c r="GR29" s="371" t="e">
        <f t="shared" si="250"/>
        <v>#VALUE!</v>
      </c>
      <c r="GS29" s="342" t="e">
        <f t="shared" si="61"/>
        <v>#VALUE!</v>
      </c>
      <c r="GT29" s="343" t="e">
        <f t="shared" si="62"/>
        <v>#VALUE!</v>
      </c>
      <c r="GU29" s="344">
        <f t="shared" si="63"/>
        <v>136.44846204246781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 t="e">
        <f t="shared" si="66"/>
        <v>#VALUE!</v>
      </c>
      <c r="GZ29" s="345" t="e">
        <f t="shared" si="67"/>
        <v>#VALUE!</v>
      </c>
      <c r="HA29" s="342" t="e">
        <f t="shared" si="68"/>
        <v>#VALUE!</v>
      </c>
      <c r="HB29" s="5" t="e">
        <f t="shared" si="231"/>
        <v>#VALUE!</v>
      </c>
      <c r="HC29" s="343" t="e">
        <f t="shared" si="232"/>
        <v>#VALUE!</v>
      </c>
      <c r="HD29" s="363" t="e">
        <f t="shared" si="233"/>
        <v>#VALUE!</v>
      </c>
      <c r="HE29" s="344" t="e">
        <f t="shared" si="69"/>
        <v>#VALUE!</v>
      </c>
      <c r="HF29" s="5" t="e">
        <f t="shared" si="70"/>
        <v>#VALUE!</v>
      </c>
      <c r="HG29" s="343" t="e">
        <f t="shared" si="234"/>
        <v>#VALUE!</v>
      </c>
      <c r="HH29" s="349" t="e">
        <f t="shared" si="235"/>
        <v>#VALUE!</v>
      </c>
      <c r="HI29" s="317">
        <f t="shared" si="71"/>
        <v>2.14</v>
      </c>
      <c r="HJ29" s="336"/>
      <c r="HK29" s="310">
        <f t="shared" si="137"/>
        <v>21</v>
      </c>
      <c r="HL29" s="348">
        <f t="shared" si="72"/>
        <v>3.121</v>
      </c>
      <c r="HM29" s="909" t="e">
        <f t="shared" si="138"/>
        <v>#NUM!</v>
      </c>
      <c r="HN29" s="910">
        <f t="shared" si="73"/>
        <v>18.799997285616254</v>
      </c>
      <c r="HO29" s="911"/>
      <c r="HP29" s="912"/>
      <c r="HQ29" s="910" t="e">
        <f t="shared" si="74"/>
        <v>#NUM!</v>
      </c>
      <c r="HR29" s="913" t="e">
        <f t="shared" si="75"/>
        <v>#NUM!</v>
      </c>
      <c r="HS29" s="865">
        <f t="shared" si="251"/>
        <v>3.6800999999999999</v>
      </c>
      <c r="HT29" s="875">
        <f t="shared" si="76"/>
        <v>2.9899999999999999E-2</v>
      </c>
      <c r="HU29" s="876">
        <f t="shared" si="77"/>
        <v>0.69138819191558465</v>
      </c>
      <c r="HV29" s="872">
        <f t="shared" si="78"/>
        <v>3.6133455256767845E-2</v>
      </c>
      <c r="HW29" s="866">
        <f t="shared" si="79"/>
        <v>29500</v>
      </c>
      <c r="HX29" s="867">
        <f t="shared" si="80"/>
        <v>270.50268374999996</v>
      </c>
      <c r="HY29" s="866" t="e">
        <f t="shared" si="81"/>
        <v>#NUM!</v>
      </c>
      <c r="HZ29" s="868">
        <f t="shared" si="82"/>
        <v>1699.6626384591457</v>
      </c>
      <c r="IA29" s="869" t="e">
        <f t="shared" si="83"/>
        <v>#NUM!</v>
      </c>
      <c r="IB29" s="870" t="e">
        <f t="shared" si="84"/>
        <v>#NUM!</v>
      </c>
      <c r="IC29" s="841" t="e">
        <f t="shared" si="85"/>
        <v>#NUM!</v>
      </c>
      <c r="ID29" s="351">
        <f t="shared" si="86"/>
        <v>882.05</v>
      </c>
      <c r="IE29" s="843" t="e">
        <f t="shared" si="87"/>
        <v>#NUM!</v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16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310</v>
      </c>
    </row>
    <row r="30" spans="1:271" ht="15" customHeight="1" x14ac:dyDescent="0.25">
      <c r="A30" s="75">
        <f t="shared" si="1"/>
        <v>0</v>
      </c>
      <c r="B30" s="578">
        <f t="shared" si="2"/>
        <v>4.2822414632010677</v>
      </c>
      <c r="C30" s="572">
        <f t="shared" si="3"/>
        <v>1.9164323799187972</v>
      </c>
      <c r="D30" s="576">
        <f t="shared" si="4"/>
        <v>-3.4661104537891285</v>
      </c>
      <c r="E30" s="580">
        <f t="shared" si="5"/>
        <v>0.10088291079485943</v>
      </c>
      <c r="F30" s="572">
        <f t="shared" si="6"/>
        <v>0.99394345846971677</v>
      </c>
      <c r="G30" s="579">
        <f t="shared" si="7"/>
        <v>4.357797235777483E-2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4.2822414632010677</v>
      </c>
      <c r="O30" s="572">
        <f t="shared" si="14"/>
        <v>1.9164323799187972</v>
      </c>
      <c r="P30" s="576">
        <f t="shared" si="15"/>
        <v>-3.4661104537891285</v>
      </c>
      <c r="Q30" s="528">
        <f t="shared" si="140"/>
        <v>24.109957535776001</v>
      </c>
      <c r="R30" s="572">
        <f>IF(M30="","",SQRT(N30^2+O30^2))</f>
        <v>4.6915141496066752</v>
      </c>
      <c r="S30" s="577">
        <f>IF(M30="","",P30)</f>
        <v>-3.4661104537891285</v>
      </c>
      <c r="T30" s="578">
        <f>IF(M30="","",X30*COS(RADIANS(W30)))</f>
        <v>1.9231565410397684</v>
      </c>
      <c r="U30" s="572">
        <f>IF(M30="","",X30*SIN(RADIANS(W30)))</f>
        <v>-4.2792258569296857</v>
      </c>
      <c r="V30" s="579">
        <f>IF(M30="","",Y30)</f>
        <v>-3.4661104537891285</v>
      </c>
      <c r="W30" s="528">
        <f t="shared" si="253"/>
        <v>294.19995752278163</v>
      </c>
      <c r="X30" s="572">
        <f>IF(M30="","",R30)</f>
        <v>4.6915141496066752</v>
      </c>
      <c r="Y30" s="573">
        <f t="shared" si="255"/>
        <v>-3.4661104537891285</v>
      </c>
      <c r="Z30" s="575">
        <f t="shared" si="18"/>
        <v>-0.10088291079485943</v>
      </c>
      <c r="AA30" s="572">
        <f t="shared" si="19"/>
        <v>-0.99394345846971677</v>
      </c>
      <c r="AB30" s="572">
        <f t="shared" si="20"/>
        <v>-4.357797235777483E-2</v>
      </c>
      <c r="AC30" s="579">
        <f>IF(M30="","",SQRT(Z30^2+AA30^2+AB30^2))</f>
        <v>1</v>
      </c>
      <c r="AD30" s="580">
        <f>IF(M30="","",Z30*(1/SQRT(Z30^2+AA30^2+AB30^2)))</f>
        <v>-0.10088291079485943</v>
      </c>
      <c r="AE30" s="572">
        <f>IF(M30="","",AA30*(1/SQRT(Z30^2+AA30^2+AB30^2)))</f>
        <v>-0.99394345846971677</v>
      </c>
      <c r="AF30" s="576">
        <f>IF(M30="","",AB30*(1/SQRT(Z30^2+AA30^2+AB30^2)))</f>
        <v>-4.357797235777483E-2</v>
      </c>
      <c r="AG30" s="545">
        <f>IF(M30="","",DEGREES(ATAN2(-AF30,AE30)))</f>
        <v>-87.489559523797226</v>
      </c>
      <c r="AH30" s="546">
        <f>IF(M30="","",DEGREES(ACOS(AD30)))</f>
        <v>95.79001466176328</v>
      </c>
      <c r="AI30" s="528">
        <f>IF(M30="","",DEGREES(-ACOS(-AF30)))</f>
        <v>-87.502375163624507</v>
      </c>
      <c r="AJ30" s="529">
        <f>IF(M30="","",DEGREES(ATAN2(-AE30,AD30)))</f>
        <v>-5.795539083276311</v>
      </c>
      <c r="AK30" s="578">
        <f>IF(M30="","",(COS(RADIANS((90-$Q$8)-W30))*AD30)+(-SIN(RADIANS((90-$Q$8)-W30))*AE30))</f>
        <v>0.86602544158358552</v>
      </c>
      <c r="AL30" s="572">
        <f>IF(M30="","",(SIN(RADIANS((90-$Q$8)-W30))*AD30)+(COS(RADIANS((90-$Q$8)-W30))*AE30))</f>
        <v>-0.49809727449077729</v>
      </c>
      <c r="AM30" s="577">
        <f>IF(M30="","",AF30)</f>
        <v>-4.357797235777483E-2</v>
      </c>
      <c r="AN30" s="524">
        <f>IF(M30="","",DEGREES(ATAN2(-AM30,AL30)))</f>
        <v>-84.999987727520178</v>
      </c>
      <c r="AO30" s="525">
        <f>IF(ROUND(IF(M30="",0,DEGREES(ACOS(AK30))),4)=90,0,IF(M30="","",DEGREES(ACOS(AK30))))</f>
        <v>29.999995668536549</v>
      </c>
      <c r="AP30" s="528">
        <f>IF(M30="","",DEGREES(ATAN2(AK30,AL30)))</f>
        <v>-29.905496619052322</v>
      </c>
      <c r="AQ30" s="529">
        <f t="shared" si="21"/>
        <v>0.32394692021455668</v>
      </c>
      <c r="AS30" s="932">
        <f t="shared" si="143"/>
        <v>-65.800042477218369</v>
      </c>
      <c r="AT30" s="928">
        <f t="shared" si="22"/>
        <v>-3.4356058045001361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>
        <f t="shared" si="137"/>
        <v>22</v>
      </c>
      <c r="HL30" s="348">
        <f t="shared" si="72"/>
        <v>2.1219999999999999</v>
      </c>
      <c r="HM30" s="909" t="e">
        <f t="shared" si="138"/>
        <v>#NUM!</v>
      </c>
      <c r="HN30" s="910">
        <f t="shared" si="73"/>
        <v>19.35999720476222</v>
      </c>
      <c r="HO30" s="911"/>
      <c r="HP30" s="912"/>
      <c r="HQ30" s="910" t="e">
        <f t="shared" si="74"/>
        <v>#NUM!</v>
      </c>
      <c r="HR30" s="913" t="e">
        <f t="shared" si="75"/>
        <v>#NUM!</v>
      </c>
      <c r="HS30" s="865">
        <f t="shared" si="251"/>
        <v>3.7938000000000001</v>
      </c>
      <c r="HT30" s="875">
        <f t="shared" si="76"/>
        <v>2.8000000000000001E-2</v>
      </c>
      <c r="HU30" s="876">
        <f t="shared" si="77"/>
        <v>0.66745646992001118</v>
      </c>
      <c r="HV30" s="872">
        <f t="shared" si="78"/>
        <v>3.4882731255322874E-2</v>
      </c>
      <c r="HW30" s="866">
        <f t="shared" si="79"/>
        <v>29500</v>
      </c>
      <c r="HX30" s="867">
        <f t="shared" si="80"/>
        <v>261.13990000000001</v>
      </c>
      <c r="HY30" s="866" t="e">
        <f t="shared" si="81"/>
        <v>#NUM!</v>
      </c>
      <c r="HZ30" s="868">
        <f t="shared" si="82"/>
        <v>1640.8304885533607</v>
      </c>
      <c r="IA30" s="869" t="e">
        <f t="shared" si="83"/>
        <v>#NUM!</v>
      </c>
      <c r="IB30" s="870" t="e">
        <f t="shared" si="84"/>
        <v>#NUM!</v>
      </c>
      <c r="IC30" s="841" t="e">
        <f t="shared" si="85"/>
        <v>#NUM!</v>
      </c>
      <c r="ID30" s="351">
        <f t="shared" si="86"/>
        <v>826</v>
      </c>
      <c r="IE30" s="843" t="e">
        <f t="shared" si="87"/>
        <v>#NUM!</v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18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290</v>
      </c>
    </row>
    <row r="31" spans="1:271" ht="15" customHeight="1" x14ac:dyDescent="0.25">
      <c r="A31" s="75">
        <f t="shared" si="1"/>
        <v>0</v>
      </c>
      <c r="B31" s="578">
        <f t="shared" si="2"/>
        <v>3.0246799291879767</v>
      </c>
      <c r="C31" s="572">
        <f t="shared" si="3"/>
        <v>0.56853150491763527</v>
      </c>
      <c r="D31" s="576">
        <f t="shared" si="4"/>
        <v>-0.2787152019784056</v>
      </c>
      <c r="E31" s="580">
        <f t="shared" si="5"/>
        <v>-3.7678428316270426E-2</v>
      </c>
      <c r="F31" s="572">
        <f t="shared" si="6"/>
        <v>0.94284704939988606</v>
      </c>
      <c r="G31" s="579">
        <f t="shared" si="7"/>
        <v>0.33108877582537355</v>
      </c>
      <c r="H31" s="580">
        <f t="shared" si="8"/>
        <v>0.26450000000000001</v>
      </c>
      <c r="I31" s="572">
        <f t="shared" si="9"/>
        <v>0.52</v>
      </c>
      <c r="J31" s="483">
        <f t="shared" si="10"/>
        <v>2.2160000000000002</v>
      </c>
      <c r="K31" s="806">
        <f t="shared" si="11"/>
        <v>1313</v>
      </c>
      <c r="L31" s="309"/>
      <c r="M31" s="164">
        <f t="shared" si="12"/>
        <v>2.2160000000000002</v>
      </c>
      <c r="N31" s="575">
        <f t="shared" si="13"/>
        <v>3.0246799291879767</v>
      </c>
      <c r="O31" s="572">
        <f t="shared" si="14"/>
        <v>0.56853150491763527</v>
      </c>
      <c r="P31" s="576">
        <f t="shared" si="15"/>
        <v>-0.2787152019784056</v>
      </c>
      <c r="Q31" s="528">
        <f t="shared" si="140"/>
        <v>10.64534583150704</v>
      </c>
      <c r="R31" s="572">
        <f>IF(M31="","",SQRT(N31^2+O31^2))</f>
        <v>3.077647924327358</v>
      </c>
      <c r="S31" s="577">
        <f>IF(M31="","",P31)</f>
        <v>-0.2787152019784056</v>
      </c>
      <c r="T31" s="578">
        <f>IF(M31="","",X31*COS(RADIANS(W31)))</f>
        <v>0.57328195700303575</v>
      </c>
      <c r="U31" s="572">
        <f>IF(M31="","",X31*SIN(RADIANS(W31)))</f>
        <v>-3.0237831509371276</v>
      </c>
      <c r="V31" s="579">
        <f>IF(M31="","",Y31)</f>
        <v>-0.2787152019784056</v>
      </c>
      <c r="W31" s="528">
        <f t="shared" si="253"/>
        <v>280.73534581851266</v>
      </c>
      <c r="X31" s="572">
        <f>IF(M31="","",R31)</f>
        <v>3.077647924327358</v>
      </c>
      <c r="Y31" s="573">
        <f t="shared" si="255"/>
        <v>-0.2787152019784056</v>
      </c>
      <c r="Z31" s="575">
        <f t="shared" si="18"/>
        <v>3.7678428316270426E-2</v>
      </c>
      <c r="AA31" s="572">
        <f t="shared" si="19"/>
        <v>-0.94284704939988606</v>
      </c>
      <c r="AB31" s="572">
        <f t="shared" si="20"/>
        <v>-0.33108877582537355</v>
      </c>
      <c r="AC31" s="579">
        <f>IF(M31="","",SQRT(Z31^2+AA31^2+AB31^2))</f>
        <v>1</v>
      </c>
      <c r="AD31" s="580">
        <f>IF(M31="","",Z31*(1/SQRT(Z31^2+AA31^2+AB31^2)))</f>
        <v>3.7678428316270426E-2</v>
      </c>
      <c r="AE31" s="572">
        <f>IF(M31="","",AA31*(1/SQRT(Z31^2+AA31^2+AB31^2)))</f>
        <v>-0.94284704939988606</v>
      </c>
      <c r="AF31" s="576">
        <f>IF(M31="","",AB31*(1/SQRT(Z31^2+AA31^2+AB31^2)))</f>
        <v>-0.33108877582537355</v>
      </c>
      <c r="AG31" s="545">
        <f>IF(M31="","",DEGREES(ATAN2(-AF31,AE31)))</f>
        <v>-70.650840732275327</v>
      </c>
      <c r="AH31" s="546">
        <f>IF(M31="","",DEGREES(ACOS(AD31)))</f>
        <v>87.840673953568924</v>
      </c>
      <c r="AI31" s="528">
        <f>IF(M31="","",DEGREES(-ACOS(-AF31)))</f>
        <v>-70.665126928732263</v>
      </c>
      <c r="AJ31" s="529">
        <f>IF(M31="","",DEGREES(ATAN2(-AE31,AD31)))</f>
        <v>2.288459001113484</v>
      </c>
      <c r="AK31" s="578">
        <f>IF(M31="","",(COS(RADIANS((90-$Q$8)-W31))*AD31)+(-SIN(RADIANS((90-$Q$8)-W31))*AE31))</f>
        <v>0.93358044546160557</v>
      </c>
      <c r="AL31" s="572">
        <f>IF(M31="","",(SIN(RADIANS((90-$Q$8)-W31))*AD31)+(COS(RADIANS((90-$Q$8)-W31))*AE31))</f>
        <v>-0.13714143930324502</v>
      </c>
      <c r="AM31" s="577">
        <f>IF(M31="","",AF31)</f>
        <v>-0.33108877582537355</v>
      </c>
      <c r="AN31" s="524">
        <f>IF(M31="","",DEGREES(ATAN2(-AM31,AL31)))</f>
        <v>-22.499996751402406</v>
      </c>
      <c r="AO31" s="525">
        <f t="shared" si="116"/>
        <v>20.999996967975573</v>
      </c>
      <c r="AP31" s="528">
        <f>IF(M31="","",DEGREES(ATAN2(AK31,AL31)))</f>
        <v>-8.3568868303935613</v>
      </c>
      <c r="AQ31" s="529">
        <f t="shared" si="21"/>
        <v>0.49381221002758485</v>
      </c>
      <c r="AS31" s="932">
        <f t="shared" si="143"/>
        <v>-79.264654181487344</v>
      </c>
      <c r="AT31" s="928">
        <f t="shared" si="22"/>
        <v>-0.24197693615965887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>
        <f t="shared" si="137"/>
        <v>23</v>
      </c>
      <c r="HL31" s="348">
        <f t="shared" si="72"/>
        <v>1.123</v>
      </c>
      <c r="HM31" s="909" t="e">
        <f t="shared" si="138"/>
        <v>#NUM!</v>
      </c>
      <c r="HN31" s="910">
        <f t="shared" si="73"/>
        <v>19.919997123908249</v>
      </c>
      <c r="HO31" s="911"/>
      <c r="HP31" s="912"/>
      <c r="HQ31" s="910" t="e">
        <f t="shared" si="74"/>
        <v>#NUM!</v>
      </c>
      <c r="HR31" s="913" t="e">
        <f t="shared" si="75"/>
        <v>#NUM!</v>
      </c>
      <c r="HS31" s="865">
        <f t="shared" si="251"/>
        <v>3.9011999999999998</v>
      </c>
      <c r="HT31" s="875">
        <f t="shared" si="76"/>
        <v>2.5399999999999999E-2</v>
      </c>
      <c r="HU31" s="876">
        <f t="shared" si="77"/>
        <v>0.62261823991684562</v>
      </c>
      <c r="HV31" s="872">
        <f t="shared" si="78"/>
        <v>3.2539387535316357E-2</v>
      </c>
      <c r="HW31" s="866">
        <f t="shared" si="79"/>
        <v>29500</v>
      </c>
      <c r="HX31" s="867">
        <f t="shared" si="80"/>
        <v>243.59742999999997</v>
      </c>
      <c r="HY31" s="866" t="e">
        <f t="shared" si="81"/>
        <v>#NUM!</v>
      </c>
      <c r="HZ31" s="868">
        <f t="shared" si="82"/>
        <v>1530.6031731289122</v>
      </c>
      <c r="IA31" s="869" t="e">
        <f t="shared" si="83"/>
        <v>#NUM!</v>
      </c>
      <c r="IB31" s="870" t="e">
        <f t="shared" si="84"/>
        <v>#NUM!</v>
      </c>
      <c r="IC31" s="841" t="e">
        <f t="shared" si="85"/>
        <v>#NUM!</v>
      </c>
      <c r="ID31" s="351">
        <f t="shared" si="86"/>
        <v>749.3</v>
      </c>
      <c r="IE31" s="843" t="e">
        <f t="shared" si="87"/>
        <v>#NUM!</v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1313</v>
      </c>
      <c r="IN31" s="670">
        <f t="shared" si="90"/>
        <v>15.764611372190132</v>
      </c>
      <c r="IO31" s="702"/>
      <c r="IP31" s="5">
        <f t="shared" si="91"/>
        <v>0</v>
      </c>
      <c r="IQ31" s="714"/>
      <c r="IR31" s="9">
        <f t="shared" si="139"/>
        <v>-3.0642092416550737</v>
      </c>
      <c r="IS31" s="5">
        <f t="shared" si="92"/>
        <v>-0.30240091204115122</v>
      </c>
      <c r="IT31" s="5">
        <f t="shared" si="93"/>
        <v>0.3125</v>
      </c>
      <c r="IU31" s="5">
        <f t="shared" si="94"/>
        <v>0.30039428345367691</v>
      </c>
      <c r="IV31" s="670">
        <f t="shared" si="95"/>
        <v>22.499996751402488</v>
      </c>
      <c r="IW31" s="9">
        <f t="shared" si="96"/>
        <v>-3.077647924327358</v>
      </c>
      <c r="IX31" s="5">
        <f t="shared" si="97"/>
        <v>-0.2787152019784056</v>
      </c>
      <c r="IY31" s="5">
        <f t="shared" si="98"/>
        <v>0.26450000000000001</v>
      </c>
      <c r="IZ31" s="5">
        <f t="shared" si="99"/>
        <v>0.2469320278245947</v>
      </c>
      <c r="JA31" s="705">
        <f t="shared" si="100"/>
        <v>22.499996751402406</v>
      </c>
    </row>
    <row r="32" spans="1:271" ht="15" customHeight="1" x14ac:dyDescent="0.25">
      <c r="A32" s="75">
        <f t="shared" si="1"/>
        <v>0</v>
      </c>
      <c r="B32" s="578">
        <f t="shared" si="2"/>
        <v>3.6366523576669509</v>
      </c>
      <c r="C32" s="572">
        <f t="shared" si="3"/>
        <v>0.81528795331125947</v>
      </c>
      <c r="D32" s="576">
        <f t="shared" si="4"/>
        <v>-0.66475385066216885</v>
      </c>
      <c r="E32" s="580">
        <f t="shared" si="5"/>
        <v>4.5732236628048567E-2</v>
      </c>
      <c r="F32" s="572">
        <f t="shared" si="6"/>
        <v>0.94383628934575825</v>
      </c>
      <c r="G32" s="579">
        <f t="shared" si="7"/>
        <v>0.32723328291453829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3.6366523576669509</v>
      </c>
      <c r="O32" s="572">
        <f t="shared" si="14"/>
        <v>0.81528795331125947</v>
      </c>
      <c r="P32" s="576">
        <f t="shared" si="15"/>
        <v>-0.66475385066216885</v>
      </c>
      <c r="Q32" s="528">
        <f t="shared" si="140"/>
        <v>12.636005432767076</v>
      </c>
      <c r="R32" s="572">
        <f t="shared" si="101"/>
        <v>3.7269202858847215</v>
      </c>
      <c r="S32" s="577">
        <f t="shared" si="102"/>
        <v>-0.66475385066216885</v>
      </c>
      <c r="T32" s="578">
        <f t="shared" si="103"/>
        <v>0.82099938448189635</v>
      </c>
      <c r="U32" s="572">
        <f t="shared" si="104"/>
        <v>-3.6353672205183623</v>
      </c>
      <c r="V32" s="579">
        <f t="shared" si="141"/>
        <v>-0.66475385066216885</v>
      </c>
      <c r="W32" s="528">
        <f t="shared" si="253"/>
        <v>282.72600541977272</v>
      </c>
      <c r="X32" s="572">
        <f t="shared" si="105"/>
        <v>3.7269202858847215</v>
      </c>
      <c r="Y32" s="573">
        <f t="shared" si="255"/>
        <v>-0.66475385066216885</v>
      </c>
      <c r="Z32" s="575">
        <f t="shared" si="18"/>
        <v>-4.5732236628048567E-2</v>
      </c>
      <c r="AA32" s="572">
        <f t="shared" si="19"/>
        <v>-0.94383628934575825</v>
      </c>
      <c r="AB32" s="572">
        <f t="shared" si="20"/>
        <v>-0.32723328291453829</v>
      </c>
      <c r="AC32" s="579">
        <f t="shared" si="106"/>
        <v>1</v>
      </c>
      <c r="AD32" s="580">
        <f t="shared" si="142"/>
        <v>-4.5732236628048567E-2</v>
      </c>
      <c r="AE32" s="572">
        <f t="shared" si="107"/>
        <v>-0.94383628934575825</v>
      </c>
      <c r="AF32" s="576">
        <f t="shared" si="108"/>
        <v>-0.32723328291453829</v>
      </c>
      <c r="AG32" s="545">
        <f t="shared" si="109"/>
        <v>-70.878284688737153</v>
      </c>
      <c r="AH32" s="546">
        <f t="shared" si="110"/>
        <v>92.621178360253396</v>
      </c>
      <c r="AI32" s="528">
        <f t="shared" si="111"/>
        <v>-70.899067211945578</v>
      </c>
      <c r="AJ32" s="529">
        <f t="shared" si="112"/>
        <v>-2.7740154581298477</v>
      </c>
      <c r="AK32" s="578">
        <f t="shared" si="238"/>
        <v>0.91097186547259179</v>
      </c>
      <c r="AL32" s="572">
        <f t="shared" si="113"/>
        <v>-0.25109488021534793</v>
      </c>
      <c r="AM32" s="577">
        <f t="shared" si="114"/>
        <v>-0.32723328291453829</v>
      </c>
      <c r="AN32" s="524">
        <f t="shared" si="115"/>
        <v>-37.49999458567072</v>
      </c>
      <c r="AO32" s="525">
        <f t="shared" si="116"/>
        <v>24.359996482851667</v>
      </c>
      <c r="AP32" s="528">
        <f t="shared" si="117"/>
        <v>-15.410020890896956</v>
      </c>
      <c r="AQ32" s="529">
        <f t="shared" si="21"/>
        <v>0.40778765731803895</v>
      </c>
      <c r="AS32" s="932">
        <f t="shared" si="143"/>
        <v>-77.273994580227281</v>
      </c>
      <c r="AT32" s="928">
        <f t="shared" si="22"/>
        <v>-0.6289371865106721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>
        <f t="shared" si="137"/>
        <v>24</v>
      </c>
      <c r="HL32" s="348">
        <f t="shared" si="72"/>
        <v>6.1239999999999997</v>
      </c>
      <c r="HM32" s="909" t="e">
        <f t="shared" si="138"/>
        <v>#NUM!</v>
      </c>
      <c r="HN32" s="910">
        <f t="shared" si="73"/>
        <v>20.47999704305424</v>
      </c>
      <c r="HO32" s="911"/>
      <c r="HP32" s="912"/>
      <c r="HQ32" s="910" t="e">
        <f t="shared" si="74"/>
        <v>#NUM!</v>
      </c>
      <c r="HR32" s="913" t="e">
        <f t="shared" si="75"/>
        <v>#NUM!</v>
      </c>
      <c r="HS32" s="865">
        <f t="shared" si="251"/>
        <v>4.0052000000000003</v>
      </c>
      <c r="HT32" s="875">
        <f t="shared" si="76"/>
        <v>2.5600000000000001E-2</v>
      </c>
      <c r="HU32" s="876">
        <f t="shared" si="77"/>
        <v>0.64424872166704816</v>
      </c>
      <c r="HV32" s="872">
        <f t="shared" si="78"/>
        <v>3.3669843701103326E-2</v>
      </c>
      <c r="HW32" s="866">
        <f t="shared" si="79"/>
        <v>29500</v>
      </c>
      <c r="HX32" s="867">
        <f t="shared" si="80"/>
        <v>252.06058666666672</v>
      </c>
      <c r="HY32" s="866" t="e">
        <f t="shared" si="81"/>
        <v>#NUM!</v>
      </c>
      <c r="HZ32" s="868">
        <f t="shared" si="82"/>
        <v>1583.7781074314937</v>
      </c>
      <c r="IA32" s="869" t="e">
        <f t="shared" si="83"/>
        <v>#NUM!</v>
      </c>
      <c r="IB32" s="870" t="e">
        <f t="shared" si="84"/>
        <v>#NUM!</v>
      </c>
      <c r="IC32" s="841" t="e">
        <f t="shared" si="85"/>
        <v>#NUM!</v>
      </c>
      <c r="ID32" s="351">
        <f t="shared" si="86"/>
        <v>755.2</v>
      </c>
      <c r="IE32" s="843" t="e">
        <f t="shared" si="87"/>
        <v>#NUM!</v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12.983951884991939</v>
      </c>
      <c r="IO32" s="702">
        <v>2.7676504837848601E-2</v>
      </c>
      <c r="IP32" s="5">
        <f t="shared" si="91"/>
        <v>0.35555555555555557</v>
      </c>
      <c r="IQ32" s="714">
        <v>320</v>
      </c>
      <c r="IR32" s="9">
        <f t="shared" si="139"/>
        <v>-3.7053111752185037</v>
      </c>
      <c r="IS32" s="5">
        <f t="shared" si="92"/>
        <v>-0.68570206807743761</v>
      </c>
      <c r="IT32" s="5">
        <f t="shared" si="93"/>
        <v>0.3125</v>
      </c>
      <c r="IU32" s="5">
        <f t="shared" si="94"/>
        <v>0.2948294801436841</v>
      </c>
      <c r="IV32" s="670">
        <f t="shared" si="95"/>
        <v>37.499994585670692</v>
      </c>
      <c r="IW32" s="9">
        <f t="shared" si="96"/>
        <v>-3.7269202858847215</v>
      </c>
      <c r="IX32" s="5">
        <f t="shared" si="97"/>
        <v>-0.66475385066216885</v>
      </c>
      <c r="IY32" s="5">
        <f t="shared" si="98"/>
        <v>0.26450000000000001</v>
      </c>
      <c r="IZ32" s="5">
        <f t="shared" si="99"/>
        <v>0.24095205841750053</v>
      </c>
      <c r="JA32" s="705">
        <f t="shared" si="100"/>
        <v>37.49999458567072</v>
      </c>
    </row>
    <row r="33" spans="1:269" ht="15" customHeight="1" x14ac:dyDescent="0.25">
      <c r="A33" s="75">
        <f t="shared" si="1"/>
        <v>0</v>
      </c>
      <c r="B33" s="578">
        <f t="shared" si="2"/>
        <v>4.11224118357958</v>
      </c>
      <c r="C33" s="572">
        <f t="shared" si="3"/>
        <v>0.98482966689805473</v>
      </c>
      <c r="D33" s="576">
        <f t="shared" si="4"/>
        <v>-1.2302306696102083</v>
      </c>
      <c r="E33" s="580">
        <f t="shared" si="5"/>
        <v>0.15270918129512168</v>
      </c>
      <c r="F33" s="572">
        <f t="shared" si="6"/>
        <v>0.94683520014975875</v>
      </c>
      <c r="G33" s="579">
        <f t="shared" si="7"/>
        <v>0.28316604617351299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4.11224118357958</v>
      </c>
      <c r="O33" s="572">
        <f t="shared" si="14"/>
        <v>0.98482966689805473</v>
      </c>
      <c r="P33" s="576">
        <f t="shared" si="15"/>
        <v>-1.2302306696102083</v>
      </c>
      <c r="Q33" s="528">
        <f t="shared" si="140"/>
        <v>13.467956081759953</v>
      </c>
      <c r="R33" s="572">
        <f t="shared" si="101"/>
        <v>4.2285242135679582</v>
      </c>
      <c r="S33" s="577">
        <f t="shared" si="102"/>
        <v>-1.2302306696102083</v>
      </c>
      <c r="T33" s="578">
        <f t="shared" si="103"/>
        <v>0.99128794167082357</v>
      </c>
      <c r="U33" s="572">
        <f t="shared" si="104"/>
        <v>-4.1106891443441134</v>
      </c>
      <c r="V33" s="579">
        <f t="shared" si="141"/>
        <v>-1.2302306696102083</v>
      </c>
      <c r="W33" s="528">
        <f t="shared" si="253"/>
        <v>283.55795606876558</v>
      </c>
      <c r="X33" s="572">
        <f t="shared" si="105"/>
        <v>4.2285242135679582</v>
      </c>
      <c r="Y33" s="573">
        <f t="shared" si="255"/>
        <v>-1.2302306696102083</v>
      </c>
      <c r="Z33" s="575">
        <f t="shared" si="18"/>
        <v>-0.15270918129512168</v>
      </c>
      <c r="AA33" s="572">
        <f t="shared" si="19"/>
        <v>-0.94683520014975875</v>
      </c>
      <c r="AB33" s="572">
        <f t="shared" si="20"/>
        <v>-0.28316604617351299</v>
      </c>
      <c r="AC33" s="579">
        <f t="shared" si="106"/>
        <v>1</v>
      </c>
      <c r="AD33" s="580">
        <f t="shared" si="142"/>
        <v>-0.15270918129512168</v>
      </c>
      <c r="AE33" s="572">
        <f t="shared" si="107"/>
        <v>-0.94683520014975875</v>
      </c>
      <c r="AF33" s="576">
        <f t="shared" si="108"/>
        <v>-0.28316604617351299</v>
      </c>
      <c r="AG33" s="545">
        <f t="shared" si="109"/>
        <v>-73.349873458791592</v>
      </c>
      <c r="AH33" s="546">
        <f t="shared" si="110"/>
        <v>98.783960367581145</v>
      </c>
      <c r="AI33" s="528">
        <f t="shared" si="111"/>
        <v>-73.550744518259791</v>
      </c>
      <c r="AJ33" s="529">
        <f t="shared" si="112"/>
        <v>-9.1619829367558907</v>
      </c>
      <c r="AK33" s="578">
        <f t="shared" si="238"/>
        <v>0.88523134382457169</v>
      </c>
      <c r="AL33" s="572">
        <f t="shared" si="113"/>
        <v>-0.36902907501307119</v>
      </c>
      <c r="AM33" s="577">
        <f t="shared" si="114"/>
        <v>-0.28316604617351299</v>
      </c>
      <c r="AN33" s="524">
        <f t="shared" si="115"/>
        <v>-52.499992419938899</v>
      </c>
      <c r="AO33" s="525">
        <f t="shared" si="116"/>
        <v>27.719995997727715</v>
      </c>
      <c r="AP33" s="528">
        <f t="shared" si="117"/>
        <v>-22.629939018515813</v>
      </c>
      <c r="AQ33" s="529">
        <f t="shared" si="21"/>
        <v>0.35941565962428396</v>
      </c>
      <c r="AS33" s="932">
        <f t="shared" si="143"/>
        <v>-76.442043931234423</v>
      </c>
      <c r="AT33" s="928">
        <f t="shared" si="22"/>
        <v>-1.1947991677962082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>
        <f t="shared" si="137"/>
        <v>25</v>
      </c>
      <c r="HL33" s="348">
        <f t="shared" si="72"/>
        <v>5.125</v>
      </c>
      <c r="HM33" s="909" t="e">
        <f t="shared" si="138"/>
        <v>#NUM!</v>
      </c>
      <c r="HN33" s="910">
        <f t="shared" si="73"/>
        <v>21.039996962200266</v>
      </c>
      <c r="HO33" s="911"/>
      <c r="HP33" s="912"/>
      <c r="HQ33" s="910" t="e">
        <f t="shared" si="74"/>
        <v>#NUM!</v>
      </c>
      <c r="HR33" s="913" t="e">
        <f t="shared" si="75"/>
        <v>#NUM!</v>
      </c>
      <c r="HS33" s="865">
        <f t="shared" si="251"/>
        <v>4.0998000000000001</v>
      </c>
      <c r="HT33" s="875">
        <f t="shared" si="76"/>
        <v>2.29E-2</v>
      </c>
      <c r="HU33" s="876">
        <f t="shared" si="77"/>
        <v>0.58991183834469396</v>
      </c>
      <c r="HV33" s="872">
        <f t="shared" si="78"/>
        <v>3.0830079636170873E-2</v>
      </c>
      <c r="HW33" s="866">
        <f t="shared" si="79"/>
        <v>29500</v>
      </c>
      <c r="HX33" s="867">
        <f t="shared" si="80"/>
        <v>230.8016575</v>
      </c>
      <c r="HY33" s="866" t="e">
        <f t="shared" si="81"/>
        <v>#NUM!</v>
      </c>
      <c r="HZ33" s="868">
        <f t="shared" si="82"/>
        <v>1450.1999359307058</v>
      </c>
      <c r="IA33" s="869" t="e">
        <f t="shared" si="83"/>
        <v>#NUM!</v>
      </c>
      <c r="IB33" s="870" t="e">
        <f t="shared" si="84"/>
        <v>#NUM!</v>
      </c>
      <c r="IC33" s="841" t="e">
        <f t="shared" si="85"/>
        <v>#NUM!</v>
      </c>
      <c r="ID33" s="351">
        <f t="shared" si="86"/>
        <v>675.55</v>
      </c>
      <c r="IE33" s="843" t="e">
        <f t="shared" si="87"/>
        <v>#NUM!</v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11.432001339954184</v>
      </c>
      <c r="IO33" s="702">
        <v>2.5114258512878899E-2</v>
      </c>
      <c r="IP33" s="5">
        <f t="shared" si="91"/>
        <v>0.43333333333333335</v>
      </c>
      <c r="IQ33" s="714">
        <v>390</v>
      </c>
      <c r="IR33" s="9">
        <f t="shared" si="139"/>
        <v>-4.2002126678414058</v>
      </c>
      <c r="IS33" s="5">
        <f t="shared" si="92"/>
        <v>-1.2456037567409304</v>
      </c>
      <c r="IT33" s="5">
        <f t="shared" si="93"/>
        <v>0.3125</v>
      </c>
      <c r="IU33" s="5">
        <f t="shared" si="94"/>
        <v>0.28825104648333311</v>
      </c>
      <c r="IV33" s="670">
        <f t="shared" si="95"/>
        <v>52.499992419938948</v>
      </c>
      <c r="IW33" s="9">
        <f t="shared" si="96"/>
        <v>-4.2285242135679582</v>
      </c>
      <c r="IX33" s="5">
        <f t="shared" si="97"/>
        <v>-1.2302306696102083</v>
      </c>
      <c r="IY33" s="5">
        <f t="shared" si="98"/>
        <v>0.26450000000000001</v>
      </c>
      <c r="IZ33" s="5">
        <f t="shared" si="99"/>
        <v>0.23414369044159922</v>
      </c>
      <c r="JA33" s="705">
        <f t="shared" si="100"/>
        <v>52.499992419938899</v>
      </c>
    </row>
    <row r="34" spans="1:269" ht="15" customHeight="1" x14ac:dyDescent="0.25">
      <c r="A34" s="75">
        <f t="shared" si="1"/>
        <v>0</v>
      </c>
      <c r="B34" s="578">
        <f t="shared" si="2"/>
        <v>4.4895467672037581</v>
      </c>
      <c r="C34" s="572">
        <f t="shared" si="3"/>
        <v>0.55871218893340668</v>
      </c>
      <c r="D34" s="576">
        <f t="shared" si="4"/>
        <v>-1.9342912665509235</v>
      </c>
      <c r="E34" s="580">
        <f t="shared" si="5"/>
        <v>0.9363471072921401</v>
      </c>
      <c r="F34" s="572">
        <f t="shared" si="6"/>
        <v>0.11652591431684536</v>
      </c>
      <c r="G34" s="579">
        <f t="shared" si="7"/>
        <v>0.33117337749019737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4.4895467672037581</v>
      </c>
      <c r="O34" s="572">
        <f t="shared" si="14"/>
        <v>0.55871218893340668</v>
      </c>
      <c r="P34" s="576">
        <f t="shared" si="15"/>
        <v>-1.9342912665509235</v>
      </c>
      <c r="Q34" s="528">
        <f t="shared" si="140"/>
        <v>7.0938367525677073</v>
      </c>
      <c r="R34" s="572">
        <f>IF(M34="","",SQRT(N34^2+O34^2))</f>
        <v>4.5241783215267359</v>
      </c>
      <c r="S34" s="577">
        <f>IF(M34="","",P34)</f>
        <v>-1.9342912665509235</v>
      </c>
      <c r="T34" s="578">
        <f>IF(M34="","",X34*COS(RADIANS(W34)))</f>
        <v>0.56576365930281924</v>
      </c>
      <c r="U34" s="572">
        <f>IF(M34="","",X34*SIN(RADIANS(W34)))</f>
        <v>-4.4886636058836888</v>
      </c>
      <c r="V34" s="579">
        <f>IF(M34="","",Y34)</f>
        <v>-1.9342912665509235</v>
      </c>
      <c r="W34" s="528">
        <f t="shared" si="253"/>
        <v>277.18383673957334</v>
      </c>
      <c r="X34" s="572">
        <f>IF(M34="","",R34)</f>
        <v>4.5241783215267359</v>
      </c>
      <c r="Y34" s="573">
        <f t="shared" si="255"/>
        <v>-1.9342912665509235</v>
      </c>
      <c r="Z34" s="575">
        <f t="shared" si="18"/>
        <v>-0.9363471072921401</v>
      </c>
      <c r="AA34" s="572">
        <f t="shared" si="19"/>
        <v>-0.11652591431684536</v>
      </c>
      <c r="AB34" s="572">
        <f t="shared" si="20"/>
        <v>-0.33117337749019737</v>
      </c>
      <c r="AC34" s="579">
        <f>IF(M34="","",SQRT(Z34^2+AA34^2+AB34^2))</f>
        <v>1</v>
      </c>
      <c r="AD34" s="580">
        <f>IF(M34="","",Z34*(1/SQRT(Z34^2+AA34^2+AB34^2)))</f>
        <v>-0.9363471072921401</v>
      </c>
      <c r="AE34" s="572">
        <f>IF(M34="","",AA34*(1/SQRT(Z34^2+AA34^2+AB34^2)))</f>
        <v>-0.11652591431684536</v>
      </c>
      <c r="AF34" s="576">
        <f>IF(M34="","",AB34*(1/SQRT(Z34^2+AA34^2+AB34^2)))</f>
        <v>-0.33117337749019737</v>
      </c>
      <c r="AG34" s="545">
        <f>IF(M34="","",DEGREES(ATAN2(-AF34,AE34)))</f>
        <v>-19.384815597515196</v>
      </c>
      <c r="AH34" s="546">
        <f>IF(M34="","",DEGREES(ACOS(AD34)))</f>
        <v>159.44688072409679</v>
      </c>
      <c r="AI34" s="528">
        <f>IF(M34="","",DEGREES(-ACOS(-AF34)))</f>
        <v>-70.659989797959724</v>
      </c>
      <c r="AJ34" s="529">
        <f>IF(M34="","",DEGREES(ATAN2(-AE34,AD34)))</f>
        <v>-82.906163247432289</v>
      </c>
      <c r="AK34" s="578">
        <f>IF(M34="","",(COS(RADIANS((90-$Q$8)-W34))*AD34)+(-SIN(RADIANS((90-$Q$8)-W34))*AE34))</f>
        <v>2.9143354396410359E-16</v>
      </c>
      <c r="AL34" s="572">
        <f>IF(M34="","",(SIN(RADIANS((90-$Q$8)-W34))*AD34)+(COS(RADIANS((90-$Q$8)-W34))*AE34))</f>
        <v>-0.94356992005984131</v>
      </c>
      <c r="AM34" s="577">
        <f>IF(M34="","",AF34)</f>
        <v>-0.33117337749019737</v>
      </c>
      <c r="AN34" s="524">
        <f>IF(M34="","",DEGREES(ATAN2(-AM34,AL34)))</f>
        <v>-70.659989797959724</v>
      </c>
      <c r="AO34" s="525">
        <f t="shared" si="116"/>
        <v>0</v>
      </c>
      <c r="AP34" s="528">
        <f>IF(M34="","",DEGREES(ATAN2(AK34,AL34)))</f>
        <v>-89.999999999999986</v>
      </c>
      <c r="AQ34" s="529">
        <f t="shared" si="21"/>
        <v>0.33592847845049595</v>
      </c>
      <c r="AS34" s="932">
        <f t="shared" si="143"/>
        <v>-82.816163260426663</v>
      </c>
      <c r="AT34" s="928">
        <f t="shared" si="22"/>
        <v>-1.8959087835660011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>
        <f t="shared" si="137"/>
        <v>26</v>
      </c>
      <c r="HL34" s="348">
        <f t="shared" si="72"/>
        <v>4.1260000000000003</v>
      </c>
      <c r="HM34" s="909" t="e">
        <f t="shared" si="138"/>
        <v>#NUM!</v>
      </c>
      <c r="HN34" s="910">
        <f t="shared" si="73"/>
        <v>21.599996881346296</v>
      </c>
      <c r="HO34" s="911"/>
      <c r="HP34" s="912"/>
      <c r="HQ34" s="910" t="e">
        <f t="shared" si="74"/>
        <v>#NUM!</v>
      </c>
      <c r="HR34" s="913" t="e">
        <f t="shared" si="75"/>
        <v>#NUM!</v>
      </c>
      <c r="HS34" s="865">
        <f t="shared" si="251"/>
        <v>4.1936</v>
      </c>
      <c r="HT34" s="875">
        <f t="shared" si="76"/>
        <v>2.3E-2</v>
      </c>
      <c r="HU34" s="876">
        <f t="shared" si="77"/>
        <v>0.60604293918765451</v>
      </c>
      <c r="HV34" s="872">
        <f t="shared" si="78"/>
        <v>3.1673126158178425E-2</v>
      </c>
      <c r="HW34" s="866">
        <f t="shared" si="79"/>
        <v>29500</v>
      </c>
      <c r="HX34" s="867">
        <f t="shared" si="80"/>
        <v>237.11313333333331</v>
      </c>
      <c r="HY34" s="866" t="e">
        <f t="shared" si="81"/>
        <v>#NUM!</v>
      </c>
      <c r="HZ34" s="868">
        <f t="shared" si="82"/>
        <v>1489.8555588363172</v>
      </c>
      <c r="IA34" s="869" t="e">
        <f t="shared" si="83"/>
        <v>#NUM!</v>
      </c>
      <c r="IB34" s="870" t="e">
        <f t="shared" si="84"/>
        <v>#NUM!</v>
      </c>
      <c r="IC34" s="841" t="e">
        <f t="shared" si="85"/>
        <v>#NUM!</v>
      </c>
      <c r="ID34" s="351">
        <f t="shared" si="86"/>
        <v>678.5</v>
      </c>
      <c r="IE34" s="843" t="e">
        <f t="shared" si="87"/>
        <v>#NUM!</v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17.306120741337452</v>
      </c>
      <c r="IO34" s="702">
        <v>2.3138171805217302E-2</v>
      </c>
      <c r="IP34" s="5">
        <f t="shared" si="91"/>
        <v>0.52222222222222225</v>
      </c>
      <c r="IQ34" s="714">
        <v>470</v>
      </c>
      <c r="IR34" s="9">
        <f t="shared" si="139"/>
        <v>-4.5178136257258963</v>
      </c>
      <c r="IS34" s="5">
        <f t="shared" si="92"/>
        <v>-1.9225057982774874</v>
      </c>
      <c r="IT34" s="5">
        <f t="shared" si="93"/>
        <v>0.3125</v>
      </c>
      <c r="IU34" s="5">
        <f t="shared" si="94"/>
        <v>0.28068159927475922</v>
      </c>
      <c r="IV34" s="670">
        <f t="shared" si="95"/>
        <v>67.499990254207177</v>
      </c>
      <c r="IW34" s="9">
        <f t="shared" si="96"/>
        <v>-4.5241783215267359</v>
      </c>
      <c r="IX34" s="5">
        <f t="shared" si="97"/>
        <v>-1.9342912665509235</v>
      </c>
      <c r="IY34" s="5">
        <f t="shared" si="98"/>
        <v>0.255</v>
      </c>
      <c r="IZ34" s="5">
        <f t="shared" si="99"/>
        <v>0.255</v>
      </c>
      <c r="JA34" s="705">
        <f t="shared" si="100"/>
        <v>70.659989797959724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4.6181022051453864</v>
      </c>
      <c r="C35" s="572">
        <f t="shared" si="3"/>
        <v>0.46798610153046005</v>
      </c>
      <c r="D35" s="576">
        <f t="shared" si="4"/>
        <v>-2.6752945430610588</v>
      </c>
      <c r="E35" s="580">
        <f t="shared" si="5"/>
        <v>0.9911639204057382</v>
      </c>
      <c r="F35" s="572">
        <f t="shared" si="6"/>
        <v>0.10044189549800688</v>
      </c>
      <c r="G35" s="579">
        <f t="shared" si="7"/>
        <v>8.6634337965353261E-2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4.6181022051453864</v>
      </c>
      <c r="O35" s="572">
        <f t="shared" si="14"/>
        <v>0.46798610153046005</v>
      </c>
      <c r="P35" s="576">
        <f t="shared" si="15"/>
        <v>-2.6752945430610588</v>
      </c>
      <c r="Q35" s="528">
        <f t="shared" si="140"/>
        <v>5.7864472069135875</v>
      </c>
      <c r="R35" s="572">
        <f>IF(M35="","",SQRT(N35^2+O35^2))</f>
        <v>4.641753867709312</v>
      </c>
      <c r="S35" s="577">
        <f>IF(M35="","",P35)</f>
        <v>-2.6752945430610588</v>
      </c>
      <c r="T35" s="578">
        <f>IF(M35="","",X35*COS(RADIANS(W35)))</f>
        <v>0.47523961812615073</v>
      </c>
      <c r="U35" s="572">
        <f>IF(M35="","",X35*SIN(RADIANS(W35)))</f>
        <v>-4.6173613973521359</v>
      </c>
      <c r="V35" s="579">
        <f>IF(M35="","",Y35)</f>
        <v>-2.6752945430610588</v>
      </c>
      <c r="W35" s="528">
        <f t="shared" si="253"/>
        <v>275.8764471939192</v>
      </c>
      <c r="X35" s="572">
        <f>IF(M35="","",R35)</f>
        <v>4.641753867709312</v>
      </c>
      <c r="Y35" s="573">
        <f t="shared" si="255"/>
        <v>-2.6752945430610588</v>
      </c>
      <c r="Z35" s="575">
        <f t="shared" si="18"/>
        <v>-0.9911639204057382</v>
      </c>
      <c r="AA35" s="572">
        <f t="shared" si="19"/>
        <v>-0.10044189549800688</v>
      </c>
      <c r="AB35" s="572">
        <f t="shared" si="20"/>
        <v>-8.6634337965353261E-2</v>
      </c>
      <c r="AC35" s="579">
        <f>IF(M35="","",SQRT(Z35^2+AA35^2+AB35^2))</f>
        <v>1</v>
      </c>
      <c r="AD35" s="580">
        <f>IF(M35="","",Z35*(1/SQRT(Z35^2+AA35^2+AB35^2)))</f>
        <v>-0.9911639204057382</v>
      </c>
      <c r="AE35" s="572">
        <f>IF(M35="","",AA35*(1/SQRT(Z35^2+AA35^2+AB35^2)))</f>
        <v>-0.10044189549800688</v>
      </c>
      <c r="AF35" s="576">
        <f>IF(M35="","",AB35*(1/SQRT(Z35^2+AA35^2+AB35^2)))</f>
        <v>-8.6634337965353261E-2</v>
      </c>
      <c r="AG35" s="545">
        <f>IF(M35="","",DEGREES(ATAN2(-AF35,AE35)))</f>
        <v>-49.221182479425735</v>
      </c>
      <c r="AH35" s="546">
        <f>IF(M35="","",DEGREES(ACOS(AD35)))</f>
        <v>172.37766999208139</v>
      </c>
      <c r="AI35" s="528">
        <f>IF(M35="","",DEGREES(-ACOS(-AF35)))</f>
        <v>-85.029987723188711</v>
      </c>
      <c r="AJ35" s="529">
        <f>IF(M35="","",DEGREES(ATAN2(-AE35,AD35)))</f>
        <v>-84.213552793086421</v>
      </c>
      <c r="AK35" s="578">
        <f>IF(M35="","",(COS(RADIANS((90-$Q$8)-W35))*AD35)+(-SIN(RADIANS((90-$Q$8)-W35))*AE35))</f>
        <v>2.9143354396410359E-16</v>
      </c>
      <c r="AL35" s="572">
        <f>IF(M35="","",(SIN(RADIANS((90-$Q$8)-W35))*AD35)+(COS(RADIANS((90-$Q$8)-W35))*AE35))</f>
        <v>-0.99624017761045214</v>
      </c>
      <c r="AM35" s="577">
        <f>IF(M35="","",AF35)</f>
        <v>-8.6634337965353261E-2</v>
      </c>
      <c r="AN35" s="524">
        <f>IF(M35="","",DEGREES(ATAN2(-AM35,AL35)))</f>
        <v>-85.029987723188725</v>
      </c>
      <c r="AO35" s="525">
        <f t="shared" si="116"/>
        <v>0</v>
      </c>
      <c r="AP35" s="528">
        <f>IF(M35="","",DEGREES(ATAN2(AK35,AL35)))</f>
        <v>-89.999999999999986</v>
      </c>
      <c r="AQ35" s="529">
        <f t="shared" si="21"/>
        <v>0.32741960348365817</v>
      </c>
      <c r="AS35" s="932">
        <f t="shared" si="143"/>
        <v>-84.123552806080795</v>
      </c>
      <c r="AT35" s="928">
        <f t="shared" si="22"/>
        <v>-2.6363067871383334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>
        <f t="shared" si="137"/>
        <v>27</v>
      </c>
      <c r="HL35" s="348">
        <f t="shared" si="72"/>
        <v>3.1269999999999998</v>
      </c>
      <c r="HM35" s="909" t="e">
        <f t="shared" si="138"/>
        <v>#VALUE!</v>
      </c>
      <c r="HN35" s="910">
        <f t="shared" si="73"/>
        <v>22.159996800492262</v>
      </c>
      <c r="HO35" s="911"/>
      <c r="HP35" s="912"/>
      <c r="HQ35" s="910" t="e">
        <f t="shared" si="74"/>
        <v>#VALUE!</v>
      </c>
      <c r="HR35" s="913" t="e">
        <f t="shared" si="75"/>
        <v>#VALUE!</v>
      </c>
      <c r="HS35" s="865">
        <f t="shared" si="251"/>
        <v>4.2827999999999999</v>
      </c>
      <c r="HT35" s="875">
        <f t="shared" si="76"/>
        <v>2.2200000000000001E-2</v>
      </c>
      <c r="HU35" s="876">
        <f t="shared" si="77"/>
        <v>0.59740515594126098</v>
      </c>
      <c r="HV35" s="872">
        <f t="shared" si="78"/>
        <v>3.1221696761349321E-2</v>
      </c>
      <c r="HW35" s="866">
        <f t="shared" si="79"/>
        <v>29500</v>
      </c>
      <c r="HX35" s="867">
        <f t="shared" si="80"/>
        <v>233.73380999999998</v>
      </c>
      <c r="HY35" s="866" t="e">
        <f t="shared" si="81"/>
        <v>#VALUE!</v>
      </c>
      <c r="HZ35" s="868">
        <f t="shared" si="82"/>
        <v>1468.6210083555995</v>
      </c>
      <c r="IA35" s="869" t="e">
        <f t="shared" si="83"/>
        <v>#VALUE!</v>
      </c>
      <c r="IB35" s="870" t="e">
        <f t="shared" si="84"/>
        <v>#VALUE!</v>
      </c>
      <c r="IC35" s="841" t="e">
        <f t="shared" si="85"/>
        <v>#VALUE!</v>
      </c>
      <c r="ID35" s="351">
        <f t="shared" si="86"/>
        <v>654.9</v>
      </c>
      <c r="IE35" s="843" t="e">
        <f t="shared" si="87"/>
        <v>#VALUE!</v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18.403510317311827</v>
      </c>
      <c r="IO35" s="702">
        <v>1.4929877061463599E-2</v>
      </c>
      <c r="IP35" s="5">
        <f t="shared" si="91"/>
        <v>0.3888888888888889</v>
      </c>
      <c r="IQ35" s="714">
        <v>350</v>
      </c>
      <c r="IR35" s="9">
        <f t="shared" si="139"/>
        <v>-4.6444140075526468</v>
      </c>
      <c r="IS35" s="5">
        <f t="shared" si="92"/>
        <v>-2.6596080213777928</v>
      </c>
      <c r="IT35" s="5">
        <f t="shared" si="93"/>
        <v>0.3125</v>
      </c>
      <c r="IU35" s="5">
        <f t="shared" si="94"/>
        <v>0.27214716244685239</v>
      </c>
      <c r="IV35" s="670">
        <f t="shared" si="95"/>
        <v>82.499988088475476</v>
      </c>
      <c r="IW35" s="9">
        <f t="shared" si="96"/>
        <v>-4.641753867709312</v>
      </c>
      <c r="IX35" s="5">
        <f t="shared" si="97"/>
        <v>-2.6752945430610588</v>
      </c>
      <c r="IY35" s="5">
        <f t="shared" si="98"/>
        <v>0.255</v>
      </c>
      <c r="IZ35" s="5">
        <f t="shared" si="99"/>
        <v>0.255</v>
      </c>
      <c r="JA35" s="705">
        <f t="shared" si="100"/>
        <v>85.029987723188725</v>
      </c>
    </row>
    <row r="36" spans="1:269" ht="15" customHeight="1" x14ac:dyDescent="0.25">
      <c r="A36" s="75">
        <f t="shared" si="1"/>
        <v>0</v>
      </c>
      <c r="B36" s="578">
        <f t="shared" si="2"/>
        <v>4.6781998590493687</v>
      </c>
      <c r="C36" s="572">
        <f t="shared" si="3"/>
        <v>0.35320121000658039</v>
      </c>
      <c r="D36" s="576">
        <f t="shared" si="4"/>
        <v>-3.482604133156721</v>
      </c>
      <c r="E36" s="580">
        <f t="shared" si="5"/>
        <v>0.99336752703920039</v>
      </c>
      <c r="F36" s="572">
        <f t="shared" si="6"/>
        <v>7.4998636890811696E-2</v>
      </c>
      <c r="G36" s="579">
        <f t="shared" si="7"/>
        <v>8.7155956127759074E-2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4.6781998590493687</v>
      </c>
      <c r="O36" s="572">
        <f t="shared" si="14"/>
        <v>0.35320121000658039</v>
      </c>
      <c r="P36" s="576">
        <f t="shared" si="15"/>
        <v>-3.482604133156721</v>
      </c>
      <c r="Q36" s="528">
        <f t="shared" si="140"/>
        <v>4.3176048462516334</v>
      </c>
      <c r="R36" s="572">
        <f>IF(M36="","",SQRT(N36^2+O36^2))</f>
        <v>4.6915141496066752</v>
      </c>
      <c r="S36" s="577">
        <f>IF(M36="","",P36)</f>
        <v>-3.482604133156721</v>
      </c>
      <c r="T36" s="578">
        <f>IF(M36="","",X36*COS(RADIANS(W36)))</f>
        <v>0.36054926933393705</v>
      </c>
      <c r="U36" s="572">
        <f>IF(M36="","",X36*SIN(RADIANS(W36)))</f>
        <v>-4.6776392806994442</v>
      </c>
      <c r="V36" s="579">
        <f>IF(M36="","",Y36)</f>
        <v>-3.482604133156721</v>
      </c>
      <c r="W36" s="528">
        <f t="shared" si="253"/>
        <v>274.40760483325727</v>
      </c>
      <c r="X36" s="572">
        <f>IF(M36="","",R36)</f>
        <v>4.6915141496066752</v>
      </c>
      <c r="Y36" s="573">
        <f t="shared" si="255"/>
        <v>-3.482604133156721</v>
      </c>
      <c r="Z36" s="575">
        <f t="shared" si="18"/>
        <v>-0.99336752703920039</v>
      </c>
      <c r="AA36" s="572">
        <f t="shared" si="19"/>
        <v>-7.4998636890811696E-2</v>
      </c>
      <c r="AB36" s="572">
        <f t="shared" si="20"/>
        <v>-8.7155956127759074E-2</v>
      </c>
      <c r="AC36" s="579">
        <f>IF(M36="","",SQRT(Z36^2+AA36^2+AB36^2))</f>
        <v>1</v>
      </c>
      <c r="AD36" s="580">
        <f>IF(M36="","",Z36*(1/SQRT(Z36^2+AA36^2+AB36^2)))</f>
        <v>-0.99336752703920039</v>
      </c>
      <c r="AE36" s="572">
        <f>IF(M36="","",AA36*(1/SQRT(Z36^2+AA36^2+AB36^2)))</f>
        <v>-7.4998636890811696E-2</v>
      </c>
      <c r="AF36" s="576">
        <f>IF(M36="","",AB36*(1/SQRT(Z36^2+AA36^2+AB36^2)))</f>
        <v>-8.7155956127759074E-2</v>
      </c>
      <c r="AG36" s="545">
        <f>IF(M36="","",DEGREES(ATAN2(-AF36,AE36)))</f>
        <v>-40.712348839553201</v>
      </c>
      <c r="AH36" s="546">
        <f>IF(M36="","",DEGREES(ACOS(AD36)))</f>
        <v>173.39738910915287</v>
      </c>
      <c r="AI36" s="528">
        <f>IF(M36="","",DEGREES(-ACOS(-AF36)))</f>
        <v>-84.999987727520178</v>
      </c>
      <c r="AJ36" s="529">
        <f>IF(M36="","",DEGREES(ATAN2(-AE36,AD36)))</f>
        <v>-85.682395153748374</v>
      </c>
      <c r="AK36" s="578">
        <f>IF(M36="","",(COS(RADIANS((90-$Q$8)-W36))*AD36)+(-SIN(RADIANS((90-$Q$8)-W36))*AE36))</f>
        <v>1.1102230246251565E-16</v>
      </c>
      <c r="AL36" s="572">
        <f>IF(M36="","",(SIN(RADIANS((90-$Q$8)-W36))*AD36)+(COS(RADIANS((90-$Q$8)-W36))*AE36))</f>
        <v>-0.9961946794233828</v>
      </c>
      <c r="AM36" s="577">
        <f>IF(M36="","",AF36)</f>
        <v>-8.7155956127759074E-2</v>
      </c>
      <c r="AN36" s="524">
        <f>IF(M36="","",DEGREES(ATAN2(-AM36,AL36)))</f>
        <v>-84.999987727520178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0.32394692021455668</v>
      </c>
      <c r="AS36" s="932">
        <f t="shared" si="143"/>
        <v>-85.592395166742733</v>
      </c>
      <c r="AT36" s="928">
        <f t="shared" si="22"/>
        <v>-3.4429363576225782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>
        <f t="shared" si="137"/>
        <v>28</v>
      </c>
      <c r="HL36" s="348">
        <f t="shared" si="72"/>
        <v>2.1280000000000001</v>
      </c>
      <c r="HM36" s="909" t="e">
        <f t="shared" si="138"/>
        <v>#VALUE!</v>
      </c>
      <c r="HN36" s="910">
        <f t="shared" si="73"/>
        <v>22.719996719638328</v>
      </c>
      <c r="HO36" s="911"/>
      <c r="HP36" s="912"/>
      <c r="HQ36" s="910" t="e">
        <f t="shared" si="74"/>
        <v>#VALUE!</v>
      </c>
      <c r="HR36" s="913" t="e">
        <f t="shared" si="75"/>
        <v>#VALUE!</v>
      </c>
      <c r="HS36" s="865">
        <f t="shared" si="251"/>
        <v>4.367</v>
      </c>
      <c r="HT36" s="875">
        <f t="shared" si="76"/>
        <v>2.0199999999999999E-2</v>
      </c>
      <c r="HU36" s="876">
        <f t="shared" si="77"/>
        <v>0.55427136350537454</v>
      </c>
      <c r="HV36" s="872">
        <f t="shared" si="78"/>
        <v>2.8967430667046237E-2</v>
      </c>
      <c r="HW36" s="866">
        <f t="shared" si="79"/>
        <v>29500</v>
      </c>
      <c r="HX36" s="867">
        <f t="shared" si="80"/>
        <v>216.85794166666665</v>
      </c>
      <c r="HY36" s="866" t="e">
        <f t="shared" si="81"/>
        <v>#VALUE!</v>
      </c>
      <c r="HZ36" s="868">
        <f t="shared" si="82"/>
        <v>1362.5837686173791</v>
      </c>
      <c r="IA36" s="869" t="e">
        <f t="shared" si="83"/>
        <v>#VALUE!</v>
      </c>
      <c r="IB36" s="870" t="e">
        <f t="shared" si="84"/>
        <v>#VALUE!</v>
      </c>
      <c r="IC36" s="841" t="e">
        <f t="shared" si="85"/>
        <v>#VALUE!</v>
      </c>
      <c r="ID36" s="351">
        <f t="shared" si="86"/>
        <v>595.9</v>
      </c>
      <c r="IE36" s="843" t="e">
        <f t="shared" si="87"/>
        <v>#VALUE!</v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19.792352689524364</v>
      </c>
      <c r="IO36" s="702">
        <v>1.13385005200408E-2</v>
      </c>
      <c r="IP36" s="5">
        <f t="shared" si="91"/>
        <v>0.51111111111111107</v>
      </c>
      <c r="IQ36" s="714">
        <v>460</v>
      </c>
      <c r="IR36" s="9">
        <f t="shared" si="139"/>
        <v>-4.6915141496066752</v>
      </c>
      <c r="IS36" s="5">
        <f t="shared" si="92"/>
        <v>-3.4661104537891285</v>
      </c>
      <c r="IT36" s="5">
        <f t="shared" si="93"/>
        <v>0.3125</v>
      </c>
      <c r="IU36" s="5">
        <f t="shared" si="94"/>
        <v>0.27063295049487046</v>
      </c>
      <c r="IV36" s="670">
        <f t="shared" si="95"/>
        <v>84.999987727520178</v>
      </c>
      <c r="IW36" s="9">
        <f t="shared" si="96"/>
        <v>-4.6915141496066752</v>
      </c>
      <c r="IX36" s="5">
        <f t="shared" si="97"/>
        <v>-3.482604133156721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84.999987727520178</v>
      </c>
    </row>
    <row r="37" spans="1:269" ht="15" customHeight="1" x14ac:dyDescent="0.25">
      <c r="A37" s="75">
        <f t="shared" si="1"/>
        <v>0</v>
      </c>
      <c r="B37" s="578">
        <f t="shared" si="2"/>
        <v>0.64346228643012615</v>
      </c>
      <c r="C37" s="572">
        <f t="shared" si="3"/>
        <v>-0.48488420437012447</v>
      </c>
      <c r="D37" s="576">
        <f t="shared" si="4"/>
        <v>-0.45390136896652894</v>
      </c>
      <c r="E37" s="580">
        <f t="shared" si="5"/>
        <v>0.55923100986210517</v>
      </c>
      <c r="F37" s="572">
        <f t="shared" si="6"/>
        <v>0.77601252325774361</v>
      </c>
      <c r="G37" s="579">
        <f t="shared" si="7"/>
        <v>0.29165946128277759</v>
      </c>
      <c r="H37" s="580">
        <f t="shared" si="8"/>
        <v>0.3125</v>
      </c>
      <c r="I37" s="572">
        <f t="shared" si="9"/>
        <v>0.52</v>
      </c>
      <c r="J37" s="483">
        <f t="shared" si="10"/>
        <v>3.1030000000000002</v>
      </c>
      <c r="K37" s="806">
        <f t="shared" si="11"/>
        <v>1613</v>
      </c>
      <c r="L37" s="309"/>
      <c r="M37" s="164">
        <f t="shared" si="12"/>
        <v>3.1030000000000002</v>
      </c>
      <c r="N37" s="575">
        <f t="shared" si="13"/>
        <v>0.64346228643012615</v>
      </c>
      <c r="O37" s="572">
        <f t="shared" si="14"/>
        <v>-0.48488420437012447</v>
      </c>
      <c r="P37" s="576">
        <f t="shared" si="15"/>
        <v>-0.45390136896652894</v>
      </c>
      <c r="Q37" s="528">
        <f t="shared" si="140"/>
        <v>322.99996635896707</v>
      </c>
      <c r="R37" s="572">
        <f t="shared" si="101"/>
        <v>0.80570242999852892</v>
      </c>
      <c r="S37" s="577">
        <f t="shared" si="102"/>
        <v>-0.45390136896652894</v>
      </c>
      <c r="T37" s="578">
        <f t="shared" si="103"/>
        <v>-0.48387285853414219</v>
      </c>
      <c r="U37" s="572">
        <f t="shared" si="104"/>
        <v>-0.64422314649470047</v>
      </c>
      <c r="V37" s="579">
        <f t="shared" si="141"/>
        <v>-0.45390136896652894</v>
      </c>
      <c r="W37" s="528">
        <f t="shared" si="253"/>
        <v>233.0899663459727</v>
      </c>
      <c r="X37" s="572">
        <f t="shared" si="105"/>
        <v>0.80570242999852892</v>
      </c>
      <c r="Y37" s="573">
        <f t="shared" si="255"/>
        <v>-0.45390136896652894</v>
      </c>
      <c r="Z37" s="575">
        <f t="shared" si="18"/>
        <v>-0.55923100986210517</v>
      </c>
      <c r="AA37" s="572">
        <f t="shared" si="19"/>
        <v>-0.77601252325774361</v>
      </c>
      <c r="AB37" s="572">
        <f t="shared" si="20"/>
        <v>-0.29165946128277759</v>
      </c>
      <c r="AC37" s="579">
        <f t="shared" si="106"/>
        <v>1</v>
      </c>
      <c r="AD37" s="580">
        <f t="shared" si="142"/>
        <v>-0.55923100986210517</v>
      </c>
      <c r="AE37" s="572">
        <f t="shared" si="107"/>
        <v>-0.77601252325774361</v>
      </c>
      <c r="AF37" s="576">
        <f t="shared" si="108"/>
        <v>-0.29165946128277759</v>
      </c>
      <c r="AG37" s="545">
        <f t="shared" si="109"/>
        <v>-69.401583071713063</v>
      </c>
      <c r="AH37" s="546">
        <f t="shared" si="110"/>
        <v>124.00263361917112</v>
      </c>
      <c r="AI37" s="528">
        <f t="shared" si="111"/>
        <v>-73.042668303728448</v>
      </c>
      <c r="AJ37" s="529">
        <f t="shared" si="112"/>
        <v>-35.778289637852403</v>
      </c>
      <c r="AK37" s="578">
        <f t="shared" si="238"/>
        <v>0.95630476848795665</v>
      </c>
      <c r="AL37" s="572">
        <f t="shared" si="113"/>
        <v>2.0394813346430063E-2</v>
      </c>
      <c r="AM37" s="577">
        <f t="shared" si="114"/>
        <v>-0.29165946128277759</v>
      </c>
      <c r="AN37" s="524">
        <f t="shared" si="115"/>
        <v>3.9999994224715669</v>
      </c>
      <c r="AO37" s="525">
        <f t="shared" si="116"/>
        <v>16.999997545504019</v>
      </c>
      <c r="AP37" s="528">
        <f t="shared" si="117"/>
        <v>1.2217440031805071</v>
      </c>
      <c r="AQ37" s="529">
        <f t="shared" si="21"/>
        <v>1.8856453024800301</v>
      </c>
      <c r="AS37" s="932">
        <f t="shared" si="143"/>
        <v>-126.9100336540273</v>
      </c>
      <c r="AT37" s="928">
        <f t="shared" si="22"/>
        <v>-0.39510505709568039</v>
      </c>
      <c r="AU37" s="418"/>
      <c r="AV37" s="164">
        <f t="shared" si="23"/>
        <v>3.1030000000000002</v>
      </c>
      <c r="AW37" s="797">
        <f>IFERROR(INDEX(MassProp!C$9:C$150,MATCH($M37,MassProp!$B$9:$B$150,0)),"")</f>
        <v>0.69930000000000003</v>
      </c>
      <c r="AX37" s="744">
        <f>IFERROR(INDEX(MassProp!D$9:D$150,MATCH($M37,MassProp!$B$9:$B$150,0)),"")</f>
        <v>5.91E-2</v>
      </c>
      <c r="AY37" s="731">
        <f>IFERROR(INDEX(MassProp!E$9:E$150,MATCH($M37,MassProp!$B$9:$B$150,0)),"")</f>
        <v>6.0400000000000002E-2</v>
      </c>
      <c r="AZ37" s="297">
        <f t="shared" si="144"/>
        <v>0.26557827731410366</v>
      </c>
      <c r="BA37" s="296">
        <f t="shared" si="24"/>
        <v>1.3879700163682151E-2</v>
      </c>
      <c r="BB37" s="177">
        <f t="shared" si="145"/>
        <v>0.28753839042901375</v>
      </c>
      <c r="BC37" s="9"/>
      <c r="BD37" s="5">
        <f t="shared" si="146"/>
        <v>0.69930000000000003</v>
      </c>
      <c r="BE37" s="6">
        <f t="shared" si="25"/>
        <v>-0.16636297853751519</v>
      </c>
      <c r="BF37" s="4">
        <f t="shared" si="26"/>
        <v>0.64346228643012615</v>
      </c>
      <c r="BG37" s="5">
        <f t="shared" si="27"/>
        <v>-0.48488420437012447</v>
      </c>
      <c r="BH37" s="10">
        <f t="shared" si="28"/>
        <v>-0.45390136896652894</v>
      </c>
      <c r="BI37" s="9">
        <f t="shared" si="147"/>
        <v>0.64346228643012615</v>
      </c>
      <c r="BJ37" s="5">
        <f t="shared" si="29"/>
        <v>-0.133068419250292</v>
      </c>
      <c r="BK37" s="8">
        <f t="shared" si="30"/>
        <v>-1.3899706256673972</v>
      </c>
      <c r="BL37" s="173">
        <f t="shared" si="31"/>
        <v>1.4724741546253952</v>
      </c>
      <c r="BM37" s="5">
        <f t="shared" si="32"/>
        <v>-1.0083631600958212</v>
      </c>
      <c r="BN37" s="6">
        <f t="shared" si="33"/>
        <v>-0.65064766576452215</v>
      </c>
      <c r="BO37" s="4">
        <f t="shared" si="148"/>
        <v>-0.55923100986210494</v>
      </c>
      <c r="BP37" s="5">
        <f t="shared" si="239"/>
        <v>-0.7760125232577435</v>
      </c>
      <c r="BQ37" s="5">
        <f t="shared" si="149"/>
        <v>-0.29165946128277781</v>
      </c>
      <c r="BR37" s="6">
        <f t="shared" si="150"/>
        <v>-0.14881677942087843</v>
      </c>
      <c r="BS37" s="4">
        <f t="shared" si="118"/>
        <v>0</v>
      </c>
      <c r="BT37" s="5">
        <f t="shared" si="118"/>
        <v>0</v>
      </c>
      <c r="BU37" s="10">
        <f t="shared" si="119"/>
        <v>-0.16636297853751519</v>
      </c>
      <c r="BV37" s="9">
        <f t="shared" si="120"/>
        <v>0</v>
      </c>
      <c r="BW37" s="5">
        <f t="shared" si="121"/>
        <v>1</v>
      </c>
      <c r="BX37" s="8">
        <f t="shared" si="122"/>
        <v>-0.16636297853751519</v>
      </c>
      <c r="BY37" s="173">
        <f t="shared" si="123"/>
        <v>1</v>
      </c>
      <c r="BZ37" s="5">
        <f t="shared" si="124"/>
        <v>0</v>
      </c>
      <c r="CA37" s="6">
        <f t="shared" si="125"/>
        <v>-0.16636297853751519</v>
      </c>
      <c r="CB37" s="4">
        <f t="shared" si="151"/>
        <v>0</v>
      </c>
      <c r="CC37" s="5">
        <f t="shared" si="152"/>
        <v>0</v>
      </c>
      <c r="CD37" s="5">
        <f t="shared" si="153"/>
        <v>-1</v>
      </c>
      <c r="CE37" s="6">
        <f t="shared" si="154"/>
        <v>-0.16636297853751519</v>
      </c>
      <c r="CF37" s="4">
        <f t="shared" si="155"/>
        <v>0.7760125232577435</v>
      </c>
      <c r="CG37" s="5">
        <f t="shared" si="156"/>
        <v>-0.55923100986210494</v>
      </c>
      <c r="CH37" s="5">
        <f t="shared" si="157"/>
        <v>0</v>
      </c>
      <c r="CI37" s="4">
        <f t="shared" si="126"/>
        <v>0</v>
      </c>
      <c r="CJ37" s="5">
        <f t="shared" si="127"/>
        <v>-0.12924461876231405</v>
      </c>
      <c r="CK37" s="8">
        <f t="shared" si="128"/>
        <v>-0.16636297853751519</v>
      </c>
      <c r="CL37" s="173">
        <f t="shared" si="129"/>
        <v>0.7760125232577435</v>
      </c>
      <c r="CM37" s="5">
        <f t="shared" si="130"/>
        <v>-0.68847562862441902</v>
      </c>
      <c r="CN37" s="6">
        <f t="shared" si="131"/>
        <v>-0.16636297853751519</v>
      </c>
      <c r="CO37" s="167">
        <f t="shared" si="35"/>
        <v>0.3125</v>
      </c>
      <c r="CP37" s="4">
        <f t="shared" si="240"/>
        <v>0.91493475864423957</v>
      </c>
      <c r="CQ37" s="5">
        <f t="shared" si="241"/>
        <v>-1.3964389542404707</v>
      </c>
      <c r="CR37" s="5">
        <f t="shared" si="158"/>
        <v>0.52554530487968876</v>
      </c>
      <c r="CS37" s="8">
        <f t="shared" si="159"/>
        <v>2.6683086213374008E-2</v>
      </c>
      <c r="CT37" s="9">
        <f t="shared" si="160"/>
        <v>0.85240424103564516</v>
      </c>
      <c r="CU37" s="6">
        <f t="shared" si="161"/>
        <v>0.67386737674585584</v>
      </c>
      <c r="CV37" s="4">
        <f t="shared" si="242"/>
        <v>0.6614763659216728</v>
      </c>
      <c r="CW37" s="5">
        <f t="shared" si="162"/>
        <v>-0.60593550328741896</v>
      </c>
      <c r="CX37" s="8">
        <f t="shared" si="163"/>
        <v>-0.16636297853751519</v>
      </c>
      <c r="CY37" s="9">
        <f t="shared" si="164"/>
        <v>0.52292952336962806</v>
      </c>
      <c r="CZ37" s="5">
        <f t="shared" si="165"/>
        <v>-0.50609215237302652</v>
      </c>
      <c r="DA37" s="6">
        <f t="shared" si="166"/>
        <v>-0.16636297853751519</v>
      </c>
      <c r="DB37" s="4">
        <f t="shared" si="167"/>
        <v>0</v>
      </c>
      <c r="DC37" s="5">
        <f t="shared" si="167"/>
        <v>0</v>
      </c>
      <c r="DD37" s="10">
        <f t="shared" si="168"/>
        <v>-10</v>
      </c>
      <c r="DE37" s="9">
        <f t="shared" si="169"/>
        <v>0</v>
      </c>
      <c r="DF37" s="5">
        <f t="shared" si="169"/>
        <v>0</v>
      </c>
      <c r="DG37" s="10">
        <f t="shared" si="170"/>
        <v>10</v>
      </c>
      <c r="DH37" s="70">
        <f t="shared" si="171"/>
        <v>0.69930000000000003</v>
      </c>
      <c r="DI37" s="4">
        <f t="shared" si="172"/>
        <v>0</v>
      </c>
      <c r="DJ37" s="5">
        <f t="shared" si="173"/>
        <v>0</v>
      </c>
      <c r="DK37" s="10">
        <f t="shared" si="174"/>
        <v>20</v>
      </c>
      <c r="DL37" s="9">
        <f t="shared" si="175"/>
        <v>0.6614763659216728</v>
      </c>
      <c r="DM37" s="173">
        <f t="shared" si="176"/>
        <v>-0.60593550328741896</v>
      </c>
      <c r="DN37" s="178">
        <f t="shared" si="177"/>
        <v>9.8336370214624846</v>
      </c>
      <c r="DO37" s="9">
        <f t="shared" si="178"/>
        <v>-0.13854684255204475</v>
      </c>
      <c r="DP37" s="173">
        <f t="shared" si="179"/>
        <v>9.9843350914392448E-2</v>
      </c>
      <c r="DQ37" s="11">
        <f t="shared" si="180"/>
        <v>0</v>
      </c>
      <c r="DR37" s="173">
        <f t="shared" si="181"/>
        <v>196.6727404292497</v>
      </c>
      <c r="DS37" s="5">
        <f t="shared" si="182"/>
        <v>0</v>
      </c>
      <c r="DT37" s="5">
        <f t="shared" si="183"/>
        <v>400</v>
      </c>
      <c r="DU37" s="5">
        <f t="shared" si="184"/>
        <v>2.916392230295559E-2</v>
      </c>
      <c r="DV37" s="5">
        <f t="shared" si="185"/>
        <v>-0.15214409300746351</v>
      </c>
      <c r="DW37" s="5">
        <f t="shared" si="186"/>
        <v>97.505125886694685</v>
      </c>
      <c r="DX37" s="167">
        <f t="shared" si="187"/>
        <v>97.016105396694684</v>
      </c>
      <c r="DY37" s="9">
        <f t="shared" si="188"/>
        <v>11.665568921182237</v>
      </c>
      <c r="DZ37" s="5">
        <f t="shared" si="189"/>
        <v>-60.857637202985401</v>
      </c>
      <c r="EA37" s="10">
        <f t="shared" si="190"/>
        <v>126.27533072685037</v>
      </c>
      <c r="EB37" s="6">
        <f t="shared" si="191"/>
        <v>2230.5784322910386</v>
      </c>
      <c r="EC37" s="173">
        <f t="shared" si="192"/>
        <v>9.2654407034125299</v>
      </c>
      <c r="ED37" s="5">
        <f t="shared" si="193"/>
        <v>1.1682788372573878</v>
      </c>
      <c r="EE37" s="4">
        <f t="shared" si="194"/>
        <v>-0.62222118838932972</v>
      </c>
      <c r="EF37" s="5">
        <f t="shared" si="195"/>
        <v>0.3191571442398935</v>
      </c>
      <c r="EG37" s="10">
        <f t="shared" si="196"/>
        <v>-0.16636297853751519</v>
      </c>
      <c r="EH37" s="9">
        <f t="shared" si="197"/>
        <v>0.49961502179928763</v>
      </c>
      <c r="EI37" s="5">
        <f t="shared" si="198"/>
        <v>-0.48929062937327122</v>
      </c>
      <c r="EJ37" s="6">
        <f t="shared" si="199"/>
        <v>-0.16636297853751519</v>
      </c>
      <c r="EK37" s="236" t="b">
        <f t="shared" si="200"/>
        <v>0</v>
      </c>
      <c r="EL37" s="238" t="b">
        <f t="shared" si="201"/>
        <v>0</v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e">
        <f t="shared" si="205"/>
        <v>#VALUE!</v>
      </c>
      <c r="EQ37" s="5" t="e">
        <f t="shared" si="206"/>
        <v>#VALUE!</v>
      </c>
      <c r="ER37" s="7" t="str">
        <f t="shared" si="207"/>
        <v/>
      </c>
      <c r="ES37" s="21">
        <f t="shared" si="132"/>
        <v>-0.55923100986210517</v>
      </c>
      <c r="ET37" s="5">
        <f t="shared" si="44"/>
        <v>-0.77601252325774361</v>
      </c>
      <c r="EU37" s="10">
        <f t="shared" si="45"/>
        <v>-0.29165946128277759</v>
      </c>
      <c r="EV37" s="174" t="e">
        <f t="shared" si="254"/>
        <v>#VALUE!</v>
      </c>
      <c r="EW37" s="9" t="e">
        <f t="shared" si="133"/>
        <v>#VALUE!</v>
      </c>
      <c r="EX37" s="5" t="e">
        <f t="shared" si="47"/>
        <v>#VALUE!</v>
      </c>
      <c r="EY37" s="6">
        <f t="shared" si="208"/>
        <v>-0.29165946128277759</v>
      </c>
      <c r="EZ37" s="51" t="e">
        <f t="shared" si="209"/>
        <v>#VALUE!</v>
      </c>
      <c r="FA37" s="266" t="e">
        <f t="shared" si="134"/>
        <v>#VALUE!</v>
      </c>
      <c r="FB37" s="267" t="e">
        <f t="shared" si="135"/>
        <v>#VALUE!</v>
      </c>
      <c r="FC37" s="269" t="e">
        <f t="shared" si="48"/>
        <v>#VALUE!</v>
      </c>
      <c r="FD37" s="4" t="e">
        <f t="shared" si="136"/>
        <v>#VALUE!</v>
      </c>
      <c r="FE37" s="5" t="e">
        <f t="shared" si="49"/>
        <v>#VALUE!</v>
      </c>
      <c r="FF37" s="7" t="e">
        <f t="shared" si="210"/>
        <v>#VALUE!</v>
      </c>
      <c r="FG37" s="173" t="e">
        <f t="shared" si="211"/>
        <v>#VALUE!</v>
      </c>
      <c r="FH37" s="5" t="e">
        <f t="shared" si="50"/>
        <v>#VALUE!</v>
      </c>
      <c r="FI37" s="10" t="e">
        <f t="shared" si="51"/>
        <v>#VALUE!</v>
      </c>
      <c r="FJ37" s="279" t="e">
        <f t="shared" si="212"/>
        <v>#VALUE!</v>
      </c>
      <c r="FK37" s="4">
        <f t="shared" si="52"/>
        <v>0.95652222067458526</v>
      </c>
      <c r="FL37" s="5" t="e">
        <f t="shared" si="213"/>
        <v>#VALUE!</v>
      </c>
      <c r="FM37" s="8" t="e">
        <f t="shared" si="214"/>
        <v>#VALUE!</v>
      </c>
      <c r="FN37" s="9" t="e">
        <f t="shared" si="215"/>
        <v>#VALUE!</v>
      </c>
      <c r="FO37" s="10" t="e">
        <f t="shared" si="53"/>
        <v>#VALUE!</v>
      </c>
      <c r="FP37" s="277" t="e">
        <f t="shared" si="54"/>
        <v>#VALUE!</v>
      </c>
      <c r="FQ37" s="173" t="e">
        <f t="shared" si="243"/>
        <v>#VALUE!</v>
      </c>
      <c r="FR37" s="10" t="e">
        <f t="shared" si="216"/>
        <v>#VALUE!</v>
      </c>
      <c r="FS37" s="9" t="e">
        <f t="shared" si="217"/>
        <v>#VALUE!</v>
      </c>
      <c r="FT37" s="6" t="e">
        <f t="shared" si="218"/>
        <v>#VALUE!</v>
      </c>
      <c r="FU37" s="4" t="e">
        <f t="shared" si="219"/>
        <v>#VALUE!</v>
      </c>
      <c r="FV37" s="5" t="e">
        <f t="shared" si="220"/>
        <v>#VALUE!</v>
      </c>
      <c r="FW37" s="8" t="e">
        <f t="shared" si="244"/>
        <v>#VALUE!</v>
      </c>
      <c r="FX37" s="9" t="e">
        <f t="shared" si="245"/>
        <v>#VALUE!</v>
      </c>
      <c r="FY37" s="10" t="e">
        <f t="shared" si="55"/>
        <v>#VALUE!</v>
      </c>
      <c r="FZ37" s="277" t="e">
        <f t="shared" si="246"/>
        <v>#VALUE!</v>
      </c>
      <c r="GA37" s="177" t="e">
        <f t="shared" si="221"/>
        <v>#VALUE!</v>
      </c>
      <c r="GB37" s="4" t="e">
        <f t="shared" si="222"/>
        <v>#VALUE!</v>
      </c>
      <c r="GC37" s="5" t="e">
        <f t="shared" si="223"/>
        <v>#VALUE!</v>
      </c>
      <c r="GD37" s="10" t="e">
        <f t="shared" si="224"/>
        <v>#VALUE!</v>
      </c>
      <c r="GE37" s="311" t="e">
        <f t="shared" si="225"/>
        <v>#VALUE!</v>
      </c>
      <c r="GF37" s="341" t="e">
        <f t="shared" si="247"/>
        <v>#VALUE!</v>
      </c>
      <c r="GG37" s="285" t="e">
        <f t="shared" si="56"/>
        <v>#VALUE!</v>
      </c>
      <c r="GH37" s="286" t="e">
        <f t="shared" si="57"/>
        <v>#VALUE!</v>
      </c>
      <c r="GI37" s="281" t="e">
        <f t="shared" si="58"/>
        <v>#VALUE!</v>
      </c>
      <c r="GJ37" s="167">
        <f t="shared" si="226"/>
        <v>0.69930000000000003</v>
      </c>
      <c r="GK37" s="174">
        <f t="shared" si="59"/>
        <v>0.36641594552166618</v>
      </c>
      <c r="GL37" s="174">
        <f t="shared" si="227"/>
        <v>6.0400000000000002E-2</v>
      </c>
      <c r="GM37" s="177">
        <f t="shared" si="248"/>
        <v>0.26557827731410366</v>
      </c>
      <c r="GN37" s="280">
        <f t="shared" si="228"/>
        <v>1.3879700163682151E-2</v>
      </c>
      <c r="GO37" s="4" t="e">
        <f t="shared" si="229"/>
        <v>#VALUE!</v>
      </c>
      <c r="GP37" s="8" t="e">
        <f t="shared" si="249"/>
        <v>#VALUE!</v>
      </c>
      <c r="GQ37" s="177" t="e">
        <f t="shared" si="230"/>
        <v>#VALUE!</v>
      </c>
      <c r="GR37" s="371" t="e">
        <f t="shared" si="250"/>
        <v>#VALUE!</v>
      </c>
      <c r="GS37" s="342" t="e">
        <f t="shared" si="61"/>
        <v>#VALUE!</v>
      </c>
      <c r="GT37" s="343" t="e">
        <f t="shared" si="62"/>
        <v>#VALUE!</v>
      </c>
      <c r="GU37" s="344">
        <f t="shared" si="63"/>
        <v>652.87993173050472</v>
      </c>
      <c r="GV37" s="343">
        <f t="shared" si="252"/>
        <v>1781.8</v>
      </c>
      <c r="GW37" s="345">
        <f t="shared" si="64"/>
        <v>29500</v>
      </c>
      <c r="GX37" s="346">
        <f t="shared" si="65"/>
        <v>103.834395</v>
      </c>
      <c r="GY37" s="344" t="e">
        <f t="shared" si="66"/>
        <v>#VALUE!</v>
      </c>
      <c r="GZ37" s="345" t="e">
        <f t="shared" si="67"/>
        <v>#VALUE!</v>
      </c>
      <c r="HA37" s="342" t="e">
        <f t="shared" si="68"/>
        <v>#VALUE!</v>
      </c>
      <c r="HB37" s="5" t="e">
        <f t="shared" si="231"/>
        <v>#VALUE!</v>
      </c>
      <c r="HC37" s="343" t="e">
        <f t="shared" si="232"/>
        <v>#VALUE!</v>
      </c>
      <c r="HD37" s="363" t="e">
        <f t="shared" si="233"/>
        <v>#VALUE!</v>
      </c>
      <c r="HE37" s="344" t="e">
        <f t="shared" si="69"/>
        <v>#VALUE!</v>
      </c>
      <c r="HF37" s="5" t="e">
        <f t="shared" si="70"/>
        <v>#VALUE!</v>
      </c>
      <c r="HG37" s="343" t="e">
        <f t="shared" si="234"/>
        <v>#VALUE!</v>
      </c>
      <c r="HH37" s="349" t="e">
        <f t="shared" si="235"/>
        <v>#VALUE!</v>
      </c>
      <c r="HI37" s="317">
        <f t="shared" si="71"/>
        <v>3.1030000000000002</v>
      </c>
      <c r="HJ37" s="336"/>
      <c r="HK37" s="310">
        <f t="shared" si="137"/>
        <v>29</v>
      </c>
      <c r="HL37" s="348">
        <f t="shared" si="72"/>
        <v>1.129</v>
      </c>
      <c r="HM37" s="909" t="e">
        <f t="shared" si="138"/>
        <v>#VALUE!</v>
      </c>
      <c r="HN37" s="910">
        <f t="shared" si="73"/>
        <v>23.279996638784318</v>
      </c>
      <c r="HO37" s="911"/>
      <c r="HP37" s="912"/>
      <c r="HQ37" s="910" t="e">
        <f t="shared" si="74"/>
        <v>#VALUE!</v>
      </c>
      <c r="HR37" s="913" t="e">
        <f t="shared" si="75"/>
        <v>#VALUE!</v>
      </c>
      <c r="HS37" s="865">
        <f t="shared" si="251"/>
        <v>4.4440999999999997</v>
      </c>
      <c r="HT37" s="875">
        <f t="shared" si="76"/>
        <v>1.7899999999999999E-2</v>
      </c>
      <c r="HU37" s="876">
        <f t="shared" si="77"/>
        <v>0.49983246178344543</v>
      </c>
      <c r="HV37" s="872">
        <f t="shared" si="78"/>
        <v>2.6122334897986477E-2</v>
      </c>
      <c r="HW37" s="866">
        <f t="shared" si="79"/>
        <v>29500</v>
      </c>
      <c r="HX37" s="867">
        <f t="shared" si="80"/>
        <v>195.55891708333328</v>
      </c>
      <c r="HY37" s="866" t="e">
        <f t="shared" si="81"/>
        <v>#VALUE!</v>
      </c>
      <c r="HZ37" s="868">
        <f t="shared" si="82"/>
        <v>1228.7548018843033</v>
      </c>
      <c r="IA37" s="869" t="e">
        <f t="shared" si="83"/>
        <v>#VALUE!</v>
      </c>
      <c r="IB37" s="870" t="e">
        <f t="shared" si="84"/>
        <v>#VALUE!</v>
      </c>
      <c r="IC37" s="841" t="e">
        <f t="shared" si="85"/>
        <v>#VALUE!</v>
      </c>
      <c r="ID37" s="351">
        <f t="shared" si="86"/>
        <v>528.04999999999995</v>
      </c>
      <c r="IE37" s="843" t="e">
        <f t="shared" si="87"/>
        <v>#VALUE!</v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3.1030000000000002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>
        <v>6.2982815954583504E-3</v>
      </c>
      <c r="IP37" s="5" t="str">
        <f t="shared" si="91"/>
        <v/>
      </c>
      <c r="IQ37" s="714">
        <v>370</v>
      </c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1.1989147131549032</v>
      </c>
      <c r="C38" s="572">
        <f t="shared" si="3"/>
        <v>-0.90344814149240527</v>
      </c>
      <c r="D38" s="576">
        <f t="shared" si="4"/>
        <v>-0.26760080708403416</v>
      </c>
      <c r="E38" s="580">
        <f t="shared" si="5"/>
        <v>0.57466032582684212</v>
      </c>
      <c r="F38" s="572">
        <f t="shared" si="6"/>
        <v>0.77059244779586866</v>
      </c>
      <c r="G38" s="579">
        <f t="shared" si="7"/>
        <v>0.27559533617345428</v>
      </c>
      <c r="H38" s="580">
        <f t="shared" si="8"/>
        <v>0.3125</v>
      </c>
      <c r="I38" s="572">
        <f t="shared" si="9"/>
        <v>0.52</v>
      </c>
      <c r="J38" s="483">
        <f t="shared" si="10"/>
        <v>3.1059999999999999</v>
      </c>
      <c r="K38" s="806">
        <f t="shared" si="11"/>
        <v>1613</v>
      </c>
      <c r="L38" s="309"/>
      <c r="M38" s="164">
        <f t="shared" si="12"/>
        <v>3.1059999999999999</v>
      </c>
      <c r="N38" s="575">
        <f t="shared" si="13"/>
        <v>1.1989147131549032</v>
      </c>
      <c r="O38" s="572">
        <f t="shared" si="14"/>
        <v>-0.90344814149240527</v>
      </c>
      <c r="P38" s="576">
        <f t="shared" si="15"/>
        <v>-0.26760080708403416</v>
      </c>
      <c r="Q38" s="528">
        <f t="shared" si="140"/>
        <v>322.99996635896707</v>
      </c>
      <c r="R38" s="572">
        <f t="shared" si="101"/>
        <v>1.5012045276328554</v>
      </c>
      <c r="S38" s="577">
        <f t="shared" si="102"/>
        <v>-0.26760080708403416</v>
      </c>
      <c r="T38" s="578">
        <f t="shared" si="103"/>
        <v>-0.90156377712728597</v>
      </c>
      <c r="U38" s="572">
        <f t="shared" si="104"/>
        <v>-1.2003323662875069</v>
      </c>
      <c r="V38" s="579">
        <f t="shared" si="141"/>
        <v>-0.26760080708403416</v>
      </c>
      <c r="W38" s="528">
        <f t="shared" si="253"/>
        <v>233.0899663459727</v>
      </c>
      <c r="X38" s="572">
        <f t="shared" si="105"/>
        <v>1.5012045276328554</v>
      </c>
      <c r="Y38" s="573">
        <f t="shared" si="255"/>
        <v>-0.26760080708403416</v>
      </c>
      <c r="Z38" s="575">
        <f t="shared" si="18"/>
        <v>-0.57466032582684212</v>
      </c>
      <c r="AA38" s="572">
        <f t="shared" si="19"/>
        <v>-0.77059244779586866</v>
      </c>
      <c r="AB38" s="572">
        <f t="shared" si="20"/>
        <v>-0.27559533617345428</v>
      </c>
      <c r="AC38" s="579">
        <f t="shared" si="106"/>
        <v>1</v>
      </c>
      <c r="AD38" s="580">
        <f t="shared" si="142"/>
        <v>-0.57466032582684212</v>
      </c>
      <c r="AE38" s="572">
        <f t="shared" si="107"/>
        <v>-0.77059244779586866</v>
      </c>
      <c r="AF38" s="576">
        <f t="shared" si="108"/>
        <v>-0.27559533617345428</v>
      </c>
      <c r="AG38" s="545">
        <f t="shared" si="109"/>
        <v>-70.320874870512668</v>
      </c>
      <c r="AH38" s="546">
        <f t="shared" si="110"/>
        <v>125.07584807571277</v>
      </c>
      <c r="AI38" s="528">
        <f t="shared" si="111"/>
        <v>-74.00250455537153</v>
      </c>
      <c r="AJ38" s="529">
        <f t="shared" si="112"/>
        <v>-36.713305291608783</v>
      </c>
      <c r="AK38" s="578">
        <f t="shared" si="238"/>
        <v>0.96126170705176617</v>
      </c>
      <c r="AL38" s="572">
        <f t="shared" si="113"/>
        <v>4.81053379212526E-3</v>
      </c>
      <c r="AM38" s="577">
        <f t="shared" si="114"/>
        <v>-0.27559533617345428</v>
      </c>
      <c r="AN38" s="524">
        <f t="shared" si="115"/>
        <v>0.99999985561785909</v>
      </c>
      <c r="AO38" s="525">
        <f t="shared" si="116"/>
        <v>15.99999768988615</v>
      </c>
      <c r="AP38" s="528">
        <f t="shared" si="117"/>
        <v>0.28672834942412878</v>
      </c>
      <c r="AQ38" s="529">
        <f t="shared" si="21"/>
        <v>1.0122935181486001</v>
      </c>
      <c r="AS38" s="932">
        <f t="shared" si="143"/>
        <v>-126.9100336540273</v>
      </c>
      <c r="AT38" s="928">
        <f t="shared" si="22"/>
        <v>-0.20880449521318561</v>
      </c>
      <c r="AU38" s="418"/>
      <c r="AV38" s="164">
        <f t="shared" si="23"/>
        <v>3.1059999999999999</v>
      </c>
      <c r="AW38" s="829">
        <f>IFERROR(INDEX(MassProp!C$9:C$150,MATCH($M38,MassProp!$B$9:$B$150,0)),"")</f>
        <v>1.3966000000000001</v>
      </c>
      <c r="AX38" s="830">
        <f>IFERROR(INDEX(MassProp!D$9:D$150,MATCH($M38,MassProp!$B$9:$B$150,0)),"")</f>
        <v>0.24829999999999999</v>
      </c>
      <c r="AY38" s="831">
        <f>IFERROR(INDEX(MassProp!E$9:E$150,MATCH($M38,MassProp!$B$9:$B$150,0)),"")</f>
        <v>6.0299999999999999E-2</v>
      </c>
      <c r="AZ38" s="297">
        <f t="shared" si="144"/>
        <v>0.52923375691946128</v>
      </c>
      <c r="BA38" s="296">
        <f t="shared" si="24"/>
        <v>2.7658910724288652E-2</v>
      </c>
      <c r="BB38" s="190">
        <f t="shared" si="145"/>
        <v>0.29043782854651895</v>
      </c>
      <c r="BC38" s="9"/>
      <c r="BD38" s="5">
        <f t="shared" si="146"/>
        <v>1.3966000000000001</v>
      </c>
      <c r="BE38" s="6">
        <f t="shared" si="25"/>
        <v>2.2837021462484786E-2</v>
      </c>
      <c r="BF38" s="4">
        <f t="shared" si="26"/>
        <v>1.1989147131549032</v>
      </c>
      <c r="BG38" s="5">
        <f t="shared" si="27"/>
        <v>-0.90344814149240527</v>
      </c>
      <c r="BH38" s="10">
        <f t="shared" si="28"/>
        <v>-0.26760080708403416</v>
      </c>
      <c r="BI38" s="9">
        <f t="shared" si="147"/>
        <v>1.1989147131549032</v>
      </c>
      <c r="BJ38" s="5">
        <f t="shared" si="29"/>
        <v>-0.56669591631413341</v>
      </c>
      <c r="BK38" s="8">
        <f t="shared" si="30"/>
        <v>-1.2091941050834849</v>
      </c>
      <c r="BL38" s="173">
        <f t="shared" si="31"/>
        <v>2.0173067401936491</v>
      </c>
      <c r="BM38" s="5">
        <f t="shared" si="32"/>
        <v>-1.4445444529171405</v>
      </c>
      <c r="BN38" s="6">
        <f t="shared" si="33"/>
        <v>-0.46111895052789398</v>
      </c>
      <c r="BO38" s="4">
        <f t="shared" si="148"/>
        <v>-0.57466032582684223</v>
      </c>
      <c r="BP38" s="5">
        <f t="shared" si="239"/>
        <v>-0.77059244779586855</v>
      </c>
      <c r="BQ38" s="5">
        <f t="shared" si="149"/>
        <v>-0.27559533617345433</v>
      </c>
      <c r="BR38" s="6">
        <f t="shared" si="150"/>
        <v>-8.0971129497681066E-2</v>
      </c>
      <c r="BS38" s="4">
        <f t="shared" si="118"/>
        <v>0</v>
      </c>
      <c r="BT38" s="5">
        <f t="shared" si="118"/>
        <v>0</v>
      </c>
      <c r="BU38" s="10">
        <f t="shared" si="119"/>
        <v>2.2837021462484786E-2</v>
      </c>
      <c r="BV38" s="9">
        <f t="shared" si="120"/>
        <v>0</v>
      </c>
      <c r="BW38" s="5">
        <f t="shared" si="121"/>
        <v>1</v>
      </c>
      <c r="BX38" s="8">
        <f t="shared" si="122"/>
        <v>2.2837021462484786E-2</v>
      </c>
      <c r="BY38" s="173">
        <f t="shared" si="123"/>
        <v>1</v>
      </c>
      <c r="BZ38" s="5">
        <f t="shared" si="124"/>
        <v>0</v>
      </c>
      <c r="CA38" s="6">
        <f t="shared" si="125"/>
        <v>2.2837021462484786E-2</v>
      </c>
      <c r="CB38" s="4">
        <f t="shared" si="151"/>
        <v>0</v>
      </c>
      <c r="CC38" s="5">
        <f t="shared" si="152"/>
        <v>0</v>
      </c>
      <c r="CD38" s="5">
        <f t="shared" si="153"/>
        <v>-1</v>
      </c>
      <c r="CE38" s="6">
        <f t="shared" si="154"/>
        <v>2.2837021462484786E-2</v>
      </c>
      <c r="CF38" s="4">
        <f t="shared" si="155"/>
        <v>0.77059244779586855</v>
      </c>
      <c r="CG38" s="5">
        <f t="shared" si="156"/>
        <v>-0.57466032582684223</v>
      </c>
      <c r="CH38" s="5">
        <f t="shared" si="157"/>
        <v>0</v>
      </c>
      <c r="CI38" s="4">
        <f t="shared" si="126"/>
        <v>0</v>
      </c>
      <c r="CJ38" s="5">
        <f t="shared" si="127"/>
        <v>-0.11324391558007015</v>
      </c>
      <c r="CK38" s="8">
        <f t="shared" si="128"/>
        <v>2.2837021462484786E-2</v>
      </c>
      <c r="CL38" s="173">
        <f t="shared" si="129"/>
        <v>0.77059244779586855</v>
      </c>
      <c r="CM38" s="5">
        <f t="shared" si="130"/>
        <v>-0.68790424140691242</v>
      </c>
      <c r="CN38" s="6">
        <f t="shared" si="131"/>
        <v>2.2837021462484786E-2</v>
      </c>
      <c r="CO38" s="167">
        <f t="shared" si="35"/>
        <v>0.3125</v>
      </c>
      <c r="CP38" s="4">
        <f t="shared" si="240"/>
        <v>0.92404721067944084</v>
      </c>
      <c r="CQ38" s="5">
        <f t="shared" si="241"/>
        <v>-2.7559472828820972</v>
      </c>
      <c r="CR38" s="5">
        <f t="shared" si="158"/>
        <v>2.0485170903198338</v>
      </c>
      <c r="CS38" s="8">
        <f t="shared" si="159"/>
        <v>2.3539412668387882E-2</v>
      </c>
      <c r="CT38" s="9">
        <f t="shared" si="160"/>
        <v>1.5742555372288809</v>
      </c>
      <c r="CU38" s="6">
        <f t="shared" si="161"/>
        <v>1.408219006312766</v>
      </c>
      <c r="CV38" s="4">
        <f t="shared" si="242"/>
        <v>1.2131094278894035</v>
      </c>
      <c r="CW38" s="5">
        <f t="shared" si="162"/>
        <v>-1.0179061155387295</v>
      </c>
      <c r="CX38" s="8">
        <f t="shared" si="163"/>
        <v>2.2837021462484786E-2</v>
      </c>
      <c r="CY38" s="9">
        <f t="shared" si="164"/>
        <v>1.08516293110722</v>
      </c>
      <c r="CZ38" s="5">
        <f t="shared" si="165"/>
        <v>-0.9224915085833163</v>
      </c>
      <c r="DA38" s="6">
        <f t="shared" si="166"/>
        <v>2.2837021462484786E-2</v>
      </c>
      <c r="DB38" s="4">
        <f t="shared" si="167"/>
        <v>0</v>
      </c>
      <c r="DC38" s="5">
        <f t="shared" si="167"/>
        <v>0</v>
      </c>
      <c r="DD38" s="10">
        <f t="shared" si="168"/>
        <v>-10</v>
      </c>
      <c r="DE38" s="9">
        <f t="shared" si="169"/>
        <v>0</v>
      </c>
      <c r="DF38" s="5">
        <f t="shared" si="169"/>
        <v>0</v>
      </c>
      <c r="DG38" s="10">
        <f t="shared" si="170"/>
        <v>10</v>
      </c>
      <c r="DH38" s="70">
        <f t="shared" si="171"/>
        <v>1.3966000000000001</v>
      </c>
      <c r="DI38" s="4">
        <f t="shared" si="172"/>
        <v>0</v>
      </c>
      <c r="DJ38" s="5">
        <f t="shared" si="173"/>
        <v>0</v>
      </c>
      <c r="DK38" s="10">
        <f t="shared" si="174"/>
        <v>20</v>
      </c>
      <c r="DL38" s="9">
        <f t="shared" si="175"/>
        <v>1.2131094278894035</v>
      </c>
      <c r="DM38" s="173">
        <f t="shared" si="176"/>
        <v>-1.0179061155387295</v>
      </c>
      <c r="DN38" s="178">
        <f t="shared" si="177"/>
        <v>10.022837021462484</v>
      </c>
      <c r="DO38" s="9">
        <f t="shared" si="178"/>
        <v>-0.12794649678218351</v>
      </c>
      <c r="DP38" s="173">
        <f t="shared" si="179"/>
        <v>9.541460695541315E-2</v>
      </c>
      <c r="DQ38" s="11">
        <f t="shared" si="180"/>
        <v>0</v>
      </c>
      <c r="DR38" s="173">
        <f t="shared" si="181"/>
        <v>200.45674042924969</v>
      </c>
      <c r="DS38" s="5">
        <f t="shared" si="182"/>
        <v>0</v>
      </c>
      <c r="DT38" s="5">
        <f t="shared" si="183"/>
        <v>400</v>
      </c>
      <c r="DU38" s="5">
        <f t="shared" si="184"/>
        <v>2.5474253259289273E-2</v>
      </c>
      <c r="DV38" s="5">
        <f t="shared" si="185"/>
        <v>-0.25233621344352725</v>
      </c>
      <c r="DW38" s="5">
        <f t="shared" si="186"/>
        <v>102.96502930288426</v>
      </c>
      <c r="DX38" s="167">
        <f t="shared" si="187"/>
        <v>101.01453774288426</v>
      </c>
      <c r="DY38" s="9">
        <f t="shared" si="188"/>
        <v>10.18970130371571</v>
      </c>
      <c r="DZ38" s="5">
        <f t="shared" si="189"/>
        <v>-100.93448537741089</v>
      </c>
      <c r="EA38" s="10">
        <f t="shared" si="190"/>
        <v>222.91031363411457</v>
      </c>
      <c r="EB38" s="6">
        <f t="shared" si="191"/>
        <v>7916.3808249535587</v>
      </c>
      <c r="EC38" s="173">
        <f t="shared" si="192"/>
        <v>18.637301085770229</v>
      </c>
      <c r="ED38" s="5">
        <f t="shared" si="193"/>
        <v>1.173777250864583</v>
      </c>
      <c r="EE38" s="4">
        <f t="shared" si="194"/>
        <v>-1.1714679555096821</v>
      </c>
      <c r="EF38" s="5">
        <f t="shared" si="195"/>
        <v>0.76036464226973166</v>
      </c>
      <c r="EG38" s="10">
        <f t="shared" si="196"/>
        <v>2.2837021462484786E-2</v>
      </c>
      <c r="EH38" s="9">
        <f t="shared" si="197"/>
        <v>1.0629287406386578</v>
      </c>
      <c r="EI38" s="5">
        <f t="shared" si="198"/>
        <v>-0.90591062049427984</v>
      </c>
      <c r="EJ38" s="6">
        <f t="shared" si="199"/>
        <v>2.2837021462484786E-2</v>
      </c>
      <c r="EK38" s="236" t="b">
        <f t="shared" si="200"/>
        <v>0</v>
      </c>
      <c r="EL38" s="238" t="b">
        <f t="shared" si="201"/>
        <v>0</v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e">
        <f t="shared" si="205"/>
        <v>#VALUE!</v>
      </c>
      <c r="EQ38" s="5" t="e">
        <f t="shared" si="206"/>
        <v>#VALUE!</v>
      </c>
      <c r="ER38" s="7" t="str">
        <f t="shared" si="207"/>
        <v/>
      </c>
      <c r="ES38" s="21">
        <f t="shared" si="132"/>
        <v>-0.57466032582684212</v>
      </c>
      <c r="ET38" s="5">
        <f t="shared" si="44"/>
        <v>-0.77059244779586866</v>
      </c>
      <c r="EU38" s="10">
        <f t="shared" si="45"/>
        <v>-0.27559533617345428</v>
      </c>
      <c r="EV38" s="174" t="e">
        <f t="shared" si="254"/>
        <v>#VALUE!</v>
      </c>
      <c r="EW38" s="9" t="e">
        <f t="shared" si="133"/>
        <v>#VALUE!</v>
      </c>
      <c r="EX38" s="5" t="e">
        <f t="shared" si="47"/>
        <v>#VALUE!</v>
      </c>
      <c r="EY38" s="6">
        <f t="shared" si="208"/>
        <v>-0.27559533617345428</v>
      </c>
      <c r="EZ38" s="51" t="e">
        <f t="shared" si="209"/>
        <v>#VALUE!</v>
      </c>
      <c r="FA38" s="266" t="e">
        <f t="shared" si="134"/>
        <v>#VALUE!</v>
      </c>
      <c r="FB38" s="267" t="e">
        <f t="shared" si="135"/>
        <v>#VALUE!</v>
      </c>
      <c r="FC38" s="269" t="e">
        <f t="shared" si="48"/>
        <v>#VALUE!</v>
      </c>
      <c r="FD38" s="4" t="e">
        <f t="shared" si="136"/>
        <v>#VALUE!</v>
      </c>
      <c r="FE38" s="5" t="e">
        <f t="shared" si="49"/>
        <v>#VALUE!</v>
      </c>
      <c r="FF38" s="7" t="e">
        <f t="shared" si="210"/>
        <v>#VALUE!</v>
      </c>
      <c r="FG38" s="173" t="e">
        <f t="shared" si="211"/>
        <v>#VALUE!</v>
      </c>
      <c r="FH38" s="5" t="e">
        <f t="shared" si="50"/>
        <v>#VALUE!</v>
      </c>
      <c r="FI38" s="10" t="e">
        <f t="shared" si="51"/>
        <v>#VALUE!</v>
      </c>
      <c r="FJ38" s="279" t="e">
        <f t="shared" si="212"/>
        <v>#VALUE!</v>
      </c>
      <c r="FK38" s="4">
        <f t="shared" si="52"/>
        <v>0.96127374388331277</v>
      </c>
      <c r="FL38" s="5" t="e">
        <f t="shared" si="213"/>
        <v>#VALUE!</v>
      </c>
      <c r="FM38" s="8" t="e">
        <f t="shared" si="214"/>
        <v>#VALUE!</v>
      </c>
      <c r="FN38" s="9" t="e">
        <f t="shared" si="215"/>
        <v>#VALUE!</v>
      </c>
      <c r="FO38" s="10" t="e">
        <f t="shared" si="53"/>
        <v>#VALUE!</v>
      </c>
      <c r="FP38" s="277" t="e">
        <f t="shared" si="54"/>
        <v>#VALUE!</v>
      </c>
      <c r="FQ38" s="173" t="e">
        <f t="shared" si="243"/>
        <v>#VALUE!</v>
      </c>
      <c r="FR38" s="10" t="e">
        <f t="shared" si="216"/>
        <v>#VALUE!</v>
      </c>
      <c r="FS38" s="9" t="e">
        <f t="shared" si="217"/>
        <v>#VALUE!</v>
      </c>
      <c r="FT38" s="6" t="e">
        <f t="shared" si="218"/>
        <v>#VALUE!</v>
      </c>
      <c r="FU38" s="4" t="e">
        <f t="shared" si="219"/>
        <v>#VALUE!</v>
      </c>
      <c r="FV38" s="5" t="e">
        <f t="shared" si="220"/>
        <v>#VALUE!</v>
      </c>
      <c r="FW38" s="8" t="e">
        <f t="shared" si="244"/>
        <v>#VALUE!</v>
      </c>
      <c r="FX38" s="9" t="e">
        <f t="shared" si="245"/>
        <v>#VALUE!</v>
      </c>
      <c r="FY38" s="10" t="e">
        <f t="shared" si="55"/>
        <v>#VALUE!</v>
      </c>
      <c r="FZ38" s="277" t="e">
        <f t="shared" si="246"/>
        <v>#VALUE!</v>
      </c>
      <c r="GA38" s="177" t="e">
        <f t="shared" si="221"/>
        <v>#VALUE!</v>
      </c>
      <c r="GB38" s="4" t="e">
        <f t="shared" si="222"/>
        <v>#VALUE!</v>
      </c>
      <c r="GC38" s="5" t="e">
        <f t="shared" si="223"/>
        <v>#VALUE!</v>
      </c>
      <c r="GD38" s="10" t="e">
        <f t="shared" si="224"/>
        <v>#VALUE!</v>
      </c>
      <c r="GE38" s="311" t="e">
        <f t="shared" si="225"/>
        <v>#VALUE!</v>
      </c>
      <c r="GF38" s="341" t="e">
        <f t="shared" si="247"/>
        <v>#VALUE!</v>
      </c>
      <c r="GG38" s="285" t="e">
        <f t="shared" si="56"/>
        <v>#VALUE!</v>
      </c>
      <c r="GH38" s="286" t="e">
        <f t="shared" si="57"/>
        <v>#VALUE!</v>
      </c>
      <c r="GI38" s="281" t="e">
        <f t="shared" si="58"/>
        <v>#VALUE!</v>
      </c>
      <c r="GJ38" s="167">
        <f t="shared" si="226"/>
        <v>1.3966000000000001</v>
      </c>
      <c r="GK38" s="174">
        <f t="shared" si="59"/>
        <v>0.73138993493568449</v>
      </c>
      <c r="GL38" s="174">
        <f t="shared" si="227"/>
        <v>6.0299999999999999E-2</v>
      </c>
      <c r="GM38" s="177">
        <f t="shared" si="248"/>
        <v>0.52923375691946128</v>
      </c>
      <c r="GN38" s="280">
        <f t="shared" si="228"/>
        <v>2.7658910724288652E-2</v>
      </c>
      <c r="GO38" s="4" t="e">
        <f t="shared" si="229"/>
        <v>#VALUE!</v>
      </c>
      <c r="GP38" s="8" t="e">
        <f t="shared" si="249"/>
        <v>#VALUE!</v>
      </c>
      <c r="GQ38" s="177" t="e">
        <f t="shared" si="230"/>
        <v>#VALUE!</v>
      </c>
      <c r="GR38" s="371" t="e">
        <f t="shared" si="250"/>
        <v>#VALUE!</v>
      </c>
      <c r="GS38" s="342" t="e">
        <f t="shared" si="61"/>
        <v>#VALUE!</v>
      </c>
      <c r="GT38" s="343" t="e">
        <f t="shared" si="62"/>
        <v>#VALUE!</v>
      </c>
      <c r="GU38" s="344">
        <f t="shared" si="63"/>
        <v>1301.0329857603424</v>
      </c>
      <c r="GV38" s="343">
        <f t="shared" si="252"/>
        <v>1778.85</v>
      </c>
      <c r="GW38" s="345">
        <f t="shared" si="64"/>
        <v>29500</v>
      </c>
      <c r="GX38" s="346">
        <f t="shared" si="65"/>
        <v>207.0284925</v>
      </c>
      <c r="GY38" s="344" t="e">
        <f t="shared" si="66"/>
        <v>#VALUE!</v>
      </c>
      <c r="GZ38" s="345" t="e">
        <f t="shared" si="67"/>
        <v>#VALUE!</v>
      </c>
      <c r="HA38" s="342" t="e">
        <f t="shared" si="68"/>
        <v>#VALUE!</v>
      </c>
      <c r="HB38" s="5" t="e">
        <f t="shared" si="231"/>
        <v>#VALUE!</v>
      </c>
      <c r="HC38" s="343" t="e">
        <f t="shared" si="232"/>
        <v>#VALUE!</v>
      </c>
      <c r="HD38" s="363" t="e">
        <f t="shared" si="233"/>
        <v>#VALUE!</v>
      </c>
      <c r="HE38" s="344" t="e">
        <f t="shared" si="69"/>
        <v>#VALUE!</v>
      </c>
      <c r="HF38" s="5" t="e">
        <f t="shared" si="70"/>
        <v>#VALUE!</v>
      </c>
      <c r="HG38" s="343" t="e">
        <f t="shared" si="234"/>
        <v>#VALUE!</v>
      </c>
      <c r="HH38" s="349" t="e">
        <f t="shared" si="235"/>
        <v>#VALUE!</v>
      </c>
      <c r="HI38" s="317">
        <f t="shared" si="71"/>
        <v>3.1059999999999999</v>
      </c>
      <c r="HJ38" s="336"/>
      <c r="HK38" s="310">
        <f t="shared" si="137"/>
        <v>30</v>
      </c>
      <c r="HL38" s="348">
        <f t="shared" si="72"/>
        <v>6.13</v>
      </c>
      <c r="HM38" s="909" t="e">
        <f t="shared" si="138"/>
        <v>#NUM!</v>
      </c>
      <c r="HN38" s="910">
        <f t="shared" si="73"/>
        <v>23.839996557930323</v>
      </c>
      <c r="HO38" s="911"/>
      <c r="HP38" s="912"/>
      <c r="HQ38" s="910" t="e">
        <f t="shared" si="74"/>
        <v>#NUM!</v>
      </c>
      <c r="HR38" s="913" t="e">
        <f t="shared" si="75"/>
        <v>#NUM!</v>
      </c>
      <c r="HS38" s="865">
        <f t="shared" si="251"/>
        <v>4.5156999999999998</v>
      </c>
      <c r="HT38" s="875">
        <f t="shared" si="76"/>
        <v>1.7399999999999999E-2</v>
      </c>
      <c r="HU38" s="876">
        <f t="shared" si="77"/>
        <v>0.49369836753422214</v>
      </c>
      <c r="HV38" s="872">
        <f t="shared" si="78"/>
        <v>2.5801753750250924E-2</v>
      </c>
      <c r="HW38" s="866">
        <f t="shared" si="79"/>
        <v>29500</v>
      </c>
      <c r="HX38" s="867">
        <f t="shared" si="80"/>
        <v>193.15906749999996</v>
      </c>
      <c r="HY38" s="866" t="e">
        <f t="shared" si="81"/>
        <v>#NUM!</v>
      </c>
      <c r="HZ38" s="868">
        <f t="shared" si="82"/>
        <v>1213.6751535216295</v>
      </c>
      <c r="IA38" s="869" t="e">
        <f t="shared" si="83"/>
        <v>#NUM!</v>
      </c>
      <c r="IB38" s="870" t="e">
        <f t="shared" si="84"/>
        <v>#NUM!</v>
      </c>
      <c r="IC38" s="841" t="e">
        <f t="shared" si="85"/>
        <v>#NUM!</v>
      </c>
      <c r="ID38" s="351">
        <f t="shared" si="86"/>
        <v>513.29999999999995</v>
      </c>
      <c r="IE38" s="843" t="e">
        <f t="shared" si="87"/>
        <v>#NUM!</v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3.1059999999999999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>
        <v>0</v>
      </c>
      <c r="IP38" s="5" t="str">
        <f t="shared" si="91"/>
        <v/>
      </c>
      <c r="IQ38" s="714">
        <v>0</v>
      </c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1.7637986220056461</v>
      </c>
      <c r="C39" s="572">
        <f t="shared" si="3"/>
        <v>-1.3296019291691328</v>
      </c>
      <c r="D39" s="576">
        <f t="shared" si="4"/>
        <v>-0.14670044244853447</v>
      </c>
      <c r="E39" s="580">
        <f t="shared" si="5"/>
        <v>0.59781955242295559</v>
      </c>
      <c r="F39" s="572">
        <f t="shared" si="6"/>
        <v>0.75313542910271458</v>
      </c>
      <c r="G39" s="579">
        <f t="shared" si="7"/>
        <v>0.27458843415389345</v>
      </c>
      <c r="H39" s="580">
        <f t="shared" si="8"/>
        <v>0.3125</v>
      </c>
      <c r="I39" s="572">
        <f t="shared" si="9"/>
        <v>0.52</v>
      </c>
      <c r="J39" s="483">
        <f t="shared" si="10"/>
        <v>3.109</v>
      </c>
      <c r="K39" s="806">
        <f t="shared" si="11"/>
        <v>1613</v>
      </c>
      <c r="L39" s="309"/>
      <c r="M39" s="164">
        <f t="shared" si="12"/>
        <v>3.109</v>
      </c>
      <c r="N39" s="575">
        <f t="shared" si="13"/>
        <v>1.7637986220056461</v>
      </c>
      <c r="O39" s="572">
        <f t="shared" si="14"/>
        <v>-1.3296019291691328</v>
      </c>
      <c r="P39" s="576">
        <f t="shared" si="15"/>
        <v>-0.14670044244853447</v>
      </c>
      <c r="Q39" s="528">
        <f t="shared" si="140"/>
        <v>322.9899663604109</v>
      </c>
      <c r="R39" s="572">
        <f t="shared" si="101"/>
        <v>2.2088066617608919</v>
      </c>
      <c r="S39" s="577">
        <f t="shared" si="102"/>
        <v>-0.14670044244853447</v>
      </c>
      <c r="T39" s="578">
        <f t="shared" si="103"/>
        <v>-1.32682972198203</v>
      </c>
      <c r="U39" s="572">
        <f t="shared" si="104"/>
        <v>-1.7658849786734085</v>
      </c>
      <c r="V39" s="579">
        <f t="shared" si="141"/>
        <v>-0.14670044244853447</v>
      </c>
      <c r="W39" s="528">
        <f t="shared" si="253"/>
        <v>233.07996634741653</v>
      </c>
      <c r="X39" s="572">
        <f t="shared" si="105"/>
        <v>2.2088066617608919</v>
      </c>
      <c r="Y39" s="573">
        <f t="shared" si="255"/>
        <v>-0.14670044244853447</v>
      </c>
      <c r="Z39" s="575">
        <f t="shared" si="18"/>
        <v>-0.59781955242295559</v>
      </c>
      <c r="AA39" s="572">
        <f t="shared" si="19"/>
        <v>-0.75313542910271458</v>
      </c>
      <c r="AB39" s="572">
        <f t="shared" si="20"/>
        <v>-0.27458843415389345</v>
      </c>
      <c r="AC39" s="579">
        <f t="shared" si="106"/>
        <v>1</v>
      </c>
      <c r="AD39" s="580">
        <f t="shared" si="142"/>
        <v>-0.59781955242295559</v>
      </c>
      <c r="AE39" s="572">
        <f t="shared" si="107"/>
        <v>-0.75313542910271458</v>
      </c>
      <c r="AF39" s="576">
        <f t="shared" si="108"/>
        <v>-0.27458843415389345</v>
      </c>
      <c r="AG39" s="545">
        <f t="shared" si="109"/>
        <v>-69.968462944456874</v>
      </c>
      <c r="AH39" s="546">
        <f t="shared" si="110"/>
        <v>126.71389368530608</v>
      </c>
      <c r="AI39" s="528">
        <f t="shared" si="111"/>
        <v>-74.062510965703467</v>
      </c>
      <c r="AJ39" s="529">
        <f t="shared" si="112"/>
        <v>-38.441643095001979</v>
      </c>
      <c r="AK39" s="578">
        <f t="shared" si="238"/>
        <v>0.96126170705176617</v>
      </c>
      <c r="AL39" s="572">
        <f t="shared" si="113"/>
        <v>-2.4023371637582058E-2</v>
      </c>
      <c r="AM39" s="577">
        <f t="shared" si="114"/>
        <v>-0.27458843415389345</v>
      </c>
      <c r="AN39" s="524">
        <f t="shared" si="115"/>
        <v>-4.9999992780894003</v>
      </c>
      <c r="AO39" s="525">
        <f t="shared" si="116"/>
        <v>15.99999768988615</v>
      </c>
      <c r="AP39" s="528">
        <f t="shared" si="117"/>
        <v>-1.4316094554128869</v>
      </c>
      <c r="AQ39" s="529">
        <f t="shared" si="21"/>
        <v>0.68803880624255997</v>
      </c>
      <c r="AS39" s="932">
        <f t="shared" si="143"/>
        <v>-126.92003365258347</v>
      </c>
      <c r="AT39" s="928">
        <f t="shared" si="22"/>
        <v>-8.7899500948724715E-2</v>
      </c>
      <c r="AU39" s="418"/>
      <c r="AV39" s="164">
        <f t="shared" si="23"/>
        <v>3.109</v>
      </c>
      <c r="AW39" s="829">
        <f>IFERROR(INDEX(MassProp!C$9:C$150,MATCH($M39,MassProp!$B$9:$B$150,0)),"")</f>
        <v>2.1025999999999998</v>
      </c>
      <c r="AX39" s="830">
        <f>IFERROR(INDEX(MassProp!D$9:D$150,MATCH($M39,MassProp!$B$9:$B$150,0)),"")</f>
        <v>0.4032</v>
      </c>
      <c r="AY39" s="831">
        <f>IFERROR(INDEX(MassProp!E$9:E$150,MATCH($M39,MassProp!$B$9:$B$150,0)),"")</f>
        <v>3.61E-2</v>
      </c>
      <c r="AZ39" s="297">
        <f t="shared" si="144"/>
        <v>0.47695596870695217</v>
      </c>
      <c r="BA39" s="296">
        <f t="shared" si="24"/>
        <v>2.492675946196261E-2</v>
      </c>
      <c r="BB39" s="190">
        <f t="shared" si="145"/>
        <v>0.32443283428205805</v>
      </c>
      <c r="BC39" s="9"/>
      <c r="BD39" s="5">
        <f t="shared" si="146"/>
        <v>2.1025999999999998</v>
      </c>
      <c r="BE39" s="6">
        <f t="shared" si="25"/>
        <v>0.17773239183352357</v>
      </c>
      <c r="BF39" s="4">
        <f t="shared" si="26"/>
        <v>1.7637986220056461</v>
      </c>
      <c r="BG39" s="5">
        <f t="shared" si="27"/>
        <v>-1.3296019291691328</v>
      </c>
      <c r="BH39" s="10">
        <f t="shared" si="28"/>
        <v>-0.14670044244853447</v>
      </c>
      <c r="BI39" s="9">
        <f t="shared" si="147"/>
        <v>1.7637986220056461</v>
      </c>
      <c r="BJ39" s="5">
        <f t="shared" si="29"/>
        <v>-0.98706460694125941</v>
      </c>
      <c r="BK39" s="8">
        <f t="shared" si="30"/>
        <v>-1.0862046643022514</v>
      </c>
      <c r="BL39" s="173">
        <f t="shared" si="31"/>
        <v>2.5654293242250765</v>
      </c>
      <c r="BM39" s="5">
        <f t="shared" si="32"/>
        <v>-1.8912559225771988</v>
      </c>
      <c r="BN39" s="6">
        <f t="shared" si="33"/>
        <v>-0.35147595111095942</v>
      </c>
      <c r="BO39" s="4">
        <f t="shared" si="148"/>
        <v>-0.59781955242295526</v>
      </c>
      <c r="BP39" s="5">
        <f t="shared" si="239"/>
        <v>-0.75313542910271458</v>
      </c>
      <c r="BQ39" s="5">
        <f t="shared" si="149"/>
        <v>-0.27458843415389311</v>
      </c>
      <c r="BR39" s="6">
        <f t="shared" si="150"/>
        <v>1.2780738529421978E-2</v>
      </c>
      <c r="BS39" s="4">
        <f t="shared" si="118"/>
        <v>0</v>
      </c>
      <c r="BT39" s="5">
        <f t="shared" si="118"/>
        <v>0</v>
      </c>
      <c r="BU39" s="10">
        <f t="shared" si="119"/>
        <v>0.17773239183352357</v>
      </c>
      <c r="BV39" s="9">
        <f t="shared" si="120"/>
        <v>0</v>
      </c>
      <c r="BW39" s="5">
        <f t="shared" si="121"/>
        <v>1</v>
      </c>
      <c r="BX39" s="8">
        <f t="shared" si="122"/>
        <v>0.17773239183352357</v>
      </c>
      <c r="BY39" s="173">
        <f t="shared" si="123"/>
        <v>1</v>
      </c>
      <c r="BZ39" s="5">
        <f t="shared" si="124"/>
        <v>0</v>
      </c>
      <c r="CA39" s="6">
        <f t="shared" si="125"/>
        <v>0.17773239183352357</v>
      </c>
      <c r="CB39" s="4">
        <f t="shared" si="151"/>
        <v>0</v>
      </c>
      <c r="CC39" s="5">
        <f t="shared" si="152"/>
        <v>0</v>
      </c>
      <c r="CD39" s="5">
        <f t="shared" si="153"/>
        <v>-1</v>
      </c>
      <c r="CE39" s="6">
        <f t="shared" si="154"/>
        <v>0.17773239183352357</v>
      </c>
      <c r="CF39" s="4">
        <f t="shared" si="155"/>
        <v>0.75313542910271458</v>
      </c>
      <c r="CG39" s="5">
        <f t="shared" si="156"/>
        <v>-0.59781955242295526</v>
      </c>
      <c r="CH39" s="5">
        <f t="shared" si="157"/>
        <v>0</v>
      </c>
      <c r="CI39" s="4">
        <f t="shared" si="126"/>
        <v>0</v>
      </c>
      <c r="CJ39" s="5">
        <f t="shared" si="127"/>
        <v>-4.7830070463540229E-2</v>
      </c>
      <c r="CK39" s="8">
        <f t="shared" si="128"/>
        <v>0.17773239183352357</v>
      </c>
      <c r="CL39" s="173">
        <f t="shared" si="129"/>
        <v>0.75313542910271458</v>
      </c>
      <c r="CM39" s="5">
        <f t="shared" si="130"/>
        <v>-0.64564962288649552</v>
      </c>
      <c r="CN39" s="6">
        <f t="shared" si="131"/>
        <v>0.17773239183352357</v>
      </c>
      <c r="CO39" s="167">
        <f t="shared" si="35"/>
        <v>0.3125</v>
      </c>
      <c r="CP39" s="4">
        <f t="shared" si="240"/>
        <v>0.92460119182891265</v>
      </c>
      <c r="CQ39" s="5">
        <f t="shared" si="241"/>
        <v>-4.189295021829432</v>
      </c>
      <c r="CR39" s="5">
        <f t="shared" si="158"/>
        <v>4.7615250907188953</v>
      </c>
      <c r="CS39" s="8">
        <f t="shared" si="159"/>
        <v>-5.9854315282986903E-2</v>
      </c>
      <c r="CT39" s="9" t="e">
        <f t="shared" si="160"/>
        <v>#NUM!</v>
      </c>
      <c r="CU39" s="6" t="e">
        <f t="shared" si="161"/>
        <v>#NUM!</v>
      </c>
      <c r="CV39" s="4" t="e">
        <f t="shared" si="242"/>
        <v>#NUM!</v>
      </c>
      <c r="CW39" s="5" t="e">
        <f t="shared" si="162"/>
        <v>#NUM!</v>
      </c>
      <c r="CX39" s="8" t="e">
        <f t="shared" si="163"/>
        <v>#NUM!</v>
      </c>
      <c r="CY39" s="9" t="e">
        <f t="shared" si="164"/>
        <v>#NUM!</v>
      </c>
      <c r="CZ39" s="5" t="e">
        <f t="shared" si="165"/>
        <v>#NUM!</v>
      </c>
      <c r="DA39" s="6" t="e">
        <f t="shared" si="166"/>
        <v>#NUM!</v>
      </c>
      <c r="DB39" s="4">
        <f t="shared" si="167"/>
        <v>0</v>
      </c>
      <c r="DC39" s="5">
        <f t="shared" si="167"/>
        <v>0</v>
      </c>
      <c r="DD39" s="10">
        <f t="shared" si="168"/>
        <v>-10</v>
      </c>
      <c r="DE39" s="9">
        <f t="shared" si="169"/>
        <v>0</v>
      </c>
      <c r="DF39" s="5">
        <f t="shared" si="169"/>
        <v>0</v>
      </c>
      <c r="DG39" s="10">
        <f t="shared" si="170"/>
        <v>10</v>
      </c>
      <c r="DH39" s="70">
        <f t="shared" si="171"/>
        <v>2.1025999999999998</v>
      </c>
      <c r="DI39" s="4">
        <f t="shared" si="172"/>
        <v>0</v>
      </c>
      <c r="DJ39" s="5">
        <f t="shared" si="173"/>
        <v>0</v>
      </c>
      <c r="DK39" s="10">
        <f t="shared" si="174"/>
        <v>20</v>
      </c>
      <c r="DL39" s="9" t="e">
        <f t="shared" si="175"/>
        <v>#NUM!</v>
      </c>
      <c r="DM39" s="173" t="e">
        <f t="shared" si="176"/>
        <v>#NUM!</v>
      </c>
      <c r="DN39" s="178" t="e">
        <f t="shared" si="177"/>
        <v>#NUM!</v>
      </c>
      <c r="DO39" s="9" t="e">
        <f t="shared" si="178"/>
        <v>#NUM!</v>
      </c>
      <c r="DP39" s="173" t="e">
        <f t="shared" si="179"/>
        <v>#NUM!</v>
      </c>
      <c r="DQ39" s="11" t="e">
        <f t="shared" si="180"/>
        <v>#NUM!</v>
      </c>
      <c r="DR39" s="173" t="e">
        <f t="shared" si="181"/>
        <v>#NUM!</v>
      </c>
      <c r="DS39" s="5" t="e">
        <f t="shared" si="182"/>
        <v>#NUM!</v>
      </c>
      <c r="DT39" s="5">
        <f t="shared" si="183"/>
        <v>400</v>
      </c>
      <c r="DU39" s="5" t="e">
        <f t="shared" si="184"/>
        <v>#NUM!</v>
      </c>
      <c r="DV39" s="5" t="e">
        <f t="shared" si="185"/>
        <v>#NUM!</v>
      </c>
      <c r="DW39" s="5" t="e">
        <f t="shared" si="186"/>
        <v>#NUM!</v>
      </c>
      <c r="DX39" s="167" t="e">
        <f t="shared" si="187"/>
        <v>#NUM!</v>
      </c>
      <c r="DY39" s="9" t="e">
        <f t="shared" si="188"/>
        <v>#NUM!</v>
      </c>
      <c r="DZ39" s="5" t="e">
        <f t="shared" si="189"/>
        <v>#NUM!</v>
      </c>
      <c r="EA39" s="10" t="e">
        <f t="shared" si="190"/>
        <v>#NUM!</v>
      </c>
      <c r="EB39" s="6" t="e">
        <f t="shared" si="191"/>
        <v>#NUM!</v>
      </c>
      <c r="EC39" s="173" t="e">
        <f t="shared" si="192"/>
        <v>#NUM!</v>
      </c>
      <c r="ED39" s="5" t="e">
        <f t="shared" si="193"/>
        <v>#NUM!</v>
      </c>
      <c r="EE39" s="4" t="e">
        <f t="shared" si="194"/>
        <v>#NUM!</v>
      </c>
      <c r="EF39" s="5" t="e">
        <f t="shared" si="195"/>
        <v>#NUM!</v>
      </c>
      <c r="EG39" s="10" t="e">
        <f t="shared" si="196"/>
        <v>#NUM!</v>
      </c>
      <c r="EH39" s="9" t="e">
        <f t="shared" si="197"/>
        <v>#NUM!</v>
      </c>
      <c r="EI39" s="5" t="e">
        <f t="shared" si="198"/>
        <v>#NUM!</v>
      </c>
      <c r="EJ39" s="6" t="e">
        <f t="shared" si="199"/>
        <v>#NUM!</v>
      </c>
      <c r="EK39" s="236" t="e">
        <f t="shared" si="200"/>
        <v>#NUM!</v>
      </c>
      <c r="EL39" s="238" t="e">
        <f t="shared" si="201"/>
        <v>#NUM!</v>
      </c>
      <c r="EM39" s="4" t="e">
        <f t="shared" si="202"/>
        <v>#NUM!</v>
      </c>
      <c r="EN39" s="5" t="e">
        <f t="shared" si="203"/>
        <v>#NUM!</v>
      </c>
      <c r="EO39" s="10" t="e">
        <f t="shared" si="204"/>
        <v>#NUM!</v>
      </c>
      <c r="EP39" s="9" t="e">
        <f t="shared" si="205"/>
        <v>#NUM!</v>
      </c>
      <c r="EQ39" s="5" t="e">
        <f t="shared" si="206"/>
        <v>#NUM!</v>
      </c>
      <c r="ER39" s="7" t="e">
        <f t="shared" si="207"/>
        <v>#NUM!</v>
      </c>
      <c r="ES39" s="21">
        <f t="shared" si="132"/>
        <v>-0.59781955242295559</v>
      </c>
      <c r="ET39" s="5">
        <f t="shared" si="44"/>
        <v>-0.75313542910271458</v>
      </c>
      <c r="EU39" s="10">
        <f t="shared" si="45"/>
        <v>-0.27458843415389345</v>
      </c>
      <c r="EV39" s="174" t="e">
        <f t="shared" si="254"/>
        <v>#NUM!</v>
      </c>
      <c r="EW39" s="9" t="e">
        <f t="shared" si="133"/>
        <v>#NUM!</v>
      </c>
      <c r="EX39" s="5" t="e">
        <f t="shared" si="47"/>
        <v>#NUM!</v>
      </c>
      <c r="EY39" s="6">
        <f t="shared" si="208"/>
        <v>-0.27458843415389345</v>
      </c>
      <c r="EZ39" s="51" t="e">
        <f t="shared" si="209"/>
        <v>#NUM!</v>
      </c>
      <c r="FA39" s="266" t="e">
        <f t="shared" si="134"/>
        <v>#NUM!</v>
      </c>
      <c r="FB39" s="267" t="e">
        <f t="shared" si="135"/>
        <v>#NUM!</v>
      </c>
      <c r="FC39" s="269" t="e">
        <f t="shared" si="48"/>
        <v>#NUM!</v>
      </c>
      <c r="FD39" s="4" t="e">
        <f t="shared" si="136"/>
        <v>#NUM!</v>
      </c>
      <c r="FE39" s="5" t="e">
        <f t="shared" si="49"/>
        <v>#NUM!</v>
      </c>
      <c r="FF39" s="7" t="e">
        <f t="shared" si="210"/>
        <v>#NUM!</v>
      </c>
      <c r="FG39" s="173" t="e">
        <f t="shared" si="211"/>
        <v>#NUM!</v>
      </c>
      <c r="FH39" s="5" t="e">
        <f t="shared" si="50"/>
        <v>#NUM!</v>
      </c>
      <c r="FI39" s="10" t="e">
        <f t="shared" si="51"/>
        <v>#NUM!</v>
      </c>
      <c r="FJ39" s="279" t="e">
        <f t="shared" si="212"/>
        <v>#NUM!</v>
      </c>
      <c r="FK39" s="4">
        <f t="shared" si="52"/>
        <v>0.96156185023580931</v>
      </c>
      <c r="FL39" s="5" t="e">
        <f t="shared" si="213"/>
        <v>#NUM!</v>
      </c>
      <c r="FM39" s="8" t="e">
        <f t="shared" si="214"/>
        <v>#NUM!</v>
      </c>
      <c r="FN39" s="9" t="e">
        <f t="shared" si="215"/>
        <v>#NUM!</v>
      </c>
      <c r="FO39" s="10" t="e">
        <f t="shared" si="53"/>
        <v>#NUM!</v>
      </c>
      <c r="FP39" s="277" t="e">
        <f t="shared" si="54"/>
        <v>#NUM!</v>
      </c>
      <c r="FQ39" s="173" t="e">
        <f t="shared" si="243"/>
        <v>#NUM!</v>
      </c>
      <c r="FR39" s="10" t="e">
        <f t="shared" si="216"/>
        <v>#NUM!</v>
      </c>
      <c r="FS39" s="9" t="e">
        <f t="shared" si="217"/>
        <v>#NUM!</v>
      </c>
      <c r="FT39" s="6" t="e">
        <f t="shared" si="218"/>
        <v>#NUM!</v>
      </c>
      <c r="FU39" s="4" t="e">
        <f t="shared" si="219"/>
        <v>#NUM!</v>
      </c>
      <c r="FV39" s="5" t="e">
        <f t="shared" si="220"/>
        <v>#NUM!</v>
      </c>
      <c r="FW39" s="8" t="e">
        <f t="shared" si="244"/>
        <v>#NUM!</v>
      </c>
      <c r="FX39" s="9" t="e">
        <f t="shared" si="245"/>
        <v>#NUM!</v>
      </c>
      <c r="FY39" s="10" t="e">
        <f t="shared" si="55"/>
        <v>#NUM!</v>
      </c>
      <c r="FZ39" s="277" t="e">
        <f t="shared" si="246"/>
        <v>#NUM!</v>
      </c>
      <c r="GA39" s="177" t="e">
        <f t="shared" si="221"/>
        <v>#NUM!</v>
      </c>
      <c r="GB39" s="4" t="e">
        <f t="shared" si="222"/>
        <v>#NUM!</v>
      </c>
      <c r="GC39" s="5" t="e">
        <f t="shared" si="223"/>
        <v>#NUM!</v>
      </c>
      <c r="GD39" s="10" t="e">
        <f t="shared" si="224"/>
        <v>#NUM!</v>
      </c>
      <c r="GE39" s="311" t="e">
        <f t="shared" si="225"/>
        <v>#NUM!</v>
      </c>
      <c r="GF39" s="341" t="e">
        <f t="shared" si="247"/>
        <v>#NUM!</v>
      </c>
      <c r="GG39" s="285" t="e">
        <f t="shared" si="56"/>
        <v>#NUM!</v>
      </c>
      <c r="GH39" s="286" t="e">
        <f t="shared" si="57"/>
        <v>#NUM!</v>
      </c>
      <c r="GI39" s="281" t="e">
        <f t="shared" si="58"/>
        <v>#NUM!</v>
      </c>
      <c r="GJ39" s="167">
        <f t="shared" si="226"/>
        <v>2.1025999999999998</v>
      </c>
      <c r="GK39" s="174">
        <f t="shared" si="59"/>
        <v>1.1010063912902865</v>
      </c>
      <c r="GL39" s="174">
        <f t="shared" si="227"/>
        <v>3.61E-2</v>
      </c>
      <c r="GM39" s="177">
        <f t="shared" si="248"/>
        <v>0.47695596870695217</v>
      </c>
      <c r="GN39" s="280">
        <f t="shared" si="228"/>
        <v>2.492675946196261E-2</v>
      </c>
      <c r="GO39" s="4" t="e">
        <f t="shared" si="229"/>
        <v>#NUM!</v>
      </c>
      <c r="GP39" s="8" t="e">
        <f t="shared" si="249"/>
        <v>#NUM!</v>
      </c>
      <c r="GQ39" s="177" t="e">
        <f t="shared" si="230"/>
        <v>#NUM!</v>
      </c>
      <c r="GR39" s="371" t="e">
        <f t="shared" si="250"/>
        <v>#NUM!</v>
      </c>
      <c r="GS39" s="342" t="e">
        <f t="shared" si="61"/>
        <v>#NUM!</v>
      </c>
      <c r="GT39" s="343" t="e">
        <f t="shared" si="62"/>
        <v>#NUM!</v>
      </c>
      <c r="GU39" s="344">
        <f t="shared" si="63"/>
        <v>1172.5167564045908</v>
      </c>
      <c r="GV39" s="343">
        <f t="shared" si="252"/>
        <v>1064.95</v>
      </c>
      <c r="GW39" s="345">
        <f t="shared" si="64"/>
        <v>29500</v>
      </c>
      <c r="GX39" s="346">
        <f t="shared" si="65"/>
        <v>186.59698916666667</v>
      </c>
      <c r="GY39" s="344" t="e">
        <f t="shared" si="66"/>
        <v>#NUM!</v>
      </c>
      <c r="GZ39" s="345" t="e">
        <f t="shared" si="67"/>
        <v>#NUM!</v>
      </c>
      <c r="HA39" s="342" t="e">
        <f t="shared" si="68"/>
        <v>#NUM!</v>
      </c>
      <c r="HB39" s="5" t="e">
        <f t="shared" si="231"/>
        <v>#NUM!</v>
      </c>
      <c r="HC39" s="343" t="e">
        <f t="shared" si="232"/>
        <v>#NUM!</v>
      </c>
      <c r="HD39" s="363" t="e">
        <f t="shared" si="233"/>
        <v>#NUM!</v>
      </c>
      <c r="HE39" s="344" t="e">
        <f t="shared" si="69"/>
        <v>#NUM!</v>
      </c>
      <c r="HF39" s="5" t="e">
        <f t="shared" si="70"/>
        <v>#NUM!</v>
      </c>
      <c r="HG39" s="343" t="e">
        <f t="shared" si="234"/>
        <v>#NUM!</v>
      </c>
      <c r="HH39" s="349" t="e">
        <f t="shared" si="235"/>
        <v>#NUM!</v>
      </c>
      <c r="HI39" s="317">
        <f t="shared" si="71"/>
        <v>3.109</v>
      </c>
      <c r="HJ39" s="336"/>
      <c r="HK39" s="310">
        <f t="shared" si="137"/>
        <v>31</v>
      </c>
      <c r="HL39" s="348">
        <f t="shared" si="72"/>
        <v>5.1310000000000002</v>
      </c>
      <c r="HM39" s="909" t="e">
        <f t="shared" si="138"/>
        <v>#VALUE!</v>
      </c>
      <c r="HN39" s="910">
        <f t="shared" si="73"/>
        <v>24.399996477076375</v>
      </c>
      <c r="HO39" s="911"/>
      <c r="HP39" s="912"/>
      <c r="HQ39" s="910" t="e">
        <f t="shared" si="74"/>
        <v>#VALUE!</v>
      </c>
      <c r="HR39" s="913" t="e">
        <f t="shared" si="75"/>
        <v>#VALUE!</v>
      </c>
      <c r="HS39" s="865">
        <f t="shared" si="251"/>
        <v>4.5797999999999996</v>
      </c>
      <c r="HT39" s="875">
        <f t="shared" si="76"/>
        <v>1.5100000000000001E-2</v>
      </c>
      <c r="HU39" s="876">
        <f t="shared" si="77"/>
        <v>0.43452084235605321</v>
      </c>
      <c r="HV39" s="872">
        <f t="shared" si="78"/>
        <v>2.270900718148584E-2</v>
      </c>
      <c r="HW39" s="866">
        <f t="shared" si="79"/>
        <v>29500</v>
      </c>
      <c r="HX39" s="867">
        <f t="shared" si="80"/>
        <v>170.00599249999999</v>
      </c>
      <c r="HY39" s="866" t="e">
        <f t="shared" si="81"/>
        <v>#VALUE!</v>
      </c>
      <c r="HZ39" s="868">
        <f t="shared" si="82"/>
        <v>1068.1970707919641</v>
      </c>
      <c r="IA39" s="869" t="e">
        <f t="shared" si="83"/>
        <v>#VALUE!</v>
      </c>
      <c r="IB39" s="870" t="e">
        <f t="shared" si="84"/>
        <v>#VALUE!</v>
      </c>
      <c r="IC39" s="841" t="e">
        <f t="shared" si="85"/>
        <v>#VALUE!</v>
      </c>
      <c r="ID39" s="351">
        <f t="shared" si="86"/>
        <v>445.45</v>
      </c>
      <c r="IE39" s="843" t="e">
        <f t="shared" si="87"/>
        <v>#VALUE!</v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2.3387192215245536</v>
      </c>
      <c r="C40" s="572">
        <f t="shared" si="3"/>
        <v>-1.7926197782048439</v>
      </c>
      <c r="D40" s="576">
        <f t="shared" si="4"/>
        <v>-0.25970078325756235</v>
      </c>
      <c r="E40" s="580">
        <f t="shared" si="5"/>
        <v>0.65960231322299423</v>
      </c>
      <c r="F40" s="572">
        <f t="shared" si="6"/>
        <v>0.70557519156007387</v>
      </c>
      <c r="G40" s="579">
        <f t="shared" si="7"/>
        <v>0.25901435760559738</v>
      </c>
      <c r="H40" s="580">
        <f t="shared" si="8"/>
        <v>0.3125</v>
      </c>
      <c r="I40" s="572">
        <f t="shared" si="9"/>
        <v>0.52</v>
      </c>
      <c r="J40" s="483">
        <f t="shared" si="10"/>
        <v>3.1150000000000002</v>
      </c>
      <c r="K40" s="806">
        <f t="shared" si="11"/>
        <v>1613</v>
      </c>
      <c r="L40" s="309"/>
      <c r="M40" s="164">
        <f t="shared" si="12"/>
        <v>3.1150000000000002</v>
      </c>
      <c r="N40" s="575">
        <f t="shared" si="13"/>
        <v>2.3387192215245536</v>
      </c>
      <c r="O40" s="572">
        <f t="shared" si="14"/>
        <v>-1.7926197782048439</v>
      </c>
      <c r="P40" s="576">
        <f t="shared" si="15"/>
        <v>-0.25970078325756235</v>
      </c>
      <c r="Q40" s="528">
        <f t="shared" si="140"/>
        <v>322.52996642682666</v>
      </c>
      <c r="R40" s="572">
        <f t="shared" si="101"/>
        <v>2.9467088872740037</v>
      </c>
      <c r="S40" s="577">
        <f t="shared" si="102"/>
        <v>-0.25970078325756235</v>
      </c>
      <c r="T40" s="578">
        <f t="shared" si="103"/>
        <v>-1.7889439171284924</v>
      </c>
      <c r="U40" s="572">
        <f t="shared" si="104"/>
        <v>-2.3415321752452094</v>
      </c>
      <c r="V40" s="579">
        <f t="shared" si="141"/>
        <v>-0.25970078325756235</v>
      </c>
      <c r="W40" s="528">
        <f t="shared" si="253"/>
        <v>232.61996641383229</v>
      </c>
      <c r="X40" s="572">
        <f t="shared" si="105"/>
        <v>2.9467088872740037</v>
      </c>
      <c r="Y40" s="573">
        <f t="shared" si="255"/>
        <v>-0.25970078325756235</v>
      </c>
      <c r="Z40" s="575">
        <f t="shared" si="18"/>
        <v>-0.65960231322299423</v>
      </c>
      <c r="AA40" s="572">
        <f t="shared" si="19"/>
        <v>-0.70557519156007387</v>
      </c>
      <c r="AB40" s="572">
        <f t="shared" si="20"/>
        <v>-0.25901435760559738</v>
      </c>
      <c r="AC40" s="579">
        <f t="shared" si="106"/>
        <v>1</v>
      </c>
      <c r="AD40" s="580">
        <f t="shared" si="142"/>
        <v>-0.65960231322299423</v>
      </c>
      <c r="AE40" s="572">
        <f t="shared" si="107"/>
        <v>-0.70557519156007387</v>
      </c>
      <c r="AF40" s="576">
        <f t="shared" si="108"/>
        <v>-0.25901435760559738</v>
      </c>
      <c r="AG40" s="545">
        <f t="shared" si="109"/>
        <v>-69.841978131856891</v>
      </c>
      <c r="AH40" s="546">
        <f t="shared" si="110"/>
        <v>131.26954998814827</v>
      </c>
      <c r="AI40" s="528">
        <f t="shared" si="111"/>
        <v>-74.988414342951387</v>
      </c>
      <c r="AJ40" s="529">
        <f t="shared" si="112"/>
        <v>-43.071271414034968</v>
      </c>
      <c r="AK40" s="578">
        <f t="shared" si="238"/>
        <v>0.96126170705176639</v>
      </c>
      <c r="AL40" s="572">
        <f t="shared" si="113"/>
        <v>-9.4273501632665346E-2</v>
      </c>
      <c r="AM40" s="577">
        <f t="shared" si="114"/>
        <v>-0.25901435760559738</v>
      </c>
      <c r="AN40" s="524">
        <f t="shared" si="115"/>
        <v>-19.999997112357622</v>
      </c>
      <c r="AO40" s="525">
        <f t="shared" si="116"/>
        <v>15.999997689886111</v>
      </c>
      <c r="AP40" s="528">
        <f t="shared" si="117"/>
        <v>-5.601237840861641</v>
      </c>
      <c r="AQ40" s="529">
        <f t="shared" si="21"/>
        <v>0.51575393526881952</v>
      </c>
      <c r="AS40" s="932">
        <f t="shared" si="143"/>
        <v>-127.38003358616771</v>
      </c>
      <c r="AT40" s="928">
        <f t="shared" si="22"/>
        <v>-0.20068687882553765</v>
      </c>
      <c r="AU40" s="418"/>
      <c r="AV40" s="164">
        <f t="shared" si="23"/>
        <v>3.1150000000000002</v>
      </c>
      <c r="AW40" s="829">
        <f>IFERROR(INDEX(MassProp!C$9:C$150,MATCH($M40,MassProp!$B$9:$B$150,0)),"")</f>
        <v>2.9211999999999998</v>
      </c>
      <c r="AX40" s="830">
        <f>IFERROR(INDEX(MassProp!D$9:D$150,MATCH($M40,MassProp!$B$9:$B$150,0)),"")</f>
        <v>0.31390000000000001</v>
      </c>
      <c r="AY40" s="831">
        <f>IFERROR(INDEX(MassProp!E$9:E$150,MATCH($M40,MassProp!$B$9:$B$150,0)),"")</f>
        <v>3.6299999999999999E-2</v>
      </c>
      <c r="AZ40" s="297">
        <f t="shared" si="144"/>
        <v>0.66629367318061905</v>
      </c>
      <c r="BA40" s="296">
        <f t="shared" si="24"/>
        <v>3.4821960960940021E-2</v>
      </c>
      <c r="BB40" s="190">
        <f t="shared" si="145"/>
        <v>0.34792021215887103</v>
      </c>
      <c r="BC40" s="9"/>
      <c r="BD40" s="5">
        <f t="shared" si="146"/>
        <v>2.9211999999999998</v>
      </c>
      <c r="BE40" s="6">
        <f t="shared" si="25"/>
        <v>8.8219428901308683E-2</v>
      </c>
      <c r="BF40" s="4">
        <f t="shared" si="26"/>
        <v>2.3387192215245536</v>
      </c>
      <c r="BG40" s="5">
        <f t="shared" si="27"/>
        <v>-1.7926197782048439</v>
      </c>
      <c r="BH40" s="10">
        <f t="shared" si="28"/>
        <v>-0.25970078325756235</v>
      </c>
      <c r="BI40" s="9">
        <f t="shared" si="147"/>
        <v>2.3387192215245536</v>
      </c>
      <c r="BJ40" s="5">
        <f t="shared" si="29"/>
        <v>-1.4480092649413716</v>
      </c>
      <c r="BK40" s="8">
        <f t="shared" si="30"/>
        <v>-1.1984465391192261</v>
      </c>
      <c r="BL40" s="173">
        <f t="shared" si="31"/>
        <v>3.0903340087599265</v>
      </c>
      <c r="BM40" s="5">
        <f t="shared" si="32"/>
        <v>-2.4118186502994652</v>
      </c>
      <c r="BN40" s="6">
        <f t="shared" si="33"/>
        <v>-0.48700667496711192</v>
      </c>
      <c r="BO40" s="4">
        <f t="shared" si="148"/>
        <v>-0.65960231322299379</v>
      </c>
      <c r="BP40" s="5">
        <f t="shared" si="239"/>
        <v>-0.70557519156007398</v>
      </c>
      <c r="BQ40" s="5">
        <f t="shared" si="149"/>
        <v>-0.25901435760559743</v>
      </c>
      <c r="BR40" s="6">
        <f t="shared" si="150"/>
        <v>0.21053033355028694</v>
      </c>
      <c r="BS40" s="4">
        <f t="shared" si="118"/>
        <v>0</v>
      </c>
      <c r="BT40" s="5">
        <f t="shared" si="118"/>
        <v>0</v>
      </c>
      <c r="BU40" s="10">
        <f t="shared" si="119"/>
        <v>8.8219428901308683E-2</v>
      </c>
      <c r="BV40" s="9">
        <f t="shared" si="120"/>
        <v>0</v>
      </c>
      <c r="BW40" s="5">
        <f t="shared" si="121"/>
        <v>1</v>
      </c>
      <c r="BX40" s="8">
        <f t="shared" si="122"/>
        <v>8.8219428901308683E-2</v>
      </c>
      <c r="BY40" s="173">
        <f t="shared" si="123"/>
        <v>1</v>
      </c>
      <c r="BZ40" s="5">
        <f t="shared" si="124"/>
        <v>0</v>
      </c>
      <c r="CA40" s="6">
        <f t="shared" si="125"/>
        <v>8.8219428901308683E-2</v>
      </c>
      <c r="CB40" s="4">
        <f t="shared" si="151"/>
        <v>0</v>
      </c>
      <c r="CC40" s="5">
        <f t="shared" si="152"/>
        <v>0</v>
      </c>
      <c r="CD40" s="5">
        <f t="shared" si="153"/>
        <v>-1</v>
      </c>
      <c r="CE40" s="6">
        <f t="shared" si="154"/>
        <v>8.8219428901308683E-2</v>
      </c>
      <c r="CF40" s="4">
        <f t="shared" si="155"/>
        <v>0.70557519156007398</v>
      </c>
      <c r="CG40" s="5">
        <f t="shared" si="156"/>
        <v>-0.65960231322299379</v>
      </c>
      <c r="CH40" s="5">
        <f t="shared" si="157"/>
        <v>0</v>
      </c>
      <c r="CI40" s="4">
        <f t="shared" si="126"/>
        <v>0</v>
      </c>
      <c r="CJ40" s="5">
        <f t="shared" si="127"/>
        <v>0.2659960796383844</v>
      </c>
      <c r="CK40" s="8">
        <f t="shared" si="128"/>
        <v>8.8219428901308683E-2</v>
      </c>
      <c r="CL40" s="173">
        <f t="shared" si="129"/>
        <v>0.70557519156007398</v>
      </c>
      <c r="CM40" s="5">
        <f t="shared" si="130"/>
        <v>-0.39360623358460939</v>
      </c>
      <c r="CN40" s="6">
        <f t="shared" si="131"/>
        <v>8.8219428901308683E-2</v>
      </c>
      <c r="CO40" s="167">
        <f t="shared" si="35"/>
        <v>0.3125</v>
      </c>
      <c r="CP40" s="4">
        <f t="shared" si="240"/>
        <v>0.93291156255415952</v>
      </c>
      <c r="CQ40" s="5">
        <f t="shared" si="241"/>
        <v>-6.0160200892066902</v>
      </c>
      <c r="CR40" s="5">
        <f t="shared" si="158"/>
        <v>9.7308990713206995</v>
      </c>
      <c r="CS40" s="8">
        <f t="shared" si="159"/>
        <v>-0.11977531699197641</v>
      </c>
      <c r="CT40" s="9" t="e">
        <f t="shared" si="160"/>
        <v>#NUM!</v>
      </c>
      <c r="CU40" s="6" t="e">
        <f t="shared" si="161"/>
        <v>#NUM!</v>
      </c>
      <c r="CV40" s="4" t="e">
        <f t="shared" si="242"/>
        <v>#NUM!</v>
      </c>
      <c r="CW40" s="5" t="e">
        <f t="shared" si="162"/>
        <v>#NUM!</v>
      </c>
      <c r="CX40" s="8" t="e">
        <f t="shared" si="163"/>
        <v>#NUM!</v>
      </c>
      <c r="CY40" s="9" t="e">
        <f t="shared" si="164"/>
        <v>#NUM!</v>
      </c>
      <c r="CZ40" s="5" t="e">
        <f t="shared" si="165"/>
        <v>#NUM!</v>
      </c>
      <c r="DA40" s="6" t="e">
        <f t="shared" si="166"/>
        <v>#NUM!</v>
      </c>
      <c r="DB40" s="4">
        <f t="shared" si="167"/>
        <v>0</v>
      </c>
      <c r="DC40" s="5">
        <f t="shared" si="167"/>
        <v>0</v>
      </c>
      <c r="DD40" s="10">
        <f t="shared" si="168"/>
        <v>-10</v>
      </c>
      <c r="DE40" s="9">
        <f t="shared" si="169"/>
        <v>0</v>
      </c>
      <c r="DF40" s="5">
        <f t="shared" si="169"/>
        <v>0</v>
      </c>
      <c r="DG40" s="10">
        <f t="shared" si="170"/>
        <v>10</v>
      </c>
      <c r="DH40" s="70">
        <f t="shared" si="171"/>
        <v>2.9211999999999998</v>
      </c>
      <c r="DI40" s="4">
        <f t="shared" si="172"/>
        <v>0</v>
      </c>
      <c r="DJ40" s="5">
        <f t="shared" si="173"/>
        <v>0</v>
      </c>
      <c r="DK40" s="10">
        <f t="shared" si="174"/>
        <v>20</v>
      </c>
      <c r="DL40" s="9" t="e">
        <f t="shared" si="175"/>
        <v>#NUM!</v>
      </c>
      <c r="DM40" s="173" t="e">
        <f t="shared" si="176"/>
        <v>#NUM!</v>
      </c>
      <c r="DN40" s="178" t="e">
        <f t="shared" si="177"/>
        <v>#NUM!</v>
      </c>
      <c r="DO40" s="9" t="e">
        <f t="shared" si="178"/>
        <v>#NUM!</v>
      </c>
      <c r="DP40" s="173" t="e">
        <f t="shared" si="179"/>
        <v>#NUM!</v>
      </c>
      <c r="DQ40" s="11" t="e">
        <f t="shared" si="180"/>
        <v>#NUM!</v>
      </c>
      <c r="DR40" s="173" t="e">
        <f t="shared" si="181"/>
        <v>#NUM!</v>
      </c>
      <c r="DS40" s="5" t="e">
        <f t="shared" si="182"/>
        <v>#NUM!</v>
      </c>
      <c r="DT40" s="5">
        <f t="shared" si="183"/>
        <v>400</v>
      </c>
      <c r="DU40" s="5" t="e">
        <f t="shared" si="184"/>
        <v>#NUM!</v>
      </c>
      <c r="DV40" s="5" t="e">
        <f t="shared" si="185"/>
        <v>#NUM!</v>
      </c>
      <c r="DW40" s="5" t="e">
        <f t="shared" si="186"/>
        <v>#NUM!</v>
      </c>
      <c r="DX40" s="167" t="e">
        <f t="shared" si="187"/>
        <v>#NUM!</v>
      </c>
      <c r="DY40" s="9" t="e">
        <f t="shared" si="188"/>
        <v>#NUM!</v>
      </c>
      <c r="DZ40" s="5" t="e">
        <f t="shared" si="189"/>
        <v>#NUM!</v>
      </c>
      <c r="EA40" s="10" t="e">
        <f t="shared" si="190"/>
        <v>#NUM!</v>
      </c>
      <c r="EB40" s="6" t="e">
        <f t="shared" si="191"/>
        <v>#NUM!</v>
      </c>
      <c r="EC40" s="173" t="e">
        <f t="shared" si="192"/>
        <v>#NUM!</v>
      </c>
      <c r="ED40" s="5" t="e">
        <f t="shared" si="193"/>
        <v>#NUM!</v>
      </c>
      <c r="EE40" s="4" t="e">
        <f t="shared" si="194"/>
        <v>#NUM!</v>
      </c>
      <c r="EF40" s="5" t="e">
        <f t="shared" si="195"/>
        <v>#NUM!</v>
      </c>
      <c r="EG40" s="10" t="e">
        <f t="shared" si="196"/>
        <v>#NUM!</v>
      </c>
      <c r="EH40" s="9" t="e">
        <f t="shared" si="197"/>
        <v>#NUM!</v>
      </c>
      <c r="EI40" s="5" t="e">
        <f t="shared" si="198"/>
        <v>#NUM!</v>
      </c>
      <c r="EJ40" s="6" t="e">
        <f t="shared" si="199"/>
        <v>#NUM!</v>
      </c>
      <c r="EK40" s="236" t="e">
        <f t="shared" si="200"/>
        <v>#NUM!</v>
      </c>
      <c r="EL40" s="238" t="e">
        <f t="shared" si="201"/>
        <v>#NUM!</v>
      </c>
      <c r="EM40" s="4" t="e">
        <f t="shared" si="202"/>
        <v>#NUM!</v>
      </c>
      <c r="EN40" s="5" t="e">
        <f t="shared" si="203"/>
        <v>#NUM!</v>
      </c>
      <c r="EO40" s="10" t="e">
        <f t="shared" si="204"/>
        <v>#NUM!</v>
      </c>
      <c r="EP40" s="9" t="e">
        <f t="shared" si="205"/>
        <v>#NUM!</v>
      </c>
      <c r="EQ40" s="5" t="e">
        <f t="shared" si="206"/>
        <v>#NUM!</v>
      </c>
      <c r="ER40" s="7" t="e">
        <f t="shared" si="207"/>
        <v>#NUM!</v>
      </c>
      <c r="ES40" s="21">
        <f t="shared" si="132"/>
        <v>-0.65960231322299423</v>
      </c>
      <c r="ET40" s="5">
        <f t="shared" si="44"/>
        <v>-0.70557519156007387</v>
      </c>
      <c r="EU40" s="10">
        <f t="shared" si="45"/>
        <v>-0.25901435760559738</v>
      </c>
      <c r="EV40" s="174" t="e">
        <f t="shared" si="254"/>
        <v>#NUM!</v>
      </c>
      <c r="EW40" s="9" t="e">
        <f t="shared" si="133"/>
        <v>#NUM!</v>
      </c>
      <c r="EX40" s="5" t="e">
        <f t="shared" si="47"/>
        <v>#NUM!</v>
      </c>
      <c r="EY40" s="6">
        <f t="shared" si="208"/>
        <v>-0.25901435760559738</v>
      </c>
      <c r="EZ40" s="51" t="e">
        <f t="shared" si="209"/>
        <v>#NUM!</v>
      </c>
      <c r="FA40" s="266" t="e">
        <f t="shared" si="134"/>
        <v>#NUM!</v>
      </c>
      <c r="FB40" s="267" t="e">
        <f t="shared" si="135"/>
        <v>#NUM!</v>
      </c>
      <c r="FC40" s="269" t="e">
        <f t="shared" si="48"/>
        <v>#NUM!</v>
      </c>
      <c r="FD40" s="4" t="e">
        <f t="shared" si="136"/>
        <v>#NUM!</v>
      </c>
      <c r="FE40" s="5" t="e">
        <f t="shared" si="49"/>
        <v>#NUM!</v>
      </c>
      <c r="FF40" s="7" t="e">
        <f t="shared" si="210"/>
        <v>#NUM!</v>
      </c>
      <c r="FG40" s="173" t="e">
        <f t="shared" si="211"/>
        <v>#NUM!</v>
      </c>
      <c r="FH40" s="5" t="e">
        <f t="shared" si="50"/>
        <v>#NUM!</v>
      </c>
      <c r="FI40" s="10" t="e">
        <f t="shared" si="51"/>
        <v>#NUM!</v>
      </c>
      <c r="FJ40" s="279" t="e">
        <f t="shared" si="212"/>
        <v>#NUM!</v>
      </c>
      <c r="FK40" s="4">
        <f t="shared" si="52"/>
        <v>0.96587347129640122</v>
      </c>
      <c r="FL40" s="5" t="e">
        <f t="shared" si="213"/>
        <v>#NUM!</v>
      </c>
      <c r="FM40" s="8" t="e">
        <f t="shared" si="214"/>
        <v>#NUM!</v>
      </c>
      <c r="FN40" s="9" t="e">
        <f t="shared" si="215"/>
        <v>#NUM!</v>
      </c>
      <c r="FO40" s="10" t="e">
        <f t="shared" si="53"/>
        <v>#NUM!</v>
      </c>
      <c r="FP40" s="277" t="e">
        <f t="shared" si="54"/>
        <v>#NUM!</v>
      </c>
      <c r="FQ40" s="173" t="e">
        <f t="shared" si="243"/>
        <v>#NUM!</v>
      </c>
      <c r="FR40" s="10" t="e">
        <f t="shared" si="216"/>
        <v>#NUM!</v>
      </c>
      <c r="FS40" s="9" t="e">
        <f t="shared" si="217"/>
        <v>#NUM!</v>
      </c>
      <c r="FT40" s="6" t="e">
        <f t="shared" si="218"/>
        <v>#NUM!</v>
      </c>
      <c r="FU40" s="4" t="e">
        <f t="shared" si="219"/>
        <v>#NUM!</v>
      </c>
      <c r="FV40" s="5" t="e">
        <f t="shared" si="220"/>
        <v>#NUM!</v>
      </c>
      <c r="FW40" s="8" t="e">
        <f t="shared" si="244"/>
        <v>#NUM!</v>
      </c>
      <c r="FX40" s="9" t="e">
        <f t="shared" si="245"/>
        <v>#NUM!</v>
      </c>
      <c r="FY40" s="10" t="e">
        <f t="shared" si="55"/>
        <v>#NUM!</v>
      </c>
      <c r="FZ40" s="277" t="e">
        <f t="shared" si="246"/>
        <v>#NUM!</v>
      </c>
      <c r="GA40" s="177" t="e">
        <f t="shared" si="221"/>
        <v>#NUM!</v>
      </c>
      <c r="GB40" s="4" t="e">
        <f t="shared" si="222"/>
        <v>#NUM!</v>
      </c>
      <c r="GC40" s="5" t="e">
        <f t="shared" si="223"/>
        <v>#NUM!</v>
      </c>
      <c r="GD40" s="10" t="e">
        <f t="shared" si="224"/>
        <v>#NUM!</v>
      </c>
      <c r="GE40" s="311" t="e">
        <f t="shared" si="225"/>
        <v>#NUM!</v>
      </c>
      <c r="GF40" s="341" t="e">
        <f t="shared" si="247"/>
        <v>#NUM!</v>
      </c>
      <c r="GG40" s="285" t="e">
        <f t="shared" si="56"/>
        <v>#NUM!</v>
      </c>
      <c r="GH40" s="286" t="e">
        <f t="shared" si="57"/>
        <v>#NUM!</v>
      </c>
      <c r="GI40" s="281" t="e">
        <f t="shared" si="58"/>
        <v>#NUM!</v>
      </c>
      <c r="GJ40" s="167">
        <f t="shared" si="226"/>
        <v>2.9211999999999998</v>
      </c>
      <c r="GK40" s="174">
        <f t="shared" si="59"/>
        <v>1.5295998006901266</v>
      </c>
      <c r="GL40" s="174">
        <f t="shared" si="227"/>
        <v>3.6299999999999999E-2</v>
      </c>
      <c r="GM40" s="177">
        <f t="shared" si="248"/>
        <v>0.66629367318061905</v>
      </c>
      <c r="GN40" s="280">
        <f t="shared" si="228"/>
        <v>3.4821960960940021E-2</v>
      </c>
      <c r="GO40" s="4" t="e">
        <f t="shared" si="229"/>
        <v>#NUM!</v>
      </c>
      <c r="GP40" s="8" t="e">
        <f t="shared" si="249"/>
        <v>#NUM!</v>
      </c>
      <c r="GQ40" s="177" t="e">
        <f t="shared" si="230"/>
        <v>#NUM!</v>
      </c>
      <c r="GR40" s="371" t="e">
        <f t="shared" si="250"/>
        <v>#NUM!</v>
      </c>
      <c r="GS40" s="342" t="e">
        <f t="shared" si="61"/>
        <v>#NUM!</v>
      </c>
      <c r="GT40" s="343" t="e">
        <f t="shared" si="62"/>
        <v>#NUM!</v>
      </c>
      <c r="GU40" s="344">
        <f t="shared" si="63"/>
        <v>1637.9719465690218</v>
      </c>
      <c r="GV40" s="343">
        <f t="shared" si="252"/>
        <v>1070.8499999999999</v>
      </c>
      <c r="GW40" s="345">
        <f t="shared" si="64"/>
        <v>29500</v>
      </c>
      <c r="GX40" s="346">
        <f t="shared" si="65"/>
        <v>260.68058499999995</v>
      </c>
      <c r="GY40" s="344" t="e">
        <f t="shared" si="66"/>
        <v>#NUM!</v>
      </c>
      <c r="GZ40" s="345" t="e">
        <f t="shared" si="67"/>
        <v>#NUM!</v>
      </c>
      <c r="HA40" s="342" t="e">
        <f t="shared" si="68"/>
        <v>#NUM!</v>
      </c>
      <c r="HB40" s="5" t="e">
        <f t="shared" si="231"/>
        <v>#NUM!</v>
      </c>
      <c r="HC40" s="343" t="e">
        <f t="shared" si="232"/>
        <v>#NUM!</v>
      </c>
      <c r="HD40" s="363" t="e">
        <f t="shared" si="233"/>
        <v>#NUM!</v>
      </c>
      <c r="HE40" s="344" t="e">
        <f t="shared" si="69"/>
        <v>#NUM!</v>
      </c>
      <c r="HF40" s="5" t="e">
        <f t="shared" si="70"/>
        <v>#NUM!</v>
      </c>
      <c r="HG40" s="343" t="e">
        <f t="shared" si="234"/>
        <v>#NUM!</v>
      </c>
      <c r="HH40" s="349" t="e">
        <f t="shared" si="235"/>
        <v>#NUM!</v>
      </c>
      <c r="HI40" s="317">
        <f t="shared" si="71"/>
        <v>3.1150000000000002</v>
      </c>
      <c r="HJ40" s="336"/>
      <c r="HK40" s="310">
        <f t="shared" si="137"/>
        <v>32</v>
      </c>
      <c r="HL40" s="348">
        <f t="shared" si="72"/>
        <v>4.1319999999999997</v>
      </c>
      <c r="HM40" s="909" t="e">
        <f t="shared" si="138"/>
        <v>#VALUE!</v>
      </c>
      <c r="HN40" s="910">
        <f t="shared" si="73"/>
        <v>24.959996396222365</v>
      </c>
      <c r="HO40" s="911"/>
      <c r="HP40" s="912"/>
      <c r="HQ40" s="910" t="e">
        <f t="shared" si="74"/>
        <v>#VALUE!</v>
      </c>
      <c r="HR40" s="913" t="e">
        <f t="shared" si="75"/>
        <v>#VALUE!</v>
      </c>
      <c r="HS40" s="865">
        <f t="shared" si="251"/>
        <v>4.6402000000000001</v>
      </c>
      <c r="HT40" s="875">
        <f t="shared" si="76"/>
        <v>1.4500000000000001E-2</v>
      </c>
      <c r="HU40" s="876">
        <f t="shared" si="77"/>
        <v>0.42275783611689416</v>
      </c>
      <c r="HV40" s="872">
        <f t="shared" si="78"/>
        <v>2.2094246813001518E-2</v>
      </c>
      <c r="HW40" s="866">
        <f t="shared" si="79"/>
        <v>29500</v>
      </c>
      <c r="HX40" s="867">
        <f t="shared" si="80"/>
        <v>165.40379583333333</v>
      </c>
      <c r="HY40" s="866" t="e">
        <f t="shared" si="81"/>
        <v>#VALUE!</v>
      </c>
      <c r="HZ40" s="868">
        <f t="shared" si="82"/>
        <v>1039.2796804540314</v>
      </c>
      <c r="IA40" s="869" t="e">
        <f t="shared" si="83"/>
        <v>#VALUE!</v>
      </c>
      <c r="IB40" s="870" t="e">
        <f t="shared" si="84"/>
        <v>#VALUE!</v>
      </c>
      <c r="IC40" s="841" t="e">
        <f t="shared" si="85"/>
        <v>#VALUE!</v>
      </c>
      <c r="ID40" s="351">
        <f t="shared" si="86"/>
        <v>427.75</v>
      </c>
      <c r="IE40" s="843" t="e">
        <f t="shared" si="87"/>
        <v>#VALUE!</v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3.1150000000000002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72" si="256">IF($K41="","",IF(AND($A$8="Y",ISNUMBER($K41)),$A$5,0))</f>
        <v>0</v>
      </c>
      <c r="B41" s="578">
        <f t="shared" ref="B41:B72" si="257">IFERROR(Q196+($A41*-E41),"")</f>
        <v>2.8329595364130973</v>
      </c>
      <c r="C41" s="572">
        <f t="shared" ref="C41:C72" si="258">IFERROR(R196+($A41*-F41),"")</f>
        <v>-2.2333279028921118</v>
      </c>
      <c r="D41" s="576">
        <f t="shared" ref="D41:D72" si="259">IFERROR(S196+($A41*-G41),"")</f>
        <v>-0.60790183343192927</v>
      </c>
      <c r="E41" s="580">
        <f t="shared" ref="E41:E72" si="260">T196</f>
        <v>0.73122629720911547</v>
      </c>
      <c r="F41" s="572">
        <f t="shared" ref="F41:F72" si="261">U196</f>
        <v>0.62898349931432918</v>
      </c>
      <c r="G41" s="579">
        <f t="shared" ref="G41:G72" si="262">V196</f>
        <v>0.26398458261828017</v>
      </c>
      <c r="H41" s="580">
        <f t="shared" ref="H41:H72" si="263">W196</f>
        <v>0.3125</v>
      </c>
      <c r="I41" s="572">
        <f t="shared" ref="I41:I72" si="264">X196</f>
        <v>0.52</v>
      </c>
      <c r="J41" s="483">
        <f t="shared" ref="J41:J72" si="265">IF(Y196=0,"",Y196)</f>
        <v>3.121</v>
      </c>
      <c r="K41" s="806">
        <f t="shared" ref="K41:K72" si="266">Z196</f>
        <v>1613</v>
      </c>
      <c r="L41" s="309"/>
      <c r="M41" s="164">
        <f t="shared" ref="M41:M72" si="267">IF(J41="","",VALUE(J41))</f>
        <v>3.121</v>
      </c>
      <c r="N41" s="575">
        <f t="shared" ref="N41:N72" si="268">IF(M41="","",B41)</f>
        <v>2.8329595364130973</v>
      </c>
      <c r="O41" s="572">
        <f t="shared" ref="O41:O72" si="269">IF(M41="","",C41)</f>
        <v>-2.2333279028921118</v>
      </c>
      <c r="P41" s="576">
        <f t="shared" ref="P41:P72" si="270">IF(M41="","",D41)</f>
        <v>-0.60790183343192927</v>
      </c>
      <c r="Q41" s="528">
        <f t="shared" si="140"/>
        <v>321.74996653944476</v>
      </c>
      <c r="R41" s="572">
        <f t="shared" si="101"/>
        <v>3.6074108799512135</v>
      </c>
      <c r="S41" s="577">
        <f t="shared" si="102"/>
        <v>-0.60790183343192927</v>
      </c>
      <c r="T41" s="578">
        <f t="shared" si="103"/>
        <v>-2.2288751476743429</v>
      </c>
      <c r="U41" s="572">
        <f t="shared" si="104"/>
        <v>-2.8364641427083233</v>
      </c>
      <c r="V41" s="579">
        <f t="shared" si="141"/>
        <v>-0.60790183343192927</v>
      </c>
      <c r="W41" s="528">
        <f t="shared" si="253"/>
        <v>231.83996652645038</v>
      </c>
      <c r="X41" s="572">
        <f t="shared" si="105"/>
        <v>3.6074108799512135</v>
      </c>
      <c r="Y41" s="573">
        <f t="shared" si="255"/>
        <v>-0.60790183343192927</v>
      </c>
      <c r="Z41" s="575">
        <f t="shared" ref="Z41:Z72" si="271">IF(M41="","",-E41)</f>
        <v>-0.73122629720911547</v>
      </c>
      <c r="AA41" s="572">
        <f t="shared" ref="AA41:AA72" si="272">IF(M41="","",-F41)</f>
        <v>-0.62898349931432918</v>
      </c>
      <c r="AB41" s="572">
        <f t="shared" ref="AB41:AB72" si="273">IF(M41="","",-G41)</f>
        <v>-0.26398458261828017</v>
      </c>
      <c r="AC41" s="579">
        <f t="shared" si="106"/>
        <v>1</v>
      </c>
      <c r="AD41" s="580">
        <f t="shared" si="142"/>
        <v>-0.73122629720911547</v>
      </c>
      <c r="AE41" s="572">
        <f t="shared" si="107"/>
        <v>-0.62898349931432918</v>
      </c>
      <c r="AF41" s="576">
        <f t="shared" si="108"/>
        <v>-0.26398458261828017</v>
      </c>
      <c r="AG41" s="545">
        <f t="shared" si="109"/>
        <v>-67.232191028594329</v>
      </c>
      <c r="AH41" s="546">
        <f t="shared" si="110"/>
        <v>136.9892976223594</v>
      </c>
      <c r="AI41" s="528">
        <f t="shared" si="111"/>
        <v>-74.693374732019336</v>
      </c>
      <c r="AJ41" s="529">
        <f t="shared" si="112"/>
        <v>-49.298664235723464</v>
      </c>
      <c r="AK41" s="578">
        <f t="shared" si="238"/>
        <v>0.94664927538301114</v>
      </c>
      <c r="AL41" s="572">
        <f t="shared" si="113"/>
        <v>-0.18484396002215547</v>
      </c>
      <c r="AM41" s="577">
        <f t="shared" si="114"/>
        <v>-0.26398458261828017</v>
      </c>
      <c r="AN41" s="524">
        <f t="shared" si="115"/>
        <v>-34.999994946626082</v>
      </c>
      <c r="AO41" s="525">
        <f t="shared" si="116"/>
        <v>18.799997285616254</v>
      </c>
      <c r="AP41" s="528">
        <f t="shared" si="117"/>
        <v>-11.048630775168235</v>
      </c>
      <c r="AQ41" s="529">
        <f t="shared" ref="AQ41:AQ72" si="274">IF(M41="","",DEGREES(ATAN(($AS$5*SIN(RADIANS(90)))/(($X41*2*PI())-($AS$5*COS(RADIANS(90)))))))</f>
        <v>0.42129671793364348</v>
      </c>
      <c r="AS41" s="932">
        <f t="shared" si="143"/>
        <v>-128.16003347354962</v>
      </c>
      <c r="AT41" s="928">
        <f t="shared" ref="AT41:AT72" si="275">IF(M41="","",Y41+(((AS41-$AS$9)*$AS$6)*-1))</f>
        <v>-0.5485268179409315</v>
      </c>
      <c r="AU41" s="418"/>
      <c r="AV41" s="164">
        <f t="shared" ref="AV41:AV72" si="276">IF(AND(ISNUMBER(VALUE(K41)),ISNUMBER(AW41),ISNUMBER(AX41),ISNUMBER(AY41),AY41&gt;=0.0001),$M41,"")</f>
        <v>3.121</v>
      </c>
      <c r="AW41" s="829">
        <f>IFERROR(INDEX(MassProp!C$9:C$150,MATCH($M41,MassProp!$B$9:$B$150,0)),"")</f>
        <v>3.6800999999999999</v>
      </c>
      <c r="AX41" s="830">
        <f>IFERROR(INDEX(MassProp!D$9:D$150,MATCH($M41,MassProp!$B$9:$B$150,0)),"")</f>
        <v>-4.1399999999999999E-2</v>
      </c>
      <c r="AY41" s="831">
        <f>IFERROR(INDEX(MassProp!E$9:E$150,MATCH($M41,MassProp!$B$9:$B$150,0)),"")</f>
        <v>2.9899999999999999E-2</v>
      </c>
      <c r="AZ41" s="297">
        <f t="shared" ref="AZ41:AZ53" si="277">IF(ISNUMBER(AV41),$AY41*SQRT((2*PI()*$AW41)^2+$AS$5^2),"")</f>
        <v>0.69138819191558465</v>
      </c>
      <c r="BA41" s="296">
        <f t="shared" ref="BA41:BA72" si="278">IF(ISNUMBER(AV41),AZ41/$AZ$151,"")</f>
        <v>3.6133455256767845E-2</v>
      </c>
      <c r="BB41" s="190">
        <f t="shared" si="145"/>
        <v>0.34046015127426488</v>
      </c>
      <c r="BC41" s="9"/>
      <c r="BD41" s="5">
        <f t="shared" ref="BD41:BD53" si="279">IF(ISNUMBER(AV41),AW41,"")</f>
        <v>3.6800999999999999</v>
      </c>
      <c r="BE41" s="6">
        <f t="shared" ref="BE41:BE72" si="280">IF(ISNUMBER(AV41),Y41+BB41,"")</f>
        <v>-0.2674416821576644</v>
      </c>
      <c r="BF41" s="4">
        <f t="shared" ref="BF41:BF72" si="281">IF(ISNUMBER($AV41),N41,"")</f>
        <v>2.8329595364130973</v>
      </c>
      <c r="BG41" s="5">
        <f t="shared" ref="BG41:BG72" si="282">IF(ISNUMBER($AV41),O41,"")</f>
        <v>-2.2333279028921118</v>
      </c>
      <c r="BH41" s="10">
        <f t="shared" ref="BH41:BH72" si="283">IF(ISNUMBER($AV41),P41,"")</f>
        <v>-0.60790183343192927</v>
      </c>
      <c r="BI41" s="9">
        <f t="shared" ref="BI41:BI53" si="284">IF(ISNUMBER($AV41),BF41+0,"")</f>
        <v>2.8329595364130973</v>
      </c>
      <c r="BJ41" s="5">
        <f t="shared" ref="BJ41:BJ72" si="285">IF(ISNUMBER($AV41),BG41+COS(RADIANS($AG41)),"")</f>
        <v>-1.8463303166505631</v>
      </c>
      <c r="BK41" s="8">
        <f t="shared" ref="BK41:BK72" si="286">IF(ISNUMBER($AV41),BH41+SIN(RADIANS($AG41)),"")</f>
        <v>-1.5299825610492106</v>
      </c>
      <c r="BL41" s="173">
        <f t="shared" ref="BL41:BL72" si="287">IF(ISNUMBER($AV41),BF41+SIN(RADIANS($AH41)),"")</f>
        <v>3.5150944953983752</v>
      </c>
      <c r="BM41" s="5">
        <f t="shared" ref="BM41:BM72" si="288">IF(ISNUMBER($AV41),BG41-SIN(RADIANS($AG41))*COS(RADIANS($AH41)),"")</f>
        <v>-2.9075775790755833</v>
      </c>
      <c r="BN41" s="6">
        <f t="shared" ref="BN41:BN72" si="289">IF(ISNUMBER($AV41),BH41+COS(RADIANS($AG41))*COS(RADIANS($AH41)),"")</f>
        <v>-0.89088464544820223</v>
      </c>
      <c r="BO41" s="4">
        <f t="shared" ref="BO41:BO53" si="290">IF(ISNUMBER($AV41),BJ41*BN41-BM41*BK41-BG41*(BN41-BK41)+BH41*(BM41-BJ41),"")</f>
        <v>-0.73122629720911514</v>
      </c>
      <c r="BP41" s="5">
        <f t="shared" si="239"/>
        <v>-0.62898349931432984</v>
      </c>
      <c r="BQ41" s="5">
        <f t="shared" ref="BQ41:BQ53" si="291">IF(ISNUMBER($AV41),BF41*(BJ41-BM41)-BG41*(BI41-BL41)+(BI41*BM41-BL41*BJ41),"")</f>
        <v>-0.26398458261828028</v>
      </c>
      <c r="BR41" s="6">
        <f t="shared" ref="BR41:BR53" si="292">IF(ISNUMBER($AV41),-(BF41*(BJ41*BN41-BM41*BK41)-BG41*(BI41*BN41-BL41*BK41)+BH41*(BI41*BM41-BL41*BJ41)),"")</f>
        <v>0.5063314007057711</v>
      </c>
      <c r="BS41" s="4">
        <f t="shared" si="118"/>
        <v>0</v>
      </c>
      <c r="BT41" s="5">
        <f t="shared" si="118"/>
        <v>0</v>
      </c>
      <c r="BU41" s="10">
        <f t="shared" si="119"/>
        <v>-0.2674416821576644</v>
      </c>
      <c r="BV41" s="9">
        <f t="shared" si="120"/>
        <v>0</v>
      </c>
      <c r="BW41" s="5">
        <f t="shared" si="121"/>
        <v>1</v>
      </c>
      <c r="BX41" s="8">
        <f t="shared" si="122"/>
        <v>-0.2674416821576644</v>
      </c>
      <c r="BY41" s="173">
        <f t="shared" si="123"/>
        <v>1</v>
      </c>
      <c r="BZ41" s="5">
        <f t="shared" si="124"/>
        <v>0</v>
      </c>
      <c r="CA41" s="6">
        <f t="shared" si="125"/>
        <v>-0.2674416821576644</v>
      </c>
      <c r="CB41" s="4">
        <f t="shared" ref="CB41:CB53" si="293">IF(ISNUMBER($AV41),BW41*CA41-BZ41*BX41-BT41*(CA41-BX41)+BU41*(BZ41-BW41),"")</f>
        <v>0</v>
      </c>
      <c r="CC41" s="5">
        <f t="shared" ref="CC41:CC53" si="294">IF(ISNUMBER($AV41),BS41*(CA41-BX41)-(BV41*CA41-BY41*BX41)+BU41*(BV41-BY41),"")</f>
        <v>0</v>
      </c>
      <c r="CD41" s="5">
        <f t="shared" ref="CD41:CD53" si="295">IF(ISNUMBER($AV41),BS41*(BW41-BZ41)-BT41*(BV41-BY41)+(BV41*BZ41-BY41*BW41),"")</f>
        <v>-1</v>
      </c>
      <c r="CE41" s="6">
        <f t="shared" ref="CE41:CE53" si="296">IF(ISNUMBER($AV41),-(BS41*(BW41*CA41-BZ41*BX41)-BT41*(BV41*CA41-BY41*BX41)+BU41*(BV41*BZ41-BY41*BW41)),"")</f>
        <v>-0.2674416821576644</v>
      </c>
      <c r="CF41" s="4">
        <f t="shared" ref="CF41:CF53" si="297">IF(ISNUMBER($AV41),(BP41*CD41)-(BQ41*CC41),"")</f>
        <v>0.62898349931432984</v>
      </c>
      <c r="CG41" s="5">
        <f t="shared" ref="CG41:CG53" si="298">IF(ISNUMBER($AV41),(BQ41*CB41)-(BO41*CD41),"")</f>
        <v>-0.73122629720911514</v>
      </c>
      <c r="CH41" s="5">
        <f t="shared" ref="CH41:CH53" si="299">IF(ISNUMBER($AV41),(BO41*CC41)-(BP41*CB41),"")</f>
        <v>0</v>
      </c>
      <c r="CI41" s="4">
        <f t="shared" si="126"/>
        <v>0</v>
      </c>
      <c r="CJ41" s="5">
        <f t="shared" ref="CJ41:CJ53" si="300">IF(ISNUMBER($AV41),(CD41*BR41-BQ41*CE41)/(BQ41*CC41-CD41*BP41),"")</f>
        <v>0.91724485964070657</v>
      </c>
      <c r="CK41" s="8">
        <f t="shared" ref="CK41:CK53" si="301">IF(ISNUMBER($AV41),(CC41*BR41-BP41*CE41)/(-CC41*BQ41+BP41*CD41),"")</f>
        <v>-0.2674416821576644</v>
      </c>
      <c r="CL41" s="173">
        <f t="shared" ref="CL41:CL53" si="302">IF(ISNUMBER($AV41),CI41+CF41,"")</f>
        <v>0.62898349931432984</v>
      </c>
      <c r="CM41" s="5">
        <f t="shared" ref="CM41:CM53" si="303">IF(ISNUMBER($AV41),CJ41+CG41,"")</f>
        <v>0.18601856243159143</v>
      </c>
      <c r="CN41" s="6">
        <f t="shared" ref="CN41:CN53" si="304">IF(ISNUMBER($AV41),CK41+CH41,"")</f>
        <v>-0.2674416821576644</v>
      </c>
      <c r="CO41" s="167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>0.3125</v>
      </c>
      <c r="CP41" s="4">
        <f t="shared" ref="CP41:CP53" si="306">IF(ISNUMBER($AV41),(CL41-CI41)^2+(CM41-CJ41)^2+(CN41-CK41)^2,"")</f>
        <v>0.93031214013985264</v>
      </c>
      <c r="CQ41" s="5">
        <f t="shared" ref="CQ41:CQ53" si="307">IF(ISNUMBER($AV41),2*((CL41-CI41)*(CI41-BF41)+(CM41-CJ41)*(CJ41-BG41)+(CN41-CK41)*(CK41-BH41)),"")</f>
        <v>-8.1713329157275538</v>
      </c>
      <c r="CR41" s="5">
        <f t="shared" ref="CR41:CR53" si="308">IF(ISNUMBER($AV41),BF41^2+BG41^2+BH41^2+CI41^2+CJ41^2+CK41^2-2*(BF41*CI41+BG41*CJ41+BH41*CK41)-CO41^2,"")</f>
        <v>17.970025331573279</v>
      </c>
      <c r="CS41" s="8">
        <f t="shared" ref="CS41:CS53" si="309">IF(ISNUMBER($AV41),CQ41^2-(4*CP41*CR41),"")</f>
        <v>-0.10024927868064992</v>
      </c>
      <c r="CT41" s="9" t="e">
        <f t="shared" si="160"/>
        <v>#NUM!</v>
      </c>
      <c r="CU41" s="6" t="e">
        <f t="shared" ref="CU41:CU53" si="310">IF(ISNUMBER($AV41),(-CQ41-SQRT(CS41))/(CP41*2),"")</f>
        <v>#NUM!</v>
      </c>
      <c r="CV41" s="4" t="e">
        <f t="shared" ref="CV41:CV53" si="311">IF(ISNUMBER($AV41),CI41+($CT41*(CL41-CI41)),"")</f>
        <v>#NUM!</v>
      </c>
      <c r="CW41" s="5" t="e">
        <f t="shared" ref="CW41:CW53" si="312">IF(ISNUMBER($AV41),CJ41+($CT41*(CM41-CJ41)),"")</f>
        <v>#NUM!</v>
      </c>
      <c r="CX41" s="8" t="e">
        <f t="shared" ref="CX41:CX53" si="313">IF(ISNUMBER($AV41),CK41+($CT41*(CN41-CK41)),"")</f>
        <v>#NUM!</v>
      </c>
      <c r="CY41" s="9" t="e">
        <f t="shared" ref="CY41:CY53" si="314">IF(ISNUMBER($AV41),CI41+($CU41*(CL41-CI41)),"")</f>
        <v>#NUM!</v>
      </c>
      <c r="CZ41" s="5" t="e">
        <f t="shared" ref="CZ41:CZ53" si="315">IF(ISNUMBER($AV41),CJ41+($CU41*(CM41-CJ41)),"")</f>
        <v>#NUM!</v>
      </c>
      <c r="DA41" s="6" t="e">
        <f t="shared" ref="DA41:DA53" si="316">IF(ISNUMBER($AV41),CK41+($CU41*(CN41-CK41)),"")</f>
        <v>#NUM!</v>
      </c>
      <c r="DB41" s="4">
        <f t="shared" si="167"/>
        <v>0</v>
      </c>
      <c r="DC41" s="5">
        <f t="shared" si="167"/>
        <v>0</v>
      </c>
      <c r="DD41" s="10">
        <f t="shared" si="168"/>
        <v>-10</v>
      </c>
      <c r="DE41" s="9">
        <f t="shared" si="169"/>
        <v>0</v>
      </c>
      <c r="DF41" s="5">
        <f t="shared" si="169"/>
        <v>0</v>
      </c>
      <c r="DG41" s="10">
        <f t="shared" si="170"/>
        <v>10</v>
      </c>
      <c r="DH41" s="70">
        <f t="shared" ref="DH41:DH53" si="317">IF(ISNUMBER($AV41),BD41,"")</f>
        <v>3.6800999999999999</v>
      </c>
      <c r="DI41" s="4">
        <f t="shared" ref="DI41:DI53" si="318">IF(ISNUMBER($AV41),DE41-DB41,"")</f>
        <v>0</v>
      </c>
      <c r="DJ41" s="5">
        <f t="shared" ref="DJ41:DJ53" si="319">IF(ISNUMBER($AV41),DF41-DC41,"")</f>
        <v>0</v>
      </c>
      <c r="DK41" s="10">
        <f t="shared" ref="DK41:DK53" si="320">IF(ISNUMBER($AV41),DG41-DD41,"")</f>
        <v>20</v>
      </c>
      <c r="DL41" s="9" t="e">
        <f t="shared" ref="DL41:DL53" si="321">IF(ISNUMBER($AV41),CV41-DB41,"")</f>
        <v>#NUM!</v>
      </c>
      <c r="DM41" s="173" t="e">
        <f t="shared" ref="DM41:DM53" si="322">IF(ISNUMBER($AV41),CW41-DC41,"")</f>
        <v>#NUM!</v>
      </c>
      <c r="DN41" s="178" t="e">
        <f t="shared" ref="DN41:DN53" si="323">IF(ISNUMBER($AV41),CX41-DD41,"")</f>
        <v>#NUM!</v>
      </c>
      <c r="DO41" s="9" t="e">
        <f t="shared" ref="DO41:DO53" si="324">IF(ISNUMBER($AV41),CY41-CV41,"")</f>
        <v>#NUM!</v>
      </c>
      <c r="DP41" s="173" t="e">
        <f t="shared" ref="DP41:DP53" si="325">IF(ISNUMBER($AV41),CZ41-CW41,"")</f>
        <v>#NUM!</v>
      </c>
      <c r="DQ41" s="11" t="e">
        <f t="shared" ref="DQ41:DQ53" si="326">IF(ISNUMBER($AV41),DA41-CX41,"")</f>
        <v>#NUM!</v>
      </c>
      <c r="DR41" s="173" t="e">
        <f t="shared" ref="DR41:DR53" si="327">IF(ISNUMBER($AV41),SUMPRODUCT(DI41:DK41,DL41:DN41),"")</f>
        <v>#NUM!</v>
      </c>
      <c r="DS41" s="5" t="e">
        <f t="shared" ref="DS41:DS53" si="328">IF(ISNUMBER($AV41),SUMPRODUCT(DO41:DQ41,DI41:DK41),"")</f>
        <v>#NUM!</v>
      </c>
      <c r="DT41" s="5">
        <f t="shared" ref="DT41:DT53" si="329">IF(ISNUMBER($AV41),SUMPRODUCT(DI41:DK41,DI41:DK41),"")</f>
        <v>400</v>
      </c>
      <c r="DU41" s="5" t="e">
        <f t="shared" ref="DU41:DU53" si="330">IF(ISNUMBER($AV41),SUMPRODUCT(DO41:DQ41,DO41:DQ41),"")</f>
        <v>#NUM!</v>
      </c>
      <c r="DV41" s="5" t="e">
        <f t="shared" ref="DV41:DV53" si="331">IF(ISNUMBER($AV41),SUMPRODUCT(DL41:DN41,DO41:DQ41),"")</f>
        <v>#NUM!</v>
      </c>
      <c r="DW41" s="5" t="e">
        <f t="shared" ref="DW41:DW53" si="332">IF(ISNUMBER($AV41),SUMPRODUCT(DL41:DN41,DL41:DN41),"")</f>
        <v>#NUM!</v>
      </c>
      <c r="DX41" s="167" t="e">
        <f t="shared" ref="DX41:DX53" si="333">IF(ISNUMBER($AV41),DW41-DH41*DH41,"")</f>
        <v>#NUM!</v>
      </c>
      <c r="DY41" s="9" t="e">
        <f t="shared" ref="DY41:DY53" si="334">IF(ISNUMBER($AV41),DT41*DU41-DS41*DS41,"")</f>
        <v>#NUM!</v>
      </c>
      <c r="DZ41" s="5" t="e">
        <f t="shared" ref="DZ41:DZ53" si="335">IF(ISNUMBER($AV41),DT41*DV41-DS41*DR41,"")</f>
        <v>#NUM!</v>
      </c>
      <c r="EA41" s="10" t="e">
        <f t="shared" ref="EA41:EA53" si="336">IF(ISNUMBER($AV41),DT41*DX41-DR41*DR41,"")</f>
        <v>#NUM!</v>
      </c>
      <c r="EB41" s="6" t="e">
        <f t="shared" ref="EB41:EB53" si="337">IF(ISNUMBER($AV41),DZ41*DZ41-DY41*EA41,"")</f>
        <v>#NUM!</v>
      </c>
      <c r="EC41" s="173" t="e">
        <f t="shared" ref="EC41:EC53" si="338">IF(ISNUMBER($AV41),(-DZ41+SQRT(DZ41^2-DY41*EA41))/DY41,"")</f>
        <v>#NUM!</v>
      </c>
      <c r="ED41" s="5" t="e">
        <f t="shared" ref="ED41:ED53" si="339">IF(ISNUMBER($AV41),(-DZ41-SQRT(DZ41^2-DY41*EA41))/DY41,"")</f>
        <v>#NUM!</v>
      </c>
      <c r="EE41" s="4" t="e">
        <f t="shared" ref="EE41:EE53" si="340">IF(ISNUMBER($AV41),CV41+DO41*$EC41,"")</f>
        <v>#NUM!</v>
      </c>
      <c r="EF41" s="5" t="e">
        <f t="shared" ref="EF41:EF53" si="341">IF(ISNUMBER($AV41),CW41+DP41*$EC41,"")</f>
        <v>#NUM!</v>
      </c>
      <c r="EG41" s="10" t="e">
        <f t="shared" ref="EG41:EG53" si="342">IF(ISNUMBER($AV41),CX41+DQ41*$EC41,"")</f>
        <v>#NUM!</v>
      </c>
      <c r="EH41" s="9" t="e">
        <f t="shared" ref="EH41:EH53" si="343">IF(ISNUMBER($AV41),CV41+DO41*$ED41,"")</f>
        <v>#NUM!</v>
      </c>
      <c r="EI41" s="5" t="e">
        <f t="shared" ref="EI41:EI53" si="344">IF(ISNUMBER($AV41),CW41+DP41*$ED41,"")</f>
        <v>#NUM!</v>
      </c>
      <c r="EJ41" s="6" t="e">
        <f t="shared" ref="EJ41:EJ53" si="345">IF(ISNUMBER($AV41),CX41+DQ41*$ED41,"")</f>
        <v>#NUM!</v>
      </c>
      <c r="EK41" s="236" t="e">
        <f t="shared" si="200"/>
        <v>#NUM!</v>
      </c>
      <c r="EL41" s="238" t="e">
        <f t="shared" si="201"/>
        <v>#NUM!</v>
      </c>
      <c r="EM41" s="4" t="e">
        <f t="shared" ref="EM41:EM53" si="346">IF(ISNUMBER($AV41),IF($EK41=TRUE,EE41,IF($EL41=TRUE,EH41,"")),"")</f>
        <v>#NUM!</v>
      </c>
      <c r="EN41" s="5" t="e">
        <f t="shared" ref="EN41:EN53" si="347">IF(ISNUMBER($AV41),IF($EK41=TRUE,EF41,IF($EL41=TRUE,EI41,"")),"")</f>
        <v>#NUM!</v>
      </c>
      <c r="EO41" s="10" t="e">
        <f t="shared" ref="EO41:EO53" si="348">IF(ISNUMBER($AV41),IF($EK41=TRUE,EG41,IF($EL41=TRUE,EJ41,"")),"")</f>
        <v>#NUM!</v>
      </c>
      <c r="EP41" s="9" t="e">
        <f t="shared" ref="EP41:EP53" si="349">IF(ISNUMBER($AV41),IF(DEGREES(ATAN2(EM41,EN41))&lt;0,DEGREES(ATAN2(EM41,EN41))+360,IF(DEGREES(ATAN2(EM41,EN41))&gt;360,DEGREES(ATAN2(EM41,EN41))-360,DEGREES(ATAN2(EM41,EN41)))),"")</f>
        <v>#NUM!</v>
      </c>
      <c r="EQ41" s="5" t="e">
        <f t="shared" ref="EQ41:EQ53" si="350">IF(ISNUMBER($AV41),SQRT(EM41^2+EN41^2),"")</f>
        <v>#NUM!</v>
      </c>
      <c r="ER41" s="7" t="e">
        <f t="shared" ref="ER41:ER53" si="351">IF(ISNUMBER($AV41),EO41,"")</f>
        <v>#NUM!</v>
      </c>
      <c r="ES41" s="21">
        <f t="shared" ref="ES41:ES72" si="352">IF(ISNUMBER($AV41),AD41,"")</f>
        <v>-0.73122629720911547</v>
      </c>
      <c r="ET41" s="5">
        <f t="shared" ref="ET41:ET72" si="353">IF(ISNUMBER($AV41),AE41,"")</f>
        <v>-0.62898349931432918</v>
      </c>
      <c r="EU41" s="10">
        <f t="shared" ref="EU41:EU72" si="354">IF(ISNUMBER($AV41),AF41,"")</f>
        <v>-0.26398458261828017</v>
      </c>
      <c r="EV41" s="174" t="e">
        <f t="shared" ref="EV41:EV53" si="355">IF(ISNUMBER($AV41),IF(($EV$1-EP41)&lt;0,(360+($EV$1-EP41)),($EV$1-EP41)),"")</f>
        <v>#NUM!</v>
      </c>
      <c r="EW41" s="9" t="e">
        <f t="shared" ref="EW41:EW53" si="356">IF(ISNUMBER($AV41),(COS(RADIANS($EV41))*ES41)+(-SIN(RADIANS($EV41))*ET41),"")</f>
        <v>#NUM!</v>
      </c>
      <c r="EX41" s="5" t="e">
        <f t="shared" ref="EX41:EX53" si="357">IF(ISNUMBER($AV41),(SIN(RADIANS($EV41))*ES41)+(COS(RADIANS($EV41))*ET41),"")</f>
        <v>#NUM!</v>
      </c>
      <c r="EY41" s="6">
        <f t="shared" ref="EY41:EY53" si="358">IF(ISNUMBER($AV41),EU41,"")</f>
        <v>-0.26398458261828017</v>
      </c>
      <c r="EZ41" s="51" t="e">
        <f t="shared" si="209"/>
        <v>#NUM!</v>
      </c>
      <c r="FA41" s="266" t="e">
        <f t="shared" si="134"/>
        <v>#NUM!</v>
      </c>
      <c r="FB41" s="267" t="e">
        <f t="shared" si="135"/>
        <v>#NUM!</v>
      </c>
      <c r="FC41" s="269" t="e">
        <f t="shared" si="48"/>
        <v>#NUM!</v>
      </c>
      <c r="FD41" s="4" t="e">
        <f t="shared" ref="FD41:FD53" si="359">IF(ISNUMBER($AV41),(COS(RADIANS($EV41))*FA41)+(-SIN(RADIANS($EV41))*FB41),"")</f>
        <v>#NUM!</v>
      </c>
      <c r="FE41" s="5" t="e">
        <f t="shared" ref="FE41:FE53" si="360">IF(ISNUMBER($AV41),(SIN(RADIANS($EV41))*FA41)+(COS(RADIANS($EV41))*FB41),"")</f>
        <v>#NUM!</v>
      </c>
      <c r="FF41" s="7" t="e">
        <f t="shared" ref="FF41:FF53" si="361">IF(ISNUMBER($AV41),FC41,"")</f>
        <v>#NUM!</v>
      </c>
      <c r="FG41" s="173" t="e">
        <f t="shared" ref="FG41:FG53" si="362">IF(ISNUMBER($AV41),EW41-FD41,"")</f>
        <v>#NUM!</v>
      </c>
      <c r="FH41" s="5" t="e">
        <f t="shared" ref="FH41:FH53" si="363">IF(ISNUMBER($AV41),EX41-FE41,"")</f>
        <v>#NUM!</v>
      </c>
      <c r="FI41" s="10" t="e">
        <f t="shared" ref="FI41:FI53" si="364">IF(ISNUMBER($AV41),EY41-FF41,"")</f>
        <v>#NUM!</v>
      </c>
      <c r="FJ41" s="279" t="e">
        <f t="shared" ref="FJ41:FJ53" si="365">IF(ISNUMBER($AV41),DEGREES(ACOS((2-SQRT((FG41)^2+(FH41)^2+(FI41)^2)^2)/2)),"")</f>
        <v>#NUM!</v>
      </c>
      <c r="FK41" s="4">
        <f t="shared" ref="FK41:FK53" si="366">IF(ISNUMBER($AV41),SQRT(ES41^2+ET41^2),"")</f>
        <v>0.96452689964554772</v>
      </c>
      <c r="FL41" s="5" t="e">
        <f t="shared" ref="FL41:FL53" si="367">IF(ISNUMBER($AV41),SQRT(FA41^2+FB41^2),"")</f>
        <v>#NUM!</v>
      </c>
      <c r="FM41" s="8" t="e">
        <f t="shared" ref="FM41:FM53" si="368">IF(ISNUMBER($AV41),SQRT(FG41^2+FH41^2),"")</f>
        <v>#NUM!</v>
      </c>
      <c r="FN41" s="9" t="e">
        <f t="shared" ref="FN41:FN53" si="369">IF(ISNUMBER($AV41),DEGREES(ACOS((FK41^2+FL41^2-FM41^2)/(2*FK41*FL41))),"")</f>
        <v>#NUM!</v>
      </c>
      <c r="FO41" s="10" t="e">
        <f t="shared" ref="FO41:FO53" si="370">IF(ISNUMBER($AV41),IF(SQRT((EM41+(ES41/SQRT(ES41^2+(ET41/SQRT(ES41^2+ET41^2))^2)))^2+(EN41+ET41)^2)&gt;SQRT((EM41+(FA41/SQRT(FA41^2+FB41^2)))^2+(EN41+(FB41/SQRT(FA41^2+FB41^2)))^2),-1,1),"")</f>
        <v>#NUM!</v>
      </c>
      <c r="FP41" s="277" t="e">
        <f t="shared" ref="FP41:FP53" si="371">IF(ISNUMBER($AV41),FN41*FO41,"")</f>
        <v>#NUM!</v>
      </c>
      <c r="FQ41" s="173" t="e">
        <f t="shared" ref="FQ41:FQ53" si="372">IF(ISNUMBER($AV41),SIN(RADIANS(FN41)),"")</f>
        <v>#NUM!</v>
      </c>
      <c r="FR41" s="10" t="e">
        <f t="shared" ref="FR41:FR53" si="373">IF(ISNUMBER($AV41),COS(RADIANS(FN41)),"")</f>
        <v>#NUM!</v>
      </c>
      <c r="FS41" s="9" t="e">
        <f t="shared" ref="FS41:FS53" si="374">IF(ISNUMBER($AV41),FQ41/(FQ41+FR41),"")</f>
        <v>#NUM!</v>
      </c>
      <c r="FT41" s="6" t="e">
        <f t="shared" ref="FT41:FT53" si="375">IF(ISNUMBER($AV41),FR41/(FQ41+FR41),"")</f>
        <v>#NUM!</v>
      </c>
      <c r="FU41" s="4" t="e">
        <f t="shared" ref="FU41:FU53" si="376">IF(ISNUMBER($AV41),SQRT(EW41^2+EY41^2),"")</f>
        <v>#NUM!</v>
      </c>
      <c r="FV41" s="5" t="e">
        <f t="shared" ref="FV41:FV53" si="377">IF(ISNUMBER($AV41),SQRT(FD41^2+FF41^2),"")</f>
        <v>#NUM!</v>
      </c>
      <c r="FW41" s="8" t="e">
        <f t="shared" ref="FW41:FW53" si="378">IF(ISNUMBER($AV41),SQRT(FG41^2+FI41^2),"")</f>
        <v>#NUM!</v>
      </c>
      <c r="FX41" s="9" t="e">
        <f t="shared" ref="FX41:FX53" si="379">IF(ISNUMBER($AV41),DEGREES(ACOS((FU41^2+FV41^2-FW41^2)/(2*FU41*FV41))),"")</f>
        <v>#NUM!</v>
      </c>
      <c r="FY41" s="10" t="e">
        <f t="shared" ref="FY41:FY53" si="380">IF(ISNUMBER($AV41),IF(EU41&lt;FC41,1,-1),"")</f>
        <v>#NUM!</v>
      </c>
      <c r="FZ41" s="277" t="e">
        <f t="shared" ref="FZ41:FZ53" si="381">IF(ISNUMBER($AV41),FX41*FY41,"")</f>
        <v>#NUM!</v>
      </c>
      <c r="GA41" s="177" t="e">
        <f t="shared" ref="GA41:GA53" si="382">IF(ISNUMBER($AV41),DEGREES(FZ41*SIN(RADIANS(FU41))),"")</f>
        <v>#NUM!</v>
      </c>
      <c r="GB41" s="4" t="e">
        <f t="shared" ref="GB41:GB53" si="383">IF(ISNUMBER($AV41),COS(RADIANS(FP41+90))*COS(RADIANS(FZ41)),"")</f>
        <v>#NUM!</v>
      </c>
      <c r="GC41" s="5" t="e">
        <f t="shared" ref="GC41:GC53" si="384">IF(ISNUMBER($AV41),SIN(RADIANS(FP41+90))*COS(RADIANS(FZ41)),"")</f>
        <v>#NUM!</v>
      </c>
      <c r="GD41" s="10" t="e">
        <f t="shared" ref="GD41:GD53" si="385">IF(ISNUMBER($AV41),-SIN(RADIANS(FZ41)),"")</f>
        <v>#NUM!</v>
      </c>
      <c r="GE41" s="311" t="e">
        <f t="shared" ref="GE41:GE53" si="386">IF(ISNUMBER($AV41),SUM(ABS(GB41),ABS(GC41),ABS(GD41)),"")</f>
        <v>#NUM!</v>
      </c>
      <c r="GF41" s="341" t="e">
        <f t="shared" ref="GF41:GF53" si="387">IF(ISNUMBER($AV41),1/GE41,"")</f>
        <v>#NUM!</v>
      </c>
      <c r="GG41" s="285" t="e">
        <f t="shared" ref="GG41:GG53" si="388">IF(ISNUMBER($AV41),ABS(GB41)/(ABS($GB41)+ABS($GC41)+ABS($GD41)),"")</f>
        <v>#NUM!</v>
      </c>
      <c r="GH41" s="286" t="e">
        <f t="shared" ref="GH41:GH53" si="389">IF(ISNUMBER($AV41),ABS(GC41)/(ABS($GB41)+ABS($GC41)+ABS($GD41)),"")</f>
        <v>#NUM!</v>
      </c>
      <c r="GI41" s="281" t="e">
        <f t="shared" ref="GI41:GI53" si="390">IF(ISNUMBER($AV41),ABS(GD41)/(ABS($GB41)+ABS($GC41)+ABS($GD41)),"")</f>
        <v>#NUM!</v>
      </c>
      <c r="GJ41" s="167">
        <f t="shared" ref="GJ41:GJ53" si="391">IF(ISNUMBER($AV41),AW41,"")</f>
        <v>3.6800999999999999</v>
      </c>
      <c r="GK41" s="174">
        <f t="shared" si="59"/>
        <v>1.9269459083488982</v>
      </c>
      <c r="GL41" s="174">
        <f t="shared" ref="GL41:GL53" si="392">IF(ISNUMBER($AV41),AY41,"")</f>
        <v>2.9899999999999999E-2</v>
      </c>
      <c r="GM41" s="177">
        <f t="shared" ref="GM41:GM53" si="393">IF(ISNUMBER($AV41),AZ41,"")</f>
        <v>0.69138819191558465</v>
      </c>
      <c r="GN41" s="280">
        <f t="shared" ref="GN41:GN53" si="394">IF(ISNUMBER($AV41),BA41,"")</f>
        <v>3.6133455256767845E-2</v>
      </c>
      <c r="GO41" s="4" t="e">
        <f t="shared" ref="GO41:GO53" si="395">IF(ISNUMBER($AV41),FP41,"")</f>
        <v>#NUM!</v>
      </c>
      <c r="GP41" s="8" t="e">
        <f t="shared" ref="GP41:GP53" si="396">IF(ISNUMBER($AV41),FZ41,"")</f>
        <v>#NUM!</v>
      </c>
      <c r="GQ41" s="177" t="e">
        <f t="shared" ref="GQ41:GQ53" si="397">IF(ISNUMBER($AV41),FJ41,"")</f>
        <v>#NUM!</v>
      </c>
      <c r="GR41" s="371" t="e">
        <f t="shared" ref="GR41:GR53" si="398">IF(ISNUMBER($AV41),GS41+GU41+GY41,"")</f>
        <v>#NUM!</v>
      </c>
      <c r="GS41" s="342" t="e">
        <f t="shared" ref="GS41:GS53" si="399">IF(ISNUMBER($AV41),GU41/GH41*GG41,"")</f>
        <v>#NUM!</v>
      </c>
      <c r="GT41" s="343" t="e">
        <f t="shared" ref="GT41:GT53" si="400">IF(ISNUMBER($AV41),GS41/$GK41,"")</f>
        <v>#NUM!</v>
      </c>
      <c r="GU41" s="344">
        <f t="shared" si="63"/>
        <v>1699.6626384591457</v>
      </c>
      <c r="GV41" s="343">
        <f t="shared" ref="GV41:GV53" si="401">IF(ISNUMBER($AV41),GW41*$GL41,"")</f>
        <v>882.05</v>
      </c>
      <c r="GW41" s="345">
        <f t="shared" si="64"/>
        <v>29500</v>
      </c>
      <c r="GX41" s="346">
        <f t="shared" si="65"/>
        <v>270.50268374999996</v>
      </c>
      <c r="GY41" s="344" t="e">
        <f t="shared" ref="GY41:GY53" si="402">IF(ISNUMBER($AV41),GU41/GH41*GI41,"")</f>
        <v>#NUM!</v>
      </c>
      <c r="GZ41" s="345" t="e">
        <f t="shared" ref="GZ41:GZ53" si="403">IF(ISNUMBER($AV41),GY41/$GK41,"")</f>
        <v>#NUM!</v>
      </c>
      <c r="HA41" s="342" t="e">
        <f t="shared" si="68"/>
        <v>#NUM!</v>
      </c>
      <c r="HB41" s="5" t="e">
        <f t="shared" si="231"/>
        <v>#NUM!</v>
      </c>
      <c r="HC41" s="343" t="e">
        <f t="shared" ref="HC41:HC53" si="404">IF(ISNUMBER($AV41),HA41*COS(RADIANS(HB41)),"")</f>
        <v>#NUM!</v>
      </c>
      <c r="HD41" s="345" t="e">
        <f t="shared" ref="HD41:HD53" si="405">IF(ISNUMBER($AV41),HA41*SIN(RADIANS(HB41)),"")</f>
        <v>#NUM!</v>
      </c>
      <c r="HE41" s="344" t="e">
        <f t="shared" si="69"/>
        <v>#NUM!</v>
      </c>
      <c r="HF41" s="5" t="e">
        <f t="shared" si="70"/>
        <v>#NUM!</v>
      </c>
      <c r="HG41" s="343" t="e">
        <f t="shared" ref="HG41:HG53" si="406">IF(ISNUMBER($AV41),HE41*COS(RADIANS(HF41)),"")</f>
        <v>#NUM!</v>
      </c>
      <c r="HH41" s="349" t="e">
        <f t="shared" ref="HH41:HH53" si="407">IF(ISNUMBER($AV41),HE41*SIN(RADIANS(HF41)),"")</f>
        <v>#NUM!</v>
      </c>
      <c r="HI41" s="317">
        <f t="shared" ref="HI41:HI72" si="408">IF(ISNUMBER($AV41),$M41,"")</f>
        <v>3.121</v>
      </c>
      <c r="HJ41" s="336"/>
      <c r="HK41" s="310">
        <f t="shared" si="137"/>
        <v>33</v>
      </c>
      <c r="HL41" s="348">
        <f t="shared" ref="HL41:HL72" si="409">IF(ISNUMBER($HS41),INDEX(HI$9:HI$150,MATCH($HS41,$GJ$9:$GJ$150,0)),"")</f>
        <v>3.133</v>
      </c>
      <c r="HM41" s="909" t="e">
        <f t="shared" ref="HM41:HM72" si="410">IF(ISNUMBER($HL41),INDEX(GO$9:GO$150,MATCH($HL41,$AV$9:$AV$150,0)),"")</f>
        <v>#VALUE!</v>
      </c>
      <c r="HN41" s="910">
        <f t="shared" ref="HN41:HN72" si="411">IF(ISNUMBER($HL41),INDEX(AO$9:AO$150,MATCH($HL41,$AV$9:$AV$150,0)),"")</f>
        <v>25.519996315368395</v>
      </c>
      <c r="HO41" s="911"/>
      <c r="HP41" s="912"/>
      <c r="HQ41" s="910" t="e">
        <f t="shared" ref="HQ41:HQ72" si="412">IF(ISNUMBER($HL41),INDEX(GQ$9:GQ$150,MATCH($HL41,$AV$9:$AV$150,0)),"")</f>
        <v>#VALUE!</v>
      </c>
      <c r="HR41" s="913" t="e">
        <f t="shared" ref="HR41:HR72" si="413">IF(ISNUMBER($HL41),INDEX(GP$9:GP$150,MATCH($HL41,$AV$9:$AV$150,0)),"")</f>
        <v>#VALUE!</v>
      </c>
      <c r="HS41" s="865">
        <f t="shared" si="251"/>
        <v>4.6947999999999999</v>
      </c>
      <c r="HT41" s="875">
        <f t="shared" ref="HT41:HT72" si="414">IF(ISNUMBER($HL41),INDEX(GL$9:GL$150,MATCH($HL41,$AV$9:$AV$150,0)),"")</f>
        <v>1.34E-2</v>
      </c>
      <c r="HU41" s="876">
        <f t="shared" ref="HU41:HU72" si="415">IF(ISNUMBER($HL41),INDEX(GM$9:GM$150,MATCH($HL41,$AV$9:$AV$150,0)),"")</f>
        <v>0.39528350745876706</v>
      </c>
      <c r="HV41" s="872">
        <f t="shared" ref="HV41:HV72" si="416">IF(ISNUMBER($HL41),INDEX(GN$9:GN$150,MATCH($HL41,$AV$9:$AV$150,0)),"")</f>
        <v>2.0658378458745071E-2</v>
      </c>
      <c r="HW41" s="866">
        <f t="shared" ref="HW41:HW72" si="417">IF(ISNUMBER($HL41),INDEX(GW$9:GW$150,MATCH($HL41,$AV$9:$AV$150,0)),"")</f>
        <v>29500</v>
      </c>
      <c r="HX41" s="867">
        <f t="shared" ref="HX41:HX72" si="418">IF(ISNUMBER($HL41),INDEX(GX$9:GX$150,MATCH($HL41,$AV$9:$AV$150,0)),"")</f>
        <v>154.65453666666667</v>
      </c>
      <c r="HY41" s="866" t="e">
        <f t="shared" ref="HY41:HY72" si="419">IF(ISNUMBER($HL41),INDEX(GS$9:GS$150,MATCH($HL41,$AV$9:$AV$150,0)),"")</f>
        <v>#VALUE!</v>
      </c>
      <c r="HZ41" s="868">
        <f t="shared" ref="HZ41:HZ72" si="420">IF(ISNUMBER($HL41),INDEX(GU$9:GU$150,MATCH($HL41,$AV$9:$AV$150,0)),"")</f>
        <v>971.7386225028024</v>
      </c>
      <c r="IA41" s="869" t="e">
        <f t="shared" ref="IA41:IA72" si="421">IF(ISNUMBER($HL41),INDEX(GY$9:GY$150,MATCH($HL41,$AV$9:$AV$150,0)),"")</f>
        <v>#VALUE!</v>
      </c>
      <c r="IB41" s="870" t="e">
        <f t="shared" ref="IB41:IB72" si="422">IF(ISNUMBER($HL41),INDEX(GR$9:GR$150,MATCH($HL41,$AV$9:$AV$150,0)),"")</f>
        <v>#VALUE!</v>
      </c>
      <c r="IC41" s="841" t="e">
        <f t="shared" ref="IC41:IC72" si="423">IF(ISNUMBER($HL41),INDEX(GT$9:GT$150,MATCH($HL41,$AV$9:$AV$150,0)),"")</f>
        <v>#VALUE!</v>
      </c>
      <c r="ID41" s="351">
        <f t="shared" ref="ID41:ID72" si="424">IF(ISNUMBER($HL41),INDEX(GV$9:GV$150,MATCH($HL41,$AV$9:$AV$150,0)),"")</f>
        <v>395.3</v>
      </c>
      <c r="IE41" s="843" t="e">
        <f t="shared" ref="IE41:IE72" si="425">IF(ISNUMBER($HL41),INDEX(GZ$9:GZ$150,MATCH($HL41,$AV$9:$AV$150,0)),"")</f>
        <v>#VALUE!</v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3.121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</v>
      </c>
      <c r="B42" s="578">
        <f t="shared" si="257"/>
        <v>3.2091546993201465</v>
      </c>
      <c r="C42" s="572">
        <f t="shared" si="258"/>
        <v>-2.5987253286226952</v>
      </c>
      <c r="D42" s="576">
        <f t="shared" si="259"/>
        <v>-1.1426034460919936</v>
      </c>
      <c r="E42" s="580">
        <f t="shared" si="260"/>
        <v>0.80738983962241495</v>
      </c>
      <c r="F42" s="572">
        <f t="shared" si="261"/>
        <v>0.53790037623159226</v>
      </c>
      <c r="G42" s="579">
        <f t="shared" si="262"/>
        <v>0.24245583541008645</v>
      </c>
      <c r="H42" s="580">
        <f t="shared" si="263"/>
        <v>0.3125</v>
      </c>
      <c r="I42" s="572">
        <f t="shared" si="264"/>
        <v>0.52</v>
      </c>
      <c r="J42" s="483">
        <f t="shared" si="265"/>
        <v>3.1269999999999998</v>
      </c>
      <c r="K42" s="806">
        <f t="shared" si="266"/>
        <v>1613</v>
      </c>
      <c r="L42" s="309"/>
      <c r="M42" s="164">
        <f t="shared" si="267"/>
        <v>3.1269999999999998</v>
      </c>
      <c r="N42" s="575">
        <f t="shared" si="268"/>
        <v>3.2091546993201465</v>
      </c>
      <c r="O42" s="572">
        <f t="shared" si="269"/>
        <v>-2.5987253286226952</v>
      </c>
      <c r="P42" s="576">
        <f t="shared" si="270"/>
        <v>-1.1426034460919936</v>
      </c>
      <c r="Q42" s="528">
        <f t="shared" si="140"/>
        <v>320.9999666477313</v>
      </c>
      <c r="R42" s="572">
        <f t="shared" ref="R42:R47" si="439">IF(M42="","",SQRT(N42^2+O42^2))</f>
        <v>4.1294124543079631</v>
      </c>
      <c r="S42" s="577">
        <f t="shared" ref="S42:S47" si="440">IF(M42="","",P42)</f>
        <v>-1.1426034460919936</v>
      </c>
      <c r="T42" s="578">
        <f t="shared" ref="T42:T47" si="441">IF(M42="","",X42*COS(RADIANS(W42)))</f>
        <v>-2.5936811969624216</v>
      </c>
      <c r="U42" s="572">
        <f t="shared" ref="U42:U47" si="442">IF(M42="","",X42*SIN(RADIANS(W42)))</f>
        <v>-3.2132328061186755</v>
      </c>
      <c r="V42" s="579">
        <f t="shared" ref="V42:V47" si="443">IF(M42="","",Y42)</f>
        <v>-1.1426034460919936</v>
      </c>
      <c r="W42" s="528">
        <f t="shared" si="253"/>
        <v>231.08996663473692</v>
      </c>
      <c r="X42" s="572">
        <f t="shared" ref="X42:X47" si="444">IF(M42="","",R42)</f>
        <v>4.1294124543079631</v>
      </c>
      <c r="Y42" s="573">
        <f t="shared" si="255"/>
        <v>-1.1426034460919936</v>
      </c>
      <c r="Z42" s="575">
        <f t="shared" si="271"/>
        <v>-0.80738983962241495</v>
      </c>
      <c r="AA42" s="572">
        <f t="shared" si="272"/>
        <v>-0.53790037623159226</v>
      </c>
      <c r="AB42" s="572">
        <f t="shared" si="273"/>
        <v>-0.24245583541008645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-0.80738983962241495</v>
      </c>
      <c r="AE42" s="572">
        <f t="shared" ref="AE42:AE47" si="447">IF(M42="","",AA42*(1/SQRT(Z42^2+AA42^2+AB42^2)))</f>
        <v>-0.53790037623159226</v>
      </c>
      <c r="AF42" s="576">
        <f t="shared" ref="AF42:AF47" si="448">IF(M42="","",AB42*(1/SQRT(Z42^2+AA42^2+AB42^2)))</f>
        <v>-0.24245583541008645</v>
      </c>
      <c r="AG42" s="545">
        <f t="shared" ref="AG42:AG47" si="449">IF(M42="","",DEGREES(ATAN2(-AF42,AE42)))</f>
        <v>-65.736773571222301</v>
      </c>
      <c r="AH42" s="546">
        <f t="shared" ref="AH42:AH47" si="450">IF(M42="","",DEGREES(ACOS(AD42)))</f>
        <v>143.84169000523531</v>
      </c>
      <c r="AI42" s="528">
        <f t="shared" ref="AI42:AI47" si="451">IF(M42="","",DEGREES(-ACOS(-AF42)))</f>
        <v>-75.96846879015844</v>
      </c>
      <c r="AJ42" s="529">
        <f t="shared" ref="AJ42:AJ47" si="452">IF(M42="","",DEGREES(ATAN2(-AE42,AD42)))</f>
        <v>-56.327598831295376</v>
      </c>
      <c r="AK42" s="578">
        <f t="shared" ref="AK42:AK47" si="453">IF(M42="","",(COS(RADIANS((90-$Q$8)-W42))*AD42)+(-SIN(RADIANS((90-$Q$8)-W42))*AE42))</f>
        <v>0.92613416285392447</v>
      </c>
      <c r="AL42" s="572">
        <f t="shared" ref="AL42:AL47" si="454">IF(M42="","",(SIN(RADIANS((90-$Q$8)-W42))*AD42)+(COS(RADIANS((90-$Q$8)-W42))*AE42))</f>
        <v>-0.28894753895899167</v>
      </c>
      <c r="AM42" s="577">
        <f t="shared" ref="AM42:AM47" si="455">IF(M42="","",AF42)</f>
        <v>-0.24245583541008645</v>
      </c>
      <c r="AN42" s="524">
        <f t="shared" ref="AN42:AN47" si="456">IF(M42="","",DEGREES(ATAN2(-AM42,AL42)))</f>
        <v>-49.999992780894218</v>
      </c>
      <c r="AO42" s="525">
        <f t="shared" si="116"/>
        <v>22.159996800492262</v>
      </c>
      <c r="AP42" s="528">
        <f t="shared" ref="AP42:AP47" si="457">IF(M42="","",DEGREES(ATAN2(AK42,AL42)))</f>
        <v>-17.327565479026678</v>
      </c>
      <c r="AQ42" s="529">
        <f t="shared" si="274"/>
        <v>0.36804191101474681</v>
      </c>
      <c r="AS42" s="932">
        <f t="shared" si="143"/>
        <v>-128.91003336526308</v>
      </c>
      <c r="AT42" s="928">
        <f t="shared" si="275"/>
        <v>-1.0828812084289063</v>
      </c>
      <c r="AU42" s="418"/>
      <c r="AV42" s="164">
        <f t="shared" si="276"/>
        <v>3.1269999999999998</v>
      </c>
      <c r="AW42" s="829">
        <f>IFERROR(INDEX(MassProp!C$9:C$150,MATCH($M42,MassProp!$B$9:$B$150,0)),"")</f>
        <v>4.2827999999999999</v>
      </c>
      <c r="AX42" s="830">
        <f>IFERROR(INDEX(MassProp!D$9:D$150,MATCH($M42,MassProp!$B$9:$B$150,0)),"")</f>
        <v>-0.61480000000000001</v>
      </c>
      <c r="AY42" s="831">
        <f>IFERROR(INDEX(MassProp!E$9:E$150,MATCH($M42,MassProp!$B$9:$B$150,0)),"")</f>
        <v>2.2200000000000001E-2</v>
      </c>
      <c r="AZ42" s="297">
        <f t="shared" si="277"/>
        <v>0.59740515594126098</v>
      </c>
      <c r="BA42" s="296">
        <f t="shared" si="278"/>
        <v>3.1221696761349321E-2</v>
      </c>
      <c r="BB42" s="190">
        <f t="shared" si="145"/>
        <v>0.3014145417622397</v>
      </c>
      <c r="BC42" s="9"/>
      <c r="BD42" s="5">
        <f t="shared" si="279"/>
        <v>4.2827999999999999</v>
      </c>
      <c r="BE42" s="6">
        <f t="shared" si="280"/>
        <v>-0.84118890432975391</v>
      </c>
      <c r="BF42" s="4">
        <f t="shared" si="281"/>
        <v>3.2091546993201465</v>
      </c>
      <c r="BG42" s="5">
        <f t="shared" si="282"/>
        <v>-2.5987253286226952</v>
      </c>
      <c r="BH42" s="10">
        <f t="shared" si="283"/>
        <v>-1.1426034460919936</v>
      </c>
      <c r="BI42" s="9">
        <f t="shared" si="284"/>
        <v>3.2091546993201465</v>
      </c>
      <c r="BJ42" s="5">
        <f t="shared" si="285"/>
        <v>-2.1877960114913599</v>
      </c>
      <c r="BK42" s="8">
        <f t="shared" si="286"/>
        <v>-2.0542706530935257</v>
      </c>
      <c r="BL42" s="173">
        <f t="shared" si="287"/>
        <v>3.79917304384385</v>
      </c>
      <c r="BM42" s="5">
        <f t="shared" si="288"/>
        <v>-3.334796168672677</v>
      </c>
      <c r="BN42" s="6">
        <f t="shared" si="289"/>
        <v>-1.474383601546811</v>
      </c>
      <c r="BO42" s="4">
        <f t="shared" si="290"/>
        <v>-0.80738983962241417</v>
      </c>
      <c r="BP42" s="5">
        <f t="shared" si="239"/>
        <v>-0.53790037623159193</v>
      </c>
      <c r="BQ42" s="5">
        <f t="shared" si="291"/>
        <v>-0.24245583541008697</v>
      </c>
      <c r="BR42" s="6">
        <f t="shared" si="292"/>
        <v>0.91615269295421653</v>
      </c>
      <c r="BS42" s="4">
        <f t="shared" ref="BS42:BT53" si="458">IF(ISNUMBER($AV42),0,"")</f>
        <v>0</v>
      </c>
      <c r="BT42" s="5">
        <f t="shared" si="458"/>
        <v>0</v>
      </c>
      <c r="BU42" s="10">
        <f t="shared" si="119"/>
        <v>-0.84118890432975391</v>
      </c>
      <c r="BV42" s="9">
        <f t="shared" si="120"/>
        <v>0</v>
      </c>
      <c r="BW42" s="5">
        <f t="shared" si="121"/>
        <v>1</v>
      </c>
      <c r="BX42" s="8">
        <f t="shared" si="122"/>
        <v>-0.84118890432975391</v>
      </c>
      <c r="BY42" s="173">
        <f t="shared" si="123"/>
        <v>1</v>
      </c>
      <c r="BZ42" s="5">
        <f t="shared" si="124"/>
        <v>0</v>
      </c>
      <c r="CA42" s="6">
        <f t="shared" si="125"/>
        <v>-0.84118890432975391</v>
      </c>
      <c r="CB42" s="4">
        <f t="shared" si="293"/>
        <v>0</v>
      </c>
      <c r="CC42" s="5">
        <f t="shared" si="294"/>
        <v>0</v>
      </c>
      <c r="CD42" s="5">
        <f t="shared" si="295"/>
        <v>-1</v>
      </c>
      <c r="CE42" s="6">
        <f t="shared" si="296"/>
        <v>-0.84118890432975391</v>
      </c>
      <c r="CF42" s="4">
        <f t="shared" si="297"/>
        <v>0.53790037623159193</v>
      </c>
      <c r="CG42" s="5">
        <f t="shared" si="298"/>
        <v>-0.80738983962241417</v>
      </c>
      <c r="CH42" s="5">
        <f t="shared" si="299"/>
        <v>0</v>
      </c>
      <c r="CI42" s="4">
        <f t="shared" si="126"/>
        <v>0</v>
      </c>
      <c r="CJ42" s="5">
        <f t="shared" si="300"/>
        <v>2.0823630192237017</v>
      </c>
      <c r="CK42" s="8">
        <f t="shared" si="301"/>
        <v>-0.84118890432975391</v>
      </c>
      <c r="CL42" s="173">
        <f t="shared" si="302"/>
        <v>0.53790037623159193</v>
      </c>
      <c r="CM42" s="5">
        <f t="shared" si="303"/>
        <v>1.2749731796012875</v>
      </c>
      <c r="CN42" s="6">
        <f t="shared" si="304"/>
        <v>-0.84118890432975391</v>
      </c>
      <c r="CO42" s="167">
        <f t="shared" si="305"/>
        <v>0.3125</v>
      </c>
      <c r="CP42" s="4">
        <f t="shared" si="306"/>
        <v>0.94121516787559578</v>
      </c>
      <c r="CQ42" s="5">
        <f t="shared" si="307"/>
        <v>-11.011337381151485</v>
      </c>
      <c r="CR42" s="5">
        <f t="shared" si="308"/>
        <v>32.204456480497633</v>
      </c>
      <c r="CS42" s="8">
        <f t="shared" si="309"/>
        <v>4.2592710084505825E-3</v>
      </c>
      <c r="CT42" s="9">
        <f t="shared" si="160"/>
        <v>5.8842020665996895</v>
      </c>
      <c r="CU42" s="6">
        <f t="shared" si="310"/>
        <v>5.8148628836656444</v>
      </c>
      <c r="CV42" s="4">
        <f t="shared" si="311"/>
        <v>3.1651145054466836</v>
      </c>
      <c r="CW42" s="5">
        <f t="shared" si="312"/>
        <v>-2.6684819436340996</v>
      </c>
      <c r="CX42" s="8">
        <f t="shared" si="313"/>
        <v>-0.84118890432975391</v>
      </c>
      <c r="CY42" s="9">
        <f t="shared" si="314"/>
        <v>3.1278169328588699</v>
      </c>
      <c r="CZ42" s="5">
        <f t="shared" si="315"/>
        <v>-2.6124981918454315</v>
      </c>
      <c r="DA42" s="6">
        <f t="shared" si="316"/>
        <v>-0.84118890432975391</v>
      </c>
      <c r="DB42" s="4">
        <f t="shared" si="167"/>
        <v>0</v>
      </c>
      <c r="DC42" s="5">
        <f t="shared" si="167"/>
        <v>0</v>
      </c>
      <c r="DD42" s="10">
        <f t="shared" si="168"/>
        <v>-10</v>
      </c>
      <c r="DE42" s="9">
        <f t="shared" si="169"/>
        <v>0</v>
      </c>
      <c r="DF42" s="5">
        <f t="shared" si="169"/>
        <v>0</v>
      </c>
      <c r="DG42" s="10">
        <f t="shared" si="170"/>
        <v>10</v>
      </c>
      <c r="DH42" s="70">
        <f t="shared" si="317"/>
        <v>4.2827999999999999</v>
      </c>
      <c r="DI42" s="4">
        <f t="shared" si="318"/>
        <v>0</v>
      </c>
      <c r="DJ42" s="5">
        <f t="shared" si="319"/>
        <v>0</v>
      </c>
      <c r="DK42" s="10">
        <f t="shared" si="320"/>
        <v>20</v>
      </c>
      <c r="DL42" s="9">
        <f t="shared" si="321"/>
        <v>3.1651145054466836</v>
      </c>
      <c r="DM42" s="173">
        <f t="shared" si="322"/>
        <v>-2.6684819436340996</v>
      </c>
      <c r="DN42" s="178">
        <f t="shared" si="323"/>
        <v>9.1588110956702469</v>
      </c>
      <c r="DO42" s="9">
        <f t="shared" si="324"/>
        <v>-3.7297572587813743E-2</v>
      </c>
      <c r="DP42" s="173">
        <f t="shared" si="325"/>
        <v>5.5983751788668101E-2</v>
      </c>
      <c r="DQ42" s="11">
        <f t="shared" si="326"/>
        <v>0</v>
      </c>
      <c r="DR42" s="173">
        <f t="shared" si="327"/>
        <v>183.17622191340493</v>
      </c>
      <c r="DS42" s="5">
        <f t="shared" si="328"/>
        <v>0</v>
      </c>
      <c r="DT42" s="5">
        <f t="shared" si="329"/>
        <v>400</v>
      </c>
      <c r="DU42" s="5">
        <f t="shared" si="330"/>
        <v>4.5252893852784342E-3</v>
      </c>
      <c r="DV42" s="5">
        <f t="shared" si="331"/>
        <v>-0.26744271880059389</v>
      </c>
      <c r="DW42" s="5">
        <f t="shared" si="332"/>
        <v>101.02256640226265</v>
      </c>
      <c r="DX42" s="167">
        <f t="shared" si="333"/>
        <v>82.680190562262652</v>
      </c>
      <c r="DY42" s="9">
        <f t="shared" si="334"/>
        <v>1.8101157541113737</v>
      </c>
      <c r="DZ42" s="5">
        <f t="shared" si="335"/>
        <v>-106.97708752023756</v>
      </c>
      <c r="EA42" s="10">
        <f t="shared" si="336"/>
        <v>-481.45204956390808</v>
      </c>
      <c r="EB42" s="6">
        <f t="shared" si="337"/>
        <v>12315.581194077406</v>
      </c>
      <c r="EC42" s="173">
        <f t="shared" si="338"/>
        <v>120.40814257603616</v>
      </c>
      <c r="ED42" s="5">
        <f t="shared" si="339"/>
        <v>-2.2089751722310758</v>
      </c>
      <c r="EE42" s="4">
        <f t="shared" si="340"/>
        <v>-1.3258169324468509</v>
      </c>
      <c r="EF42" s="5">
        <f t="shared" si="341"/>
        <v>4.0724176236772687</v>
      </c>
      <c r="EG42" s="10">
        <f t="shared" si="342"/>
        <v>-0.84118890432975391</v>
      </c>
      <c r="EH42" s="9">
        <f t="shared" si="343"/>
        <v>3.2475039172776503</v>
      </c>
      <c r="EI42" s="5">
        <f t="shared" si="344"/>
        <v>-2.7921486613836146</v>
      </c>
      <c r="EJ42" s="6">
        <f t="shared" si="345"/>
        <v>-0.84118890432975391</v>
      </c>
      <c r="EK42" s="236" t="b">
        <f t="shared" si="200"/>
        <v>0</v>
      </c>
      <c r="EL42" s="238" t="b">
        <f t="shared" si="201"/>
        <v>0</v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e">
        <f t="shared" si="349"/>
        <v>#VALUE!</v>
      </c>
      <c r="EQ42" s="5" t="e">
        <f t="shared" si="350"/>
        <v>#VALUE!</v>
      </c>
      <c r="ER42" s="7" t="str">
        <f t="shared" si="351"/>
        <v/>
      </c>
      <c r="ES42" s="21">
        <f t="shared" si="352"/>
        <v>-0.80738983962241495</v>
      </c>
      <c r="ET42" s="5">
        <f t="shared" si="353"/>
        <v>-0.53790037623159226</v>
      </c>
      <c r="EU42" s="10">
        <f t="shared" si="354"/>
        <v>-0.24245583541008645</v>
      </c>
      <c r="EV42" s="174" t="e">
        <f t="shared" si="355"/>
        <v>#VALUE!</v>
      </c>
      <c r="EW42" s="9" t="e">
        <f t="shared" si="356"/>
        <v>#VALUE!</v>
      </c>
      <c r="EX42" s="5" t="e">
        <f t="shared" si="357"/>
        <v>#VALUE!</v>
      </c>
      <c r="EY42" s="6">
        <f t="shared" si="358"/>
        <v>-0.24245583541008645</v>
      </c>
      <c r="EZ42" s="51" t="e">
        <f t="shared" si="209"/>
        <v>#VALUE!</v>
      </c>
      <c r="FA42" s="266" t="e">
        <f t="shared" si="134"/>
        <v>#VALUE!</v>
      </c>
      <c r="FB42" s="267" t="e">
        <f t="shared" si="135"/>
        <v>#VALUE!</v>
      </c>
      <c r="FC42" s="269" t="e">
        <f t="shared" si="48"/>
        <v>#VALUE!</v>
      </c>
      <c r="FD42" s="4" t="e">
        <f t="shared" si="359"/>
        <v>#VALUE!</v>
      </c>
      <c r="FE42" s="5" t="e">
        <f t="shared" si="360"/>
        <v>#VALUE!</v>
      </c>
      <c r="FF42" s="7" t="e">
        <f t="shared" si="361"/>
        <v>#VALUE!</v>
      </c>
      <c r="FG42" s="173" t="e">
        <f t="shared" si="362"/>
        <v>#VALUE!</v>
      </c>
      <c r="FH42" s="5" t="e">
        <f t="shared" si="363"/>
        <v>#VALUE!</v>
      </c>
      <c r="FI42" s="10" t="e">
        <f t="shared" si="364"/>
        <v>#VALUE!</v>
      </c>
      <c r="FJ42" s="279" t="e">
        <f t="shared" si="365"/>
        <v>#VALUE!</v>
      </c>
      <c r="FK42" s="4">
        <f t="shared" si="366"/>
        <v>0.97016244406573338</v>
      </c>
      <c r="FL42" s="5" t="e">
        <f t="shared" si="367"/>
        <v>#VALUE!</v>
      </c>
      <c r="FM42" s="8" t="e">
        <f t="shared" si="368"/>
        <v>#VALUE!</v>
      </c>
      <c r="FN42" s="9" t="e">
        <f t="shared" si="369"/>
        <v>#VALUE!</v>
      </c>
      <c r="FO42" s="10" t="e">
        <f t="shared" si="370"/>
        <v>#VALUE!</v>
      </c>
      <c r="FP42" s="277" t="e">
        <f t="shared" si="371"/>
        <v>#VALUE!</v>
      </c>
      <c r="FQ42" s="173" t="e">
        <f t="shared" si="372"/>
        <v>#VALUE!</v>
      </c>
      <c r="FR42" s="10" t="e">
        <f t="shared" si="373"/>
        <v>#VALUE!</v>
      </c>
      <c r="FS42" s="9" t="e">
        <f t="shared" si="374"/>
        <v>#VALUE!</v>
      </c>
      <c r="FT42" s="6" t="e">
        <f t="shared" si="375"/>
        <v>#VALUE!</v>
      </c>
      <c r="FU42" s="4" t="e">
        <f t="shared" si="376"/>
        <v>#VALUE!</v>
      </c>
      <c r="FV42" s="5" t="e">
        <f t="shared" si="377"/>
        <v>#VALUE!</v>
      </c>
      <c r="FW42" s="8" t="e">
        <f t="shared" si="378"/>
        <v>#VALUE!</v>
      </c>
      <c r="FX42" s="9" t="e">
        <f t="shared" si="379"/>
        <v>#VALUE!</v>
      </c>
      <c r="FY42" s="10" t="e">
        <f t="shared" si="380"/>
        <v>#VALUE!</v>
      </c>
      <c r="FZ42" s="277" t="e">
        <f t="shared" si="381"/>
        <v>#VALUE!</v>
      </c>
      <c r="GA42" s="177" t="e">
        <f t="shared" si="382"/>
        <v>#VALUE!</v>
      </c>
      <c r="GB42" s="4" t="e">
        <f t="shared" si="383"/>
        <v>#VALUE!</v>
      </c>
      <c r="GC42" s="5" t="e">
        <f t="shared" si="384"/>
        <v>#VALUE!</v>
      </c>
      <c r="GD42" s="10" t="e">
        <f t="shared" si="385"/>
        <v>#VALUE!</v>
      </c>
      <c r="GE42" s="311" t="e">
        <f t="shared" si="386"/>
        <v>#VALUE!</v>
      </c>
      <c r="GF42" s="341" t="e">
        <f t="shared" si="387"/>
        <v>#VALUE!</v>
      </c>
      <c r="GG42" s="285" t="e">
        <f t="shared" si="388"/>
        <v>#VALUE!</v>
      </c>
      <c r="GH42" s="286" t="e">
        <f t="shared" si="389"/>
        <v>#VALUE!</v>
      </c>
      <c r="GI42" s="281" t="e">
        <f t="shared" si="390"/>
        <v>#VALUE!</v>
      </c>
      <c r="GJ42" s="167">
        <f t="shared" si="391"/>
        <v>4.2827999999999999</v>
      </c>
      <c r="GK42" s="174">
        <f t="shared" si="59"/>
        <v>2.2425118466263547</v>
      </c>
      <c r="GL42" s="174">
        <f t="shared" si="392"/>
        <v>2.2200000000000001E-2</v>
      </c>
      <c r="GM42" s="177">
        <f t="shared" si="393"/>
        <v>0.59740515594126098</v>
      </c>
      <c r="GN42" s="280">
        <f t="shared" si="394"/>
        <v>3.1221696761349321E-2</v>
      </c>
      <c r="GO42" s="4" t="e">
        <f t="shared" si="395"/>
        <v>#VALUE!</v>
      </c>
      <c r="GP42" s="8" t="e">
        <f t="shared" si="396"/>
        <v>#VALUE!</v>
      </c>
      <c r="GQ42" s="177" t="e">
        <f t="shared" si="397"/>
        <v>#VALUE!</v>
      </c>
      <c r="GR42" s="371" t="e">
        <f t="shared" si="398"/>
        <v>#VALUE!</v>
      </c>
      <c r="GS42" s="342" t="e">
        <f t="shared" si="399"/>
        <v>#VALUE!</v>
      </c>
      <c r="GT42" s="343" t="e">
        <f t="shared" si="400"/>
        <v>#VALUE!</v>
      </c>
      <c r="GU42" s="344">
        <f t="shared" si="63"/>
        <v>1468.6210083555995</v>
      </c>
      <c r="GV42" s="343">
        <f t="shared" si="401"/>
        <v>654.9</v>
      </c>
      <c r="GW42" s="345">
        <f t="shared" si="64"/>
        <v>29500</v>
      </c>
      <c r="GX42" s="346">
        <f t="shared" si="65"/>
        <v>233.73380999999998</v>
      </c>
      <c r="GY42" s="344" t="e">
        <f t="shared" si="402"/>
        <v>#VALUE!</v>
      </c>
      <c r="GZ42" s="345" t="e">
        <f t="shared" si="403"/>
        <v>#VALUE!</v>
      </c>
      <c r="HA42" s="342" t="e">
        <f t="shared" si="68"/>
        <v>#VALUE!</v>
      </c>
      <c r="HB42" s="5" t="e">
        <f t="shared" si="231"/>
        <v>#VALUE!</v>
      </c>
      <c r="HC42" s="343" t="e">
        <f t="shared" si="404"/>
        <v>#VALUE!</v>
      </c>
      <c r="HD42" s="345" t="e">
        <f t="shared" si="405"/>
        <v>#VALUE!</v>
      </c>
      <c r="HE42" s="344" t="e">
        <f t="shared" si="69"/>
        <v>#VALUE!</v>
      </c>
      <c r="HF42" s="5" t="e">
        <f t="shared" si="70"/>
        <v>#VALUE!</v>
      </c>
      <c r="HG42" s="343" t="e">
        <f t="shared" si="406"/>
        <v>#VALUE!</v>
      </c>
      <c r="HH42" s="349" t="e">
        <f t="shared" si="407"/>
        <v>#VALUE!</v>
      </c>
      <c r="HI42" s="317">
        <f t="shared" si="408"/>
        <v>3.1269999999999998</v>
      </c>
      <c r="HJ42" s="336"/>
      <c r="HK42" s="310">
        <f t="shared" ref="HK42:HK73" si="459">IF(ISNUMBER(HS42),HK41+1,"")</f>
        <v>34</v>
      </c>
      <c r="HL42" s="348">
        <f t="shared" si="409"/>
        <v>2.1339999999999999</v>
      </c>
      <c r="HM42" s="909" t="e">
        <f t="shared" si="410"/>
        <v>#VALUE!</v>
      </c>
      <c r="HN42" s="910">
        <f t="shared" si="411"/>
        <v>26.079996234514347</v>
      </c>
      <c r="HO42" s="911"/>
      <c r="HP42" s="912"/>
      <c r="HQ42" s="910" t="e">
        <f t="shared" si="412"/>
        <v>#VALUE!</v>
      </c>
      <c r="HR42" s="913" t="e">
        <f t="shared" si="413"/>
        <v>#VALUE!</v>
      </c>
      <c r="HS42" s="865">
        <f t="shared" ref="HS42:HS73" si="460">IFERROR(SMALL($GJ$9:$GJ$150,($HK41+1)),"")</f>
        <v>4.7446999999999999</v>
      </c>
      <c r="HT42" s="875">
        <f t="shared" si="414"/>
        <v>1.14E-2</v>
      </c>
      <c r="HU42" s="876">
        <f t="shared" si="415"/>
        <v>0.33986016537684482</v>
      </c>
      <c r="HV42" s="872">
        <f t="shared" si="416"/>
        <v>1.7761833688795938E-2</v>
      </c>
      <c r="HW42" s="866">
        <f t="shared" si="417"/>
        <v>29500</v>
      </c>
      <c r="HX42" s="867">
        <f t="shared" si="418"/>
        <v>132.97021749999999</v>
      </c>
      <c r="HY42" s="866" t="e">
        <f t="shared" si="419"/>
        <v>#VALUE!</v>
      </c>
      <c r="HZ42" s="868">
        <f t="shared" si="420"/>
        <v>835.489573218077</v>
      </c>
      <c r="IA42" s="869" t="e">
        <f t="shared" si="421"/>
        <v>#VALUE!</v>
      </c>
      <c r="IB42" s="870" t="e">
        <f t="shared" si="422"/>
        <v>#VALUE!</v>
      </c>
      <c r="IC42" s="841" t="e">
        <f t="shared" si="423"/>
        <v>#VALUE!</v>
      </c>
      <c r="ID42" s="351">
        <f t="shared" si="424"/>
        <v>336.3</v>
      </c>
      <c r="IE42" s="843" t="e">
        <f t="shared" si="425"/>
        <v>#VALUE!</v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3.1269999999999998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</v>
      </c>
      <c r="B43" s="578">
        <f t="shared" si="257"/>
        <v>3.4532771548376395</v>
      </c>
      <c r="C43" s="572">
        <f t="shared" si="258"/>
        <v>-2.8507167964575042</v>
      </c>
      <c r="D43" s="576">
        <f t="shared" si="259"/>
        <v>-1.8041054411820108</v>
      </c>
      <c r="E43" s="580">
        <f t="shared" si="260"/>
        <v>0.87562133328863756</v>
      </c>
      <c r="F43" s="572">
        <f t="shared" si="261"/>
        <v>0.44736558197422965</v>
      </c>
      <c r="G43" s="579">
        <f t="shared" si="262"/>
        <v>0.18207503056346772</v>
      </c>
      <c r="H43" s="580">
        <f t="shared" si="263"/>
        <v>0.3125</v>
      </c>
      <c r="I43" s="572">
        <f t="shared" si="264"/>
        <v>0.52</v>
      </c>
      <c r="J43" s="483">
        <f t="shared" si="265"/>
        <v>3.133</v>
      </c>
      <c r="K43" s="806">
        <f t="shared" si="266"/>
        <v>1613</v>
      </c>
      <c r="L43" s="309"/>
      <c r="M43" s="164">
        <f t="shared" si="267"/>
        <v>3.133</v>
      </c>
      <c r="N43" s="575">
        <f t="shared" si="268"/>
        <v>3.4532771548376395</v>
      </c>
      <c r="O43" s="572">
        <f t="shared" si="269"/>
        <v>-2.8507167964575042</v>
      </c>
      <c r="P43" s="576">
        <f t="shared" si="270"/>
        <v>-1.8041054411820108</v>
      </c>
      <c r="Q43" s="528">
        <f t="shared" si="140"/>
        <v>320.45996672569765</v>
      </c>
      <c r="R43" s="572">
        <f t="shared" si="439"/>
        <v>4.4779135053871322</v>
      </c>
      <c r="S43" s="577">
        <f t="shared" si="440"/>
        <v>-1.8041054411820108</v>
      </c>
      <c r="T43" s="578">
        <f t="shared" si="441"/>
        <v>-2.8452888874720155</v>
      </c>
      <c r="U43" s="572">
        <f t="shared" si="442"/>
        <v>-3.4577507875144406</v>
      </c>
      <c r="V43" s="579">
        <f t="shared" si="443"/>
        <v>-1.8041054411820108</v>
      </c>
      <c r="W43" s="528">
        <f t="shared" si="253"/>
        <v>230.54996671270328</v>
      </c>
      <c r="X43" s="572">
        <f t="shared" si="444"/>
        <v>4.4779135053871322</v>
      </c>
      <c r="Y43" s="573">
        <f t="shared" si="255"/>
        <v>-1.8041054411820108</v>
      </c>
      <c r="Z43" s="575">
        <f t="shared" si="271"/>
        <v>-0.87562133328863756</v>
      </c>
      <c r="AA43" s="572">
        <f t="shared" si="272"/>
        <v>-0.44736558197422965</v>
      </c>
      <c r="AB43" s="572">
        <f t="shared" si="273"/>
        <v>-0.18207503056346772</v>
      </c>
      <c r="AC43" s="579">
        <f t="shared" si="445"/>
        <v>1</v>
      </c>
      <c r="AD43" s="580">
        <f t="shared" si="446"/>
        <v>-0.87562133328863756</v>
      </c>
      <c r="AE43" s="572">
        <f t="shared" si="447"/>
        <v>-0.44736558197422965</v>
      </c>
      <c r="AF43" s="576">
        <f t="shared" si="448"/>
        <v>-0.18207503056346772</v>
      </c>
      <c r="AG43" s="545">
        <f t="shared" si="449"/>
        <v>-67.853980240689907</v>
      </c>
      <c r="AH43" s="546">
        <f t="shared" si="450"/>
        <v>151.11859571314645</v>
      </c>
      <c r="AI43" s="528">
        <f t="shared" si="451"/>
        <v>-79.509352145536667</v>
      </c>
      <c r="AJ43" s="529">
        <f t="shared" si="452"/>
        <v>-62.936958754211098</v>
      </c>
      <c r="AK43" s="578">
        <f t="shared" si="453"/>
        <v>0.90243498034813507</v>
      </c>
      <c r="AL43" s="572">
        <f t="shared" si="454"/>
        <v>-0.39046099611788809</v>
      </c>
      <c r="AM43" s="577">
        <f t="shared" si="455"/>
        <v>-0.18207503056346772</v>
      </c>
      <c r="AN43" s="524">
        <f t="shared" si="456"/>
        <v>-64.999990615162503</v>
      </c>
      <c r="AO43" s="525">
        <f t="shared" si="116"/>
        <v>25.519996315368395</v>
      </c>
      <c r="AP43" s="528">
        <f t="shared" si="457"/>
        <v>-23.396925479908763</v>
      </c>
      <c r="AQ43" s="529">
        <f t="shared" si="274"/>
        <v>0.33939913673114913</v>
      </c>
      <c r="AS43" s="932">
        <f t="shared" ref="AS43:AS74" si="461">IF(G43="","",IF(AND(W43&lt;(AS42+180),W43&gt;(AS42-180)),W43,IF(W43&gt;(AS42+180),W43-360,IF(W43&lt;(AS42-180),W43+360,"Error"))))</f>
        <v>-129.45003328729672</v>
      </c>
      <c r="AT43" s="928">
        <f t="shared" si="275"/>
        <v>-1.744133203555019</v>
      </c>
      <c r="AU43" s="418"/>
      <c r="AV43" s="164">
        <f t="shared" si="276"/>
        <v>3.133</v>
      </c>
      <c r="AW43" s="829">
        <f>IFERROR(INDEX(MassProp!C$9:C$150,MATCH($M43,MassProp!$B$9:$B$150,0)),"")</f>
        <v>4.6947999999999999</v>
      </c>
      <c r="AX43" s="830">
        <f>IFERROR(INDEX(MassProp!D$9:D$150,MATCH($M43,MassProp!$B$9:$B$150,0)),"")</f>
        <v>-1.3412999999999999</v>
      </c>
      <c r="AY43" s="831">
        <f>IFERROR(INDEX(MassProp!E$9:E$150,MATCH($M43,MassProp!$B$9:$B$150,0)),"")</f>
        <v>1.34E-2</v>
      </c>
      <c r="AZ43" s="297">
        <f t="shared" si="277"/>
        <v>0.39528350745876706</v>
      </c>
      <c r="BA43" s="296">
        <f t="shared" si="278"/>
        <v>2.0658378458745071E-2</v>
      </c>
      <c r="BB43" s="190">
        <f t="shared" si="145"/>
        <v>0.23616653688835232</v>
      </c>
      <c r="BC43" s="9"/>
      <c r="BD43" s="5">
        <f t="shared" si="279"/>
        <v>4.6947999999999999</v>
      </c>
      <c r="BE43" s="6">
        <f t="shared" si="280"/>
        <v>-1.5679389042936585</v>
      </c>
      <c r="BF43" s="4">
        <f t="shared" si="281"/>
        <v>3.4532771548376395</v>
      </c>
      <c r="BG43" s="5">
        <f t="shared" si="282"/>
        <v>-2.8507167964575042</v>
      </c>
      <c r="BH43" s="10">
        <f t="shared" si="283"/>
        <v>-1.8041054411820108</v>
      </c>
      <c r="BI43" s="9">
        <f t="shared" si="284"/>
        <v>3.4532771548376395</v>
      </c>
      <c r="BJ43" s="5">
        <f t="shared" si="285"/>
        <v>-2.4737484703663015</v>
      </c>
      <c r="BK43" s="8">
        <f t="shared" si="286"/>
        <v>-2.7303315912792732</v>
      </c>
      <c r="BL43" s="173">
        <f t="shared" si="287"/>
        <v>3.9362753750101662</v>
      </c>
      <c r="BM43" s="5">
        <f t="shared" si="288"/>
        <v>-3.661740172932471</v>
      </c>
      <c r="BN43" s="6">
        <f t="shared" si="289"/>
        <v>-2.1341869494815757</v>
      </c>
      <c r="BO43" s="4">
        <f t="shared" si="290"/>
        <v>-0.87562133328863778</v>
      </c>
      <c r="BP43" s="5">
        <f t="shared" si="239"/>
        <v>-0.44736558197422915</v>
      </c>
      <c r="BQ43" s="5">
        <f t="shared" si="291"/>
        <v>-0.18207503056346663</v>
      </c>
      <c r="BR43" s="6">
        <f t="shared" si="292"/>
        <v>1.4199680145002764</v>
      </c>
      <c r="BS43" s="4">
        <f t="shared" si="458"/>
        <v>0</v>
      </c>
      <c r="BT43" s="5">
        <f t="shared" si="458"/>
        <v>0</v>
      </c>
      <c r="BU43" s="10">
        <f t="shared" si="119"/>
        <v>-1.5679389042936585</v>
      </c>
      <c r="BV43" s="9">
        <f t="shared" si="120"/>
        <v>0</v>
      </c>
      <c r="BW43" s="5">
        <f t="shared" si="121"/>
        <v>1</v>
      </c>
      <c r="BX43" s="8">
        <f t="shared" si="122"/>
        <v>-1.5679389042936585</v>
      </c>
      <c r="BY43" s="173">
        <f t="shared" si="123"/>
        <v>1</v>
      </c>
      <c r="BZ43" s="5">
        <f t="shared" si="124"/>
        <v>0</v>
      </c>
      <c r="CA43" s="6">
        <f t="shared" si="125"/>
        <v>-1.5679389042936585</v>
      </c>
      <c r="CB43" s="4">
        <f t="shared" si="293"/>
        <v>0</v>
      </c>
      <c r="CC43" s="5">
        <f t="shared" si="294"/>
        <v>0</v>
      </c>
      <c r="CD43" s="5">
        <f t="shared" si="295"/>
        <v>-1</v>
      </c>
      <c r="CE43" s="6">
        <f t="shared" si="296"/>
        <v>-1.5679389042936585</v>
      </c>
      <c r="CF43" s="4">
        <f t="shared" si="297"/>
        <v>0.44736558197422915</v>
      </c>
      <c r="CG43" s="5">
        <f t="shared" si="298"/>
        <v>-0.87562133328863778</v>
      </c>
      <c r="CH43" s="5">
        <f t="shared" si="299"/>
        <v>0</v>
      </c>
      <c r="CI43" s="4">
        <f t="shared" si="126"/>
        <v>0</v>
      </c>
      <c r="CJ43" s="5">
        <f t="shared" si="300"/>
        <v>3.812207749409378</v>
      </c>
      <c r="CK43" s="8">
        <f t="shared" si="301"/>
        <v>-1.5679389042936585</v>
      </c>
      <c r="CL43" s="173">
        <f t="shared" si="302"/>
        <v>0.44736558197422915</v>
      </c>
      <c r="CM43" s="5">
        <f t="shared" si="303"/>
        <v>2.9365864161207402</v>
      </c>
      <c r="CN43" s="6">
        <f t="shared" si="304"/>
        <v>-1.5679389042936585</v>
      </c>
      <c r="CO43" s="167">
        <f t="shared" si="305"/>
        <v>0.3125</v>
      </c>
      <c r="CP43" s="4">
        <f t="shared" si="306"/>
        <v>0.96684868324531248</v>
      </c>
      <c r="CQ43" s="5">
        <f t="shared" si="307"/>
        <v>-14.758152437091603</v>
      </c>
      <c r="CR43" s="5">
        <f t="shared" si="308"/>
        <v>56.277804995184781</v>
      </c>
      <c r="CS43" s="8">
        <f t="shared" si="309"/>
        <v>0.15457673430933028</v>
      </c>
      <c r="CT43" s="9">
        <f t="shared" si="160"/>
        <v>7.8354116719133691</v>
      </c>
      <c r="CU43" s="6">
        <f t="shared" si="310"/>
        <v>7.4287684348997969</v>
      </c>
      <c r="CV43" s="4">
        <f t="shared" si="311"/>
        <v>3.5052935026131924</v>
      </c>
      <c r="CW43" s="5">
        <f t="shared" si="312"/>
        <v>-3.048645865616761</v>
      </c>
      <c r="CX43" s="8">
        <f t="shared" si="313"/>
        <v>-1.5679389042936585</v>
      </c>
      <c r="CY43" s="9">
        <f t="shared" si="314"/>
        <v>3.3233753142307312</v>
      </c>
      <c r="CZ43" s="5">
        <f t="shared" si="315"/>
        <v>-2.6925803722501289</v>
      </c>
      <c r="DA43" s="6">
        <f t="shared" si="316"/>
        <v>-1.5679389042936585</v>
      </c>
      <c r="DB43" s="4">
        <f t="shared" ref="DB43:DC53" si="462">IF(ISNUMBER($AV43),0,"")</f>
        <v>0</v>
      </c>
      <c r="DC43" s="5">
        <f t="shared" si="462"/>
        <v>0</v>
      </c>
      <c r="DD43" s="10">
        <f t="shared" si="168"/>
        <v>-10</v>
      </c>
      <c r="DE43" s="9">
        <f t="shared" ref="DE43:DF53" si="463">IF(ISNUMBER($AV43),0,"")</f>
        <v>0</v>
      </c>
      <c r="DF43" s="5">
        <f t="shared" si="463"/>
        <v>0</v>
      </c>
      <c r="DG43" s="10">
        <f t="shared" si="170"/>
        <v>10</v>
      </c>
      <c r="DH43" s="70">
        <f t="shared" si="317"/>
        <v>4.6947999999999999</v>
      </c>
      <c r="DI43" s="4">
        <f t="shared" si="318"/>
        <v>0</v>
      </c>
      <c r="DJ43" s="5">
        <f t="shared" si="319"/>
        <v>0</v>
      </c>
      <c r="DK43" s="10">
        <f t="shared" si="320"/>
        <v>20</v>
      </c>
      <c r="DL43" s="9">
        <f t="shared" si="321"/>
        <v>3.5052935026131924</v>
      </c>
      <c r="DM43" s="173">
        <f t="shared" si="322"/>
        <v>-3.048645865616761</v>
      </c>
      <c r="DN43" s="178">
        <f t="shared" si="323"/>
        <v>8.4320610957063415</v>
      </c>
      <c r="DO43" s="9">
        <f t="shared" si="324"/>
        <v>-0.18191818838246121</v>
      </c>
      <c r="DP43" s="173">
        <f t="shared" si="325"/>
        <v>0.35606549336663207</v>
      </c>
      <c r="DQ43" s="11">
        <f t="shared" si="326"/>
        <v>0</v>
      </c>
      <c r="DR43" s="173">
        <f t="shared" si="327"/>
        <v>168.64122191412685</v>
      </c>
      <c r="DS43" s="5">
        <f t="shared" si="328"/>
        <v>0</v>
      </c>
      <c r="DT43" s="5">
        <f t="shared" si="329"/>
        <v>400</v>
      </c>
      <c r="DU43" s="5">
        <f t="shared" si="330"/>
        <v>0.15987686283077976</v>
      </c>
      <c r="DV43" s="5">
        <f t="shared" si="331"/>
        <v>-1.7231942379851792</v>
      </c>
      <c r="DW43" s="5">
        <f t="shared" si="332"/>
        <v>92.680978475128853</v>
      </c>
      <c r="DX43" s="167">
        <f t="shared" si="333"/>
        <v>70.639831435128855</v>
      </c>
      <c r="DY43" s="9">
        <f t="shared" si="334"/>
        <v>63.950745132311901</v>
      </c>
      <c r="DZ43" s="5">
        <f t="shared" si="335"/>
        <v>-689.27769519407173</v>
      </c>
      <c r="EA43" s="10">
        <f t="shared" si="336"/>
        <v>-183.92915463823374</v>
      </c>
      <c r="EB43" s="6">
        <f t="shared" si="337"/>
        <v>486866.14758272294</v>
      </c>
      <c r="EC43" s="173">
        <f t="shared" si="338"/>
        <v>21.689123961384215</v>
      </c>
      <c r="ED43" s="5">
        <f t="shared" si="339"/>
        <v>-0.13260593276766963</v>
      </c>
      <c r="EE43" s="4">
        <f t="shared" si="340"/>
        <v>-0.44035263604445474</v>
      </c>
      <c r="EF43" s="5">
        <f t="shared" si="341"/>
        <v>4.674102758383551</v>
      </c>
      <c r="EG43" s="10">
        <f t="shared" si="342"/>
        <v>-1.5679389042936585</v>
      </c>
      <c r="EH43" s="9">
        <f t="shared" si="343"/>
        <v>3.5294169336710532</v>
      </c>
      <c r="EI43" s="5">
        <f t="shared" si="344"/>
        <v>-3.0958622624910239</v>
      </c>
      <c r="EJ43" s="6">
        <f t="shared" si="345"/>
        <v>-1.5679389042936585</v>
      </c>
      <c r="EK43" s="236" t="b">
        <f t="shared" si="200"/>
        <v>0</v>
      </c>
      <c r="EL43" s="238" t="b">
        <f t="shared" si="201"/>
        <v>0</v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e">
        <f t="shared" si="349"/>
        <v>#VALUE!</v>
      </c>
      <c r="EQ43" s="5" t="e">
        <f t="shared" si="350"/>
        <v>#VALUE!</v>
      </c>
      <c r="ER43" s="7" t="str">
        <f t="shared" si="351"/>
        <v/>
      </c>
      <c r="ES43" s="21">
        <f t="shared" si="352"/>
        <v>-0.87562133328863756</v>
      </c>
      <c r="ET43" s="5">
        <f t="shared" si="353"/>
        <v>-0.44736558197422965</v>
      </c>
      <c r="EU43" s="10">
        <f t="shared" si="354"/>
        <v>-0.18207503056346772</v>
      </c>
      <c r="EV43" s="174" t="e">
        <f t="shared" si="355"/>
        <v>#VALUE!</v>
      </c>
      <c r="EW43" s="9" t="e">
        <f t="shared" si="356"/>
        <v>#VALUE!</v>
      </c>
      <c r="EX43" s="5" t="e">
        <f t="shared" si="357"/>
        <v>#VALUE!</v>
      </c>
      <c r="EY43" s="6">
        <f t="shared" si="358"/>
        <v>-0.18207503056346772</v>
      </c>
      <c r="EZ43" s="51" t="e">
        <f t="shared" si="209"/>
        <v>#VALUE!</v>
      </c>
      <c r="FA43" s="266" t="e">
        <f t="shared" si="134"/>
        <v>#VALUE!</v>
      </c>
      <c r="FB43" s="267" t="e">
        <f t="shared" si="135"/>
        <v>#VALUE!</v>
      </c>
      <c r="FC43" s="269" t="e">
        <f t="shared" si="48"/>
        <v>#VALUE!</v>
      </c>
      <c r="FD43" s="4" t="e">
        <f t="shared" si="359"/>
        <v>#VALUE!</v>
      </c>
      <c r="FE43" s="5" t="e">
        <f t="shared" si="360"/>
        <v>#VALUE!</v>
      </c>
      <c r="FF43" s="7" t="e">
        <f t="shared" si="361"/>
        <v>#VALUE!</v>
      </c>
      <c r="FG43" s="173" t="e">
        <f t="shared" si="362"/>
        <v>#VALUE!</v>
      </c>
      <c r="FH43" s="5" t="e">
        <f t="shared" si="363"/>
        <v>#VALUE!</v>
      </c>
      <c r="FI43" s="10" t="e">
        <f t="shared" si="364"/>
        <v>#VALUE!</v>
      </c>
      <c r="FJ43" s="279" t="e">
        <f t="shared" si="365"/>
        <v>#VALUE!</v>
      </c>
      <c r="FK43" s="4">
        <f t="shared" si="366"/>
        <v>0.98328463999256721</v>
      </c>
      <c r="FL43" s="5" t="e">
        <f t="shared" si="367"/>
        <v>#VALUE!</v>
      </c>
      <c r="FM43" s="8" t="e">
        <f t="shared" si="368"/>
        <v>#VALUE!</v>
      </c>
      <c r="FN43" s="9" t="e">
        <f t="shared" si="369"/>
        <v>#VALUE!</v>
      </c>
      <c r="FO43" s="10" t="e">
        <f t="shared" si="370"/>
        <v>#VALUE!</v>
      </c>
      <c r="FP43" s="277" t="e">
        <f t="shared" si="371"/>
        <v>#VALUE!</v>
      </c>
      <c r="FQ43" s="173" t="e">
        <f t="shared" si="372"/>
        <v>#VALUE!</v>
      </c>
      <c r="FR43" s="10" t="e">
        <f t="shared" si="373"/>
        <v>#VALUE!</v>
      </c>
      <c r="FS43" s="9" t="e">
        <f t="shared" si="374"/>
        <v>#VALUE!</v>
      </c>
      <c r="FT43" s="6" t="e">
        <f t="shared" si="375"/>
        <v>#VALUE!</v>
      </c>
      <c r="FU43" s="4" t="e">
        <f t="shared" si="376"/>
        <v>#VALUE!</v>
      </c>
      <c r="FV43" s="5" t="e">
        <f t="shared" si="377"/>
        <v>#VALUE!</v>
      </c>
      <c r="FW43" s="8" t="e">
        <f t="shared" si="378"/>
        <v>#VALUE!</v>
      </c>
      <c r="FX43" s="9" t="e">
        <f t="shared" si="379"/>
        <v>#VALUE!</v>
      </c>
      <c r="FY43" s="10" t="e">
        <f t="shared" si="380"/>
        <v>#VALUE!</v>
      </c>
      <c r="FZ43" s="277" t="e">
        <f t="shared" si="381"/>
        <v>#VALUE!</v>
      </c>
      <c r="GA43" s="177" t="e">
        <f t="shared" si="382"/>
        <v>#VALUE!</v>
      </c>
      <c r="GB43" s="4" t="e">
        <f t="shared" si="383"/>
        <v>#VALUE!</v>
      </c>
      <c r="GC43" s="5" t="e">
        <f t="shared" si="384"/>
        <v>#VALUE!</v>
      </c>
      <c r="GD43" s="10" t="e">
        <f t="shared" si="385"/>
        <v>#VALUE!</v>
      </c>
      <c r="GE43" s="311" t="e">
        <f t="shared" si="386"/>
        <v>#VALUE!</v>
      </c>
      <c r="GF43" s="341" t="e">
        <f t="shared" si="387"/>
        <v>#VALUE!</v>
      </c>
      <c r="GG43" s="285" t="e">
        <f t="shared" si="388"/>
        <v>#VALUE!</v>
      </c>
      <c r="GH43" s="286" t="e">
        <f t="shared" si="389"/>
        <v>#VALUE!</v>
      </c>
      <c r="GI43" s="281" t="e">
        <f t="shared" si="390"/>
        <v>#VALUE!</v>
      </c>
      <c r="GJ43" s="167">
        <f t="shared" si="391"/>
        <v>4.6947999999999999</v>
      </c>
      <c r="GK43" s="174">
        <f t="shared" si="59"/>
        <v>2.4582307677784021</v>
      </c>
      <c r="GL43" s="174">
        <f t="shared" si="392"/>
        <v>1.34E-2</v>
      </c>
      <c r="GM43" s="177">
        <f t="shared" si="393"/>
        <v>0.39528350745876706</v>
      </c>
      <c r="GN43" s="280">
        <f t="shared" si="394"/>
        <v>2.0658378458745071E-2</v>
      </c>
      <c r="GO43" s="4" t="e">
        <f t="shared" si="395"/>
        <v>#VALUE!</v>
      </c>
      <c r="GP43" s="8" t="e">
        <f t="shared" si="396"/>
        <v>#VALUE!</v>
      </c>
      <c r="GQ43" s="177" t="e">
        <f t="shared" si="397"/>
        <v>#VALUE!</v>
      </c>
      <c r="GR43" s="371" t="e">
        <f t="shared" si="398"/>
        <v>#VALUE!</v>
      </c>
      <c r="GS43" s="342" t="e">
        <f t="shared" si="399"/>
        <v>#VALUE!</v>
      </c>
      <c r="GT43" s="343" t="e">
        <f t="shared" si="400"/>
        <v>#VALUE!</v>
      </c>
      <c r="GU43" s="344">
        <f t="shared" si="63"/>
        <v>971.7386225028024</v>
      </c>
      <c r="GV43" s="343">
        <f t="shared" si="401"/>
        <v>395.3</v>
      </c>
      <c r="GW43" s="345">
        <f t="shared" si="64"/>
        <v>29500</v>
      </c>
      <c r="GX43" s="346">
        <f t="shared" si="65"/>
        <v>154.65453666666667</v>
      </c>
      <c r="GY43" s="344" t="e">
        <f t="shared" si="402"/>
        <v>#VALUE!</v>
      </c>
      <c r="GZ43" s="345" t="e">
        <f t="shared" si="403"/>
        <v>#VALUE!</v>
      </c>
      <c r="HA43" s="342" t="e">
        <f t="shared" si="68"/>
        <v>#VALUE!</v>
      </c>
      <c r="HB43" s="5" t="e">
        <f t="shared" si="231"/>
        <v>#VALUE!</v>
      </c>
      <c r="HC43" s="343" t="e">
        <f t="shared" si="404"/>
        <v>#VALUE!</v>
      </c>
      <c r="HD43" s="345" t="e">
        <f t="shared" si="405"/>
        <v>#VALUE!</v>
      </c>
      <c r="HE43" s="344" t="e">
        <f t="shared" si="69"/>
        <v>#VALUE!</v>
      </c>
      <c r="HF43" s="5" t="e">
        <f t="shared" si="70"/>
        <v>#VALUE!</v>
      </c>
      <c r="HG43" s="343" t="e">
        <f t="shared" si="406"/>
        <v>#VALUE!</v>
      </c>
      <c r="HH43" s="349" t="e">
        <f t="shared" si="407"/>
        <v>#VALUE!</v>
      </c>
      <c r="HI43" s="317">
        <f t="shared" si="408"/>
        <v>3.133</v>
      </c>
      <c r="HJ43" s="336"/>
      <c r="HK43" s="310">
        <f t="shared" si="459"/>
        <v>35</v>
      </c>
      <c r="HL43" s="348">
        <f t="shared" si="409"/>
        <v>1.135</v>
      </c>
      <c r="HM43" s="909" t="e">
        <f t="shared" si="410"/>
        <v>#VALUE!</v>
      </c>
      <c r="HN43" s="910">
        <f t="shared" si="411"/>
        <v>26.639996153660427</v>
      </c>
      <c r="HO43" s="911"/>
      <c r="HP43" s="912"/>
      <c r="HQ43" s="910" t="e">
        <f t="shared" si="412"/>
        <v>#VALUE!</v>
      </c>
      <c r="HR43" s="913" t="e">
        <f t="shared" si="413"/>
        <v>#VALUE!</v>
      </c>
      <c r="HS43" s="865">
        <f t="shared" si="460"/>
        <v>4.7872000000000003</v>
      </c>
      <c r="HT43" s="875">
        <f t="shared" si="414"/>
        <v>9.4999999999999998E-3</v>
      </c>
      <c r="HU43" s="876">
        <f t="shared" si="415"/>
        <v>0.28575360125687449</v>
      </c>
      <c r="HV43" s="872">
        <f t="shared" si="416"/>
        <v>1.493410660784936E-2</v>
      </c>
      <c r="HW43" s="866">
        <f t="shared" si="417"/>
        <v>29500</v>
      </c>
      <c r="HX43" s="867">
        <f t="shared" si="418"/>
        <v>111.80106666666667</v>
      </c>
      <c r="HY43" s="866" t="e">
        <f t="shared" si="419"/>
        <v>#VALUE!</v>
      </c>
      <c r="HZ43" s="868">
        <f t="shared" si="420"/>
        <v>702.47760308981651</v>
      </c>
      <c r="IA43" s="869" t="e">
        <f t="shared" si="421"/>
        <v>#VALUE!</v>
      </c>
      <c r="IB43" s="870" t="e">
        <f t="shared" si="422"/>
        <v>#VALUE!</v>
      </c>
      <c r="IC43" s="841" t="e">
        <f t="shared" si="423"/>
        <v>#VALUE!</v>
      </c>
      <c r="ID43" s="351">
        <f t="shared" si="424"/>
        <v>280.25</v>
      </c>
      <c r="IE43" s="843" t="e">
        <f t="shared" si="425"/>
        <v>#VALUE!</v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3.133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</v>
      </c>
      <c r="B44" s="578">
        <f t="shared" si="257"/>
        <v>3.5623860646091052</v>
      </c>
      <c r="C44" s="572">
        <f t="shared" si="258"/>
        <v>-2.9680716727781786</v>
      </c>
      <c r="D44" s="576">
        <f t="shared" si="259"/>
        <v>-2.5349076452814576</v>
      </c>
      <c r="E44" s="580">
        <f t="shared" si="260"/>
        <v>0.92592726509846446</v>
      </c>
      <c r="F44" s="572">
        <f t="shared" si="261"/>
        <v>0.36827277713936124</v>
      </c>
      <c r="G44" s="579">
        <f t="shared" si="262"/>
        <v>8.3868118885189955E-2</v>
      </c>
      <c r="H44" s="580">
        <f t="shared" si="263"/>
        <v>0.3125</v>
      </c>
      <c r="I44" s="572">
        <f t="shared" si="264"/>
        <v>0.52</v>
      </c>
      <c r="J44" s="483">
        <f t="shared" si="265"/>
        <v>3.1389999999999998</v>
      </c>
      <c r="K44" s="806">
        <f t="shared" si="266"/>
        <v>1613</v>
      </c>
      <c r="L44" s="309"/>
      <c r="M44" s="164">
        <f t="shared" si="267"/>
        <v>3.1389999999999998</v>
      </c>
      <c r="N44" s="575">
        <f t="shared" si="268"/>
        <v>3.5623860646091052</v>
      </c>
      <c r="O44" s="572">
        <f t="shared" si="269"/>
        <v>-2.9680716727781786</v>
      </c>
      <c r="P44" s="576">
        <f t="shared" si="270"/>
        <v>-2.5349076452814576</v>
      </c>
      <c r="Q44" s="528">
        <f t="shared" si="140"/>
        <v>320.199966763237</v>
      </c>
      <c r="R44" s="572">
        <f t="shared" si="439"/>
        <v>4.6368139846309777</v>
      </c>
      <c r="S44" s="577">
        <f t="shared" si="440"/>
        <v>-2.5349076452814576</v>
      </c>
      <c r="T44" s="578">
        <f t="shared" si="441"/>
        <v>-2.9624722312325242</v>
      </c>
      <c r="U44" s="572">
        <f t="shared" si="442"/>
        <v>-3.5670439031844836</v>
      </c>
      <c r="V44" s="579">
        <f t="shared" si="443"/>
        <v>-2.5349076452814576</v>
      </c>
      <c r="W44" s="528">
        <f t="shared" si="253"/>
        <v>230.28996675024263</v>
      </c>
      <c r="X44" s="572">
        <f t="shared" si="444"/>
        <v>4.6368139846309777</v>
      </c>
      <c r="Y44" s="573">
        <f t="shared" si="255"/>
        <v>-2.5349076452814576</v>
      </c>
      <c r="Z44" s="575">
        <f t="shared" si="271"/>
        <v>-0.92592726509846446</v>
      </c>
      <c r="AA44" s="572">
        <f t="shared" si="272"/>
        <v>-0.36827277713936124</v>
      </c>
      <c r="AB44" s="572">
        <f t="shared" si="273"/>
        <v>-8.3868118885189955E-2</v>
      </c>
      <c r="AC44" s="579">
        <f t="shared" si="445"/>
        <v>1</v>
      </c>
      <c r="AD44" s="580">
        <f t="shared" si="446"/>
        <v>-0.92592726509846446</v>
      </c>
      <c r="AE44" s="572">
        <f t="shared" si="447"/>
        <v>-0.36827277713936124</v>
      </c>
      <c r="AF44" s="576">
        <f t="shared" si="448"/>
        <v>-8.3868118885189955E-2</v>
      </c>
      <c r="AG44" s="545">
        <f t="shared" si="449"/>
        <v>-77.170622368024453</v>
      </c>
      <c r="AH44" s="546">
        <f t="shared" si="450"/>
        <v>157.80859657966826</v>
      </c>
      <c r="AI44" s="528">
        <f t="shared" si="451"/>
        <v>-85.189059556731834</v>
      </c>
      <c r="AJ44" s="529">
        <f t="shared" si="452"/>
        <v>-68.310601045897229</v>
      </c>
      <c r="AK44" s="578">
        <f t="shared" si="453"/>
        <v>0.87563320618543383</v>
      </c>
      <c r="AL44" s="572">
        <f t="shared" si="454"/>
        <v>-0.47563917717118015</v>
      </c>
      <c r="AM44" s="577">
        <f t="shared" si="455"/>
        <v>-8.3868118885189955E-2</v>
      </c>
      <c r="AN44" s="524">
        <f t="shared" si="456"/>
        <v>-79.999988449430745</v>
      </c>
      <c r="AO44" s="525">
        <f t="shared" si="116"/>
        <v>28.87999583024444</v>
      </c>
      <c r="AP44" s="528">
        <f t="shared" si="457"/>
        <v>-28.510567809134226</v>
      </c>
      <c r="AQ44" s="529">
        <f t="shared" si="274"/>
        <v>0.32776841611573343</v>
      </c>
      <c r="AS44" s="932">
        <f t="shared" si="461"/>
        <v>-129.71003324975737</v>
      </c>
      <c r="AT44" s="928">
        <f t="shared" si="275"/>
        <v>-2.4748150373014748</v>
      </c>
      <c r="AU44" s="418"/>
      <c r="AV44" s="164">
        <f t="shared" si="276"/>
        <v>3.1389999999999998</v>
      </c>
      <c r="AW44" s="829">
        <f>IFERROR(INDEX(MassProp!C$9:C$150,MATCH($M44,MassProp!$B$9:$B$150,0)),"")</f>
        <v>4.8963000000000001</v>
      </c>
      <c r="AX44" s="830">
        <f>IFERROR(INDEX(MassProp!D$9:D$150,MATCH($M44,MassProp!$B$9:$B$150,0)),"")</f>
        <v>-2.1715</v>
      </c>
      <c r="AY44" s="831">
        <f>IFERROR(INDEX(MassProp!E$9:E$150,MATCH($M44,MassProp!$B$9:$B$150,0)),"")</f>
        <v>3.5999999999999999E-3</v>
      </c>
      <c r="AZ44" s="297">
        <f t="shared" si="277"/>
        <v>0.11075332203569793</v>
      </c>
      <c r="BA44" s="296">
        <f t="shared" si="278"/>
        <v>5.788210231400517E-3</v>
      </c>
      <c r="BB44" s="190">
        <f t="shared" si="145"/>
        <v>0.13664837063480828</v>
      </c>
      <c r="BC44" s="9"/>
      <c r="BD44" s="5">
        <f t="shared" si="279"/>
        <v>4.8963000000000001</v>
      </c>
      <c r="BE44" s="6">
        <f t="shared" si="280"/>
        <v>-2.3982592746466493</v>
      </c>
      <c r="BF44" s="4">
        <f t="shared" si="281"/>
        <v>3.5623860646091052</v>
      </c>
      <c r="BG44" s="5">
        <f t="shared" si="282"/>
        <v>-2.9680716727781786</v>
      </c>
      <c r="BH44" s="10">
        <f t="shared" si="283"/>
        <v>-2.5349076452814576</v>
      </c>
      <c r="BI44" s="9">
        <f t="shared" si="284"/>
        <v>3.5623860646091052</v>
      </c>
      <c r="BJ44" s="5">
        <f t="shared" si="285"/>
        <v>-2.7460232097293238</v>
      </c>
      <c r="BK44" s="8">
        <f t="shared" si="286"/>
        <v>-3.5099432754292188</v>
      </c>
      <c r="BL44" s="173">
        <f t="shared" si="287"/>
        <v>3.9400879308307033</v>
      </c>
      <c r="BM44" s="5">
        <f t="shared" si="288"/>
        <v>-3.870883747174453</v>
      </c>
      <c r="BN44" s="6">
        <f t="shared" si="289"/>
        <v>-2.7405083713916012</v>
      </c>
      <c r="BO44" s="4">
        <f t="shared" si="290"/>
        <v>-0.92592726509846601</v>
      </c>
      <c r="BP44" s="5">
        <f t="shared" si="239"/>
        <v>-0.36827277713936124</v>
      </c>
      <c r="BQ44" s="5">
        <f t="shared" si="291"/>
        <v>-8.386811888518908E-2</v>
      </c>
      <c r="BR44" s="6">
        <f t="shared" si="292"/>
        <v>1.9928524525882665</v>
      </c>
      <c r="BS44" s="4">
        <f t="shared" si="458"/>
        <v>0</v>
      </c>
      <c r="BT44" s="5">
        <f t="shared" si="458"/>
        <v>0</v>
      </c>
      <c r="BU44" s="10">
        <f t="shared" si="119"/>
        <v>-2.3982592746466493</v>
      </c>
      <c r="BV44" s="9">
        <f t="shared" si="120"/>
        <v>0</v>
      </c>
      <c r="BW44" s="5">
        <f t="shared" si="121"/>
        <v>1</v>
      </c>
      <c r="BX44" s="8">
        <f t="shared" si="122"/>
        <v>-2.3982592746466493</v>
      </c>
      <c r="BY44" s="173">
        <f t="shared" si="123"/>
        <v>1</v>
      </c>
      <c r="BZ44" s="5">
        <f t="shared" si="124"/>
        <v>0</v>
      </c>
      <c r="CA44" s="6">
        <f t="shared" si="125"/>
        <v>-2.3982592746466493</v>
      </c>
      <c r="CB44" s="4">
        <f t="shared" si="293"/>
        <v>0</v>
      </c>
      <c r="CC44" s="5">
        <f t="shared" si="294"/>
        <v>0</v>
      </c>
      <c r="CD44" s="5">
        <f t="shared" si="295"/>
        <v>-1</v>
      </c>
      <c r="CE44" s="6">
        <f t="shared" si="296"/>
        <v>-2.3982592746466493</v>
      </c>
      <c r="CF44" s="4">
        <f t="shared" si="297"/>
        <v>0.36827277713936124</v>
      </c>
      <c r="CG44" s="5">
        <f t="shared" si="298"/>
        <v>-0.92592726509846601</v>
      </c>
      <c r="CH44" s="5">
        <f t="shared" si="299"/>
        <v>0</v>
      </c>
      <c r="CI44" s="4">
        <f t="shared" si="126"/>
        <v>0</v>
      </c>
      <c r="CJ44" s="5">
        <f t="shared" si="300"/>
        <v>5.9575132422063133</v>
      </c>
      <c r="CK44" s="8">
        <f t="shared" si="301"/>
        <v>-2.3982592746466493</v>
      </c>
      <c r="CL44" s="173">
        <f t="shared" si="302"/>
        <v>0.36827277713936124</v>
      </c>
      <c r="CM44" s="5">
        <f t="shared" si="303"/>
        <v>5.0315859771078468</v>
      </c>
      <c r="CN44" s="6">
        <f t="shared" si="304"/>
        <v>-2.3982592746466493</v>
      </c>
      <c r="CO44" s="167">
        <f t="shared" si="305"/>
        <v>0.3125</v>
      </c>
      <c r="CP44" s="4">
        <f t="shared" si="306"/>
        <v>0.99296613863466343</v>
      </c>
      <c r="CQ44" s="5">
        <f t="shared" si="307"/>
        <v>-19.152744477983749</v>
      </c>
      <c r="CR44" s="5">
        <f t="shared" si="308"/>
        <v>92.277677075117026</v>
      </c>
      <c r="CS44" s="8">
        <f t="shared" si="309"/>
        <v>0.31318628911554924</v>
      </c>
      <c r="CT44" s="9">
        <f t="shared" si="160"/>
        <v>9.926005633215139</v>
      </c>
      <c r="CU44" s="6">
        <f t="shared" si="310"/>
        <v>9.3624108925678335</v>
      </c>
      <c r="CV44" s="4">
        <f t="shared" si="311"/>
        <v>3.6554776604450829</v>
      </c>
      <c r="CW44" s="5">
        <f t="shared" si="312"/>
        <v>-3.2332460071085523</v>
      </c>
      <c r="CX44" s="8">
        <f t="shared" si="313"/>
        <v>-2.3982592746466493</v>
      </c>
      <c r="CY44" s="9">
        <f t="shared" si="314"/>
        <v>3.4479210601257617</v>
      </c>
      <c r="CZ44" s="5">
        <f t="shared" si="315"/>
        <v>-2.7113982702771127</v>
      </c>
      <c r="DA44" s="6">
        <f t="shared" si="316"/>
        <v>-2.3982592746466493</v>
      </c>
      <c r="DB44" s="4">
        <f t="shared" si="462"/>
        <v>0</v>
      </c>
      <c r="DC44" s="5">
        <f t="shared" si="462"/>
        <v>0</v>
      </c>
      <c r="DD44" s="10">
        <f t="shared" si="168"/>
        <v>-10</v>
      </c>
      <c r="DE44" s="9">
        <f t="shared" si="463"/>
        <v>0</v>
      </c>
      <c r="DF44" s="5">
        <f t="shared" si="463"/>
        <v>0</v>
      </c>
      <c r="DG44" s="10">
        <f t="shared" si="170"/>
        <v>10</v>
      </c>
      <c r="DH44" s="70">
        <f t="shared" si="317"/>
        <v>4.8963000000000001</v>
      </c>
      <c r="DI44" s="4">
        <f t="shared" si="318"/>
        <v>0</v>
      </c>
      <c r="DJ44" s="5">
        <f t="shared" si="319"/>
        <v>0</v>
      </c>
      <c r="DK44" s="10">
        <f t="shared" si="320"/>
        <v>20</v>
      </c>
      <c r="DL44" s="9">
        <f t="shared" si="321"/>
        <v>3.6554776604450829</v>
      </c>
      <c r="DM44" s="173">
        <f t="shared" si="322"/>
        <v>-3.2332460071085523</v>
      </c>
      <c r="DN44" s="178">
        <f t="shared" si="323"/>
        <v>7.6017407253533502</v>
      </c>
      <c r="DO44" s="9">
        <f t="shared" si="324"/>
        <v>-0.20755660031932122</v>
      </c>
      <c r="DP44" s="173">
        <f t="shared" si="325"/>
        <v>0.52184773683143959</v>
      </c>
      <c r="DQ44" s="11">
        <f t="shared" si="326"/>
        <v>0</v>
      </c>
      <c r="DR44" s="173">
        <f t="shared" si="327"/>
        <v>152.03481450706701</v>
      </c>
      <c r="DS44" s="5">
        <f t="shared" si="328"/>
        <v>0</v>
      </c>
      <c r="DT44" s="5">
        <f t="shared" si="329"/>
        <v>400</v>
      </c>
      <c r="DU44" s="5">
        <f t="shared" si="330"/>
        <v>0.31540480277220989</v>
      </c>
      <c r="DV44" s="5">
        <f t="shared" si="331"/>
        <v>-2.445980627174094</v>
      </c>
      <c r="DW44" s="5">
        <f t="shared" si="332"/>
        <v>81.602858723992128</v>
      </c>
      <c r="DX44" s="167">
        <f t="shared" si="333"/>
        <v>57.629105033992126</v>
      </c>
      <c r="DY44" s="9">
        <f t="shared" si="334"/>
        <v>126.16192110888396</v>
      </c>
      <c r="DZ44" s="5">
        <f t="shared" si="335"/>
        <v>-978.39225086963756</v>
      </c>
      <c r="EA44" s="10">
        <f t="shared" si="336"/>
        <v>-62.942808601423167</v>
      </c>
      <c r="EB44" s="6">
        <f t="shared" si="337"/>
        <v>965192.38221490011</v>
      </c>
      <c r="EC44" s="173">
        <f t="shared" si="338"/>
        <v>15.542203891189253</v>
      </c>
      <c r="ED44" s="5">
        <f t="shared" si="339"/>
        <v>-3.2100014041775794E-2</v>
      </c>
      <c r="EE44" s="4">
        <f t="shared" si="340"/>
        <v>0.42959065932011642</v>
      </c>
      <c r="EF44" s="5">
        <f t="shared" si="341"/>
        <v>4.8774179188813536</v>
      </c>
      <c r="EG44" s="10">
        <f t="shared" si="342"/>
        <v>-2.3982592746466493</v>
      </c>
      <c r="EH44" s="9">
        <f t="shared" si="343"/>
        <v>3.6621402302297965</v>
      </c>
      <c r="EI44" s="5">
        <f t="shared" si="344"/>
        <v>-3.2499973267885105</v>
      </c>
      <c r="EJ44" s="6">
        <f t="shared" si="345"/>
        <v>-2.3982592746466493</v>
      </c>
      <c r="EK44" s="236" t="b">
        <f t="shared" si="200"/>
        <v>0</v>
      </c>
      <c r="EL44" s="238" t="b">
        <f t="shared" si="201"/>
        <v>0</v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e">
        <f t="shared" si="349"/>
        <v>#VALUE!</v>
      </c>
      <c r="EQ44" s="5" t="e">
        <f t="shared" si="350"/>
        <v>#VALUE!</v>
      </c>
      <c r="ER44" s="7" t="str">
        <f t="shared" si="351"/>
        <v/>
      </c>
      <c r="ES44" s="21">
        <f t="shared" si="352"/>
        <v>-0.92592726509846446</v>
      </c>
      <c r="ET44" s="5">
        <f t="shared" si="353"/>
        <v>-0.36827277713936124</v>
      </c>
      <c r="EU44" s="10">
        <f t="shared" si="354"/>
        <v>-8.3868118885189955E-2</v>
      </c>
      <c r="EV44" s="174" t="e">
        <f t="shared" si="355"/>
        <v>#VALUE!</v>
      </c>
      <c r="EW44" s="9" t="e">
        <f t="shared" si="356"/>
        <v>#VALUE!</v>
      </c>
      <c r="EX44" s="5" t="e">
        <f t="shared" si="357"/>
        <v>#VALUE!</v>
      </c>
      <c r="EY44" s="6">
        <f t="shared" si="358"/>
        <v>-8.3868118885189955E-2</v>
      </c>
      <c r="EZ44" s="51" t="e">
        <f t="shared" si="209"/>
        <v>#VALUE!</v>
      </c>
      <c r="FA44" s="266" t="e">
        <f t="shared" si="134"/>
        <v>#VALUE!</v>
      </c>
      <c r="FB44" s="267" t="e">
        <f t="shared" si="135"/>
        <v>#VALUE!</v>
      </c>
      <c r="FC44" s="269" t="e">
        <f t="shared" si="48"/>
        <v>#VALUE!</v>
      </c>
      <c r="FD44" s="4" t="e">
        <f t="shared" si="359"/>
        <v>#VALUE!</v>
      </c>
      <c r="FE44" s="5" t="e">
        <f t="shared" si="360"/>
        <v>#VALUE!</v>
      </c>
      <c r="FF44" s="7" t="e">
        <f t="shared" si="361"/>
        <v>#VALUE!</v>
      </c>
      <c r="FG44" s="173" t="e">
        <f t="shared" si="362"/>
        <v>#VALUE!</v>
      </c>
      <c r="FH44" s="5" t="e">
        <f t="shared" si="363"/>
        <v>#VALUE!</v>
      </c>
      <c r="FI44" s="10" t="e">
        <f t="shared" si="364"/>
        <v>#VALUE!</v>
      </c>
      <c r="FJ44" s="279" t="e">
        <f t="shared" si="365"/>
        <v>#VALUE!</v>
      </c>
      <c r="FK44" s="4">
        <f t="shared" si="366"/>
        <v>0.9964768630704175</v>
      </c>
      <c r="FL44" s="5" t="e">
        <f t="shared" si="367"/>
        <v>#VALUE!</v>
      </c>
      <c r="FM44" s="8" t="e">
        <f t="shared" si="368"/>
        <v>#VALUE!</v>
      </c>
      <c r="FN44" s="9" t="e">
        <f t="shared" si="369"/>
        <v>#VALUE!</v>
      </c>
      <c r="FO44" s="10" t="e">
        <f t="shared" si="370"/>
        <v>#VALUE!</v>
      </c>
      <c r="FP44" s="277" t="e">
        <f t="shared" si="371"/>
        <v>#VALUE!</v>
      </c>
      <c r="FQ44" s="173" t="e">
        <f t="shared" si="372"/>
        <v>#VALUE!</v>
      </c>
      <c r="FR44" s="10" t="e">
        <f t="shared" si="373"/>
        <v>#VALUE!</v>
      </c>
      <c r="FS44" s="9" t="e">
        <f t="shared" si="374"/>
        <v>#VALUE!</v>
      </c>
      <c r="FT44" s="6" t="e">
        <f t="shared" si="375"/>
        <v>#VALUE!</v>
      </c>
      <c r="FU44" s="4" t="e">
        <f t="shared" si="376"/>
        <v>#VALUE!</v>
      </c>
      <c r="FV44" s="5" t="e">
        <f t="shared" si="377"/>
        <v>#VALUE!</v>
      </c>
      <c r="FW44" s="8" t="e">
        <f t="shared" si="378"/>
        <v>#VALUE!</v>
      </c>
      <c r="FX44" s="9" t="e">
        <f t="shared" si="379"/>
        <v>#VALUE!</v>
      </c>
      <c r="FY44" s="10" t="e">
        <f t="shared" si="380"/>
        <v>#VALUE!</v>
      </c>
      <c r="FZ44" s="277" t="e">
        <f t="shared" si="381"/>
        <v>#VALUE!</v>
      </c>
      <c r="GA44" s="177" t="e">
        <f t="shared" si="382"/>
        <v>#VALUE!</v>
      </c>
      <c r="GB44" s="4" t="e">
        <f t="shared" si="383"/>
        <v>#VALUE!</v>
      </c>
      <c r="GC44" s="5" t="e">
        <f t="shared" si="384"/>
        <v>#VALUE!</v>
      </c>
      <c r="GD44" s="10" t="e">
        <f t="shared" si="385"/>
        <v>#VALUE!</v>
      </c>
      <c r="GE44" s="311" t="e">
        <f t="shared" si="386"/>
        <v>#VALUE!</v>
      </c>
      <c r="GF44" s="341" t="e">
        <f t="shared" si="387"/>
        <v>#VALUE!</v>
      </c>
      <c r="GG44" s="285" t="e">
        <f t="shared" si="388"/>
        <v>#VALUE!</v>
      </c>
      <c r="GH44" s="286" t="e">
        <f t="shared" si="389"/>
        <v>#VALUE!</v>
      </c>
      <c r="GI44" s="281" t="e">
        <f t="shared" si="390"/>
        <v>#VALUE!</v>
      </c>
      <c r="GJ44" s="167">
        <f t="shared" si="391"/>
        <v>4.8963000000000001</v>
      </c>
      <c r="GK44" s="174">
        <f t="shared" si="59"/>
        <v>2.5637343063818965</v>
      </c>
      <c r="GL44" s="174">
        <f t="shared" si="392"/>
        <v>3.5999999999999999E-3</v>
      </c>
      <c r="GM44" s="177">
        <f t="shared" si="393"/>
        <v>0.11075332203569793</v>
      </c>
      <c r="GN44" s="280">
        <f t="shared" si="394"/>
        <v>5.788210231400517E-3</v>
      </c>
      <c r="GO44" s="4" t="e">
        <f t="shared" si="395"/>
        <v>#VALUE!</v>
      </c>
      <c r="GP44" s="8" t="e">
        <f t="shared" si="396"/>
        <v>#VALUE!</v>
      </c>
      <c r="GQ44" s="177" t="e">
        <f t="shared" si="397"/>
        <v>#VALUE!</v>
      </c>
      <c r="GR44" s="371" t="e">
        <f t="shared" si="398"/>
        <v>#VALUE!</v>
      </c>
      <c r="GS44" s="342" t="e">
        <f t="shared" si="399"/>
        <v>#VALUE!</v>
      </c>
      <c r="GT44" s="343" t="e">
        <f t="shared" si="400"/>
        <v>#VALUE!</v>
      </c>
      <c r="GU44" s="344">
        <f t="shared" si="63"/>
        <v>272.26858333775743</v>
      </c>
      <c r="GV44" s="343">
        <f t="shared" si="401"/>
        <v>106.2</v>
      </c>
      <c r="GW44" s="345">
        <f t="shared" si="64"/>
        <v>29500</v>
      </c>
      <c r="GX44" s="346">
        <f t="shared" si="65"/>
        <v>43.332255000000004</v>
      </c>
      <c r="GY44" s="344" t="e">
        <f t="shared" si="402"/>
        <v>#VALUE!</v>
      </c>
      <c r="GZ44" s="345" t="e">
        <f t="shared" si="403"/>
        <v>#VALUE!</v>
      </c>
      <c r="HA44" s="342" t="e">
        <f t="shared" si="68"/>
        <v>#VALUE!</v>
      </c>
      <c r="HB44" s="5" t="e">
        <f t="shared" si="231"/>
        <v>#VALUE!</v>
      </c>
      <c r="HC44" s="343" t="e">
        <f t="shared" si="404"/>
        <v>#VALUE!</v>
      </c>
      <c r="HD44" s="345" t="e">
        <f t="shared" si="405"/>
        <v>#VALUE!</v>
      </c>
      <c r="HE44" s="344" t="e">
        <f t="shared" si="69"/>
        <v>#VALUE!</v>
      </c>
      <c r="HF44" s="5" t="e">
        <f t="shared" si="70"/>
        <v>#VALUE!</v>
      </c>
      <c r="HG44" s="343" t="e">
        <f t="shared" si="406"/>
        <v>#VALUE!</v>
      </c>
      <c r="HH44" s="349" t="e">
        <f t="shared" si="407"/>
        <v>#VALUE!</v>
      </c>
      <c r="HI44" s="317">
        <f t="shared" si="408"/>
        <v>3.1389999999999998</v>
      </c>
      <c r="HJ44" s="336"/>
      <c r="HK44" s="310">
        <f t="shared" si="459"/>
        <v>36</v>
      </c>
      <c r="HL44" s="348">
        <f t="shared" si="409"/>
        <v>6.1360000000000001</v>
      </c>
      <c r="HM44" s="909" t="e">
        <f t="shared" si="410"/>
        <v>#VALUE!</v>
      </c>
      <c r="HN44" s="910">
        <f t="shared" si="411"/>
        <v>27.199996072806407</v>
      </c>
      <c r="HO44" s="911"/>
      <c r="HP44" s="912"/>
      <c r="HQ44" s="910" t="e">
        <f t="shared" si="412"/>
        <v>#VALUE!</v>
      </c>
      <c r="HR44" s="913" t="e">
        <f t="shared" si="413"/>
        <v>#VALUE!</v>
      </c>
      <c r="HS44" s="865">
        <f t="shared" si="460"/>
        <v>4.8231999999999999</v>
      </c>
      <c r="HT44" s="875">
        <f t="shared" si="414"/>
        <v>8.5000000000000006E-3</v>
      </c>
      <c r="HU44" s="876">
        <f t="shared" si="415"/>
        <v>0.25759690021853549</v>
      </c>
      <c r="HV44" s="872">
        <f t="shared" si="416"/>
        <v>1.3462575984324869E-2</v>
      </c>
      <c r="HW44" s="866">
        <f t="shared" si="417"/>
        <v>29500</v>
      </c>
      <c r="HX44" s="867">
        <f t="shared" si="418"/>
        <v>100.78478333333334</v>
      </c>
      <c r="HY44" s="866" t="e">
        <f t="shared" si="419"/>
        <v>#VALUE!</v>
      </c>
      <c r="HZ44" s="868">
        <f t="shared" si="420"/>
        <v>633.25904637056647</v>
      </c>
      <c r="IA44" s="869" t="e">
        <f t="shared" si="421"/>
        <v>#VALUE!</v>
      </c>
      <c r="IB44" s="870" t="e">
        <f t="shared" si="422"/>
        <v>#VALUE!</v>
      </c>
      <c r="IC44" s="841" t="e">
        <f t="shared" si="423"/>
        <v>#VALUE!</v>
      </c>
      <c r="ID44" s="351">
        <f t="shared" si="424"/>
        <v>250.75000000000003</v>
      </c>
      <c r="IE44" s="843" t="e">
        <f t="shared" si="425"/>
        <v>#VALUE!</v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3.1389999999999998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</v>
      </c>
      <c r="B45" s="578">
        <f t="shared" si="257"/>
        <v>3.5996895994964904</v>
      </c>
      <c r="C45" s="572">
        <f t="shared" si="258"/>
        <v>-3.0087438912669917</v>
      </c>
      <c r="D45" s="576">
        <f t="shared" si="259"/>
        <v>-3.3411100767879911</v>
      </c>
      <c r="E45" s="580">
        <f t="shared" si="260"/>
        <v>0.93757456447982424</v>
      </c>
      <c r="F45" s="572">
        <f t="shared" si="261"/>
        <v>0.34504332534574994</v>
      </c>
      <c r="G45" s="579">
        <f t="shared" si="262"/>
        <v>4.357797235777483E-2</v>
      </c>
      <c r="H45" s="580">
        <f t="shared" si="263"/>
        <v>0.3125</v>
      </c>
      <c r="I45" s="572">
        <f t="shared" si="264"/>
        <v>0.52</v>
      </c>
      <c r="J45" s="483">
        <f t="shared" si="265"/>
        <v>3.145</v>
      </c>
      <c r="K45" s="806">
        <f t="shared" si="266"/>
        <v>1613</v>
      </c>
      <c r="L45" s="309"/>
      <c r="M45" s="164">
        <f t="shared" si="267"/>
        <v>3.145</v>
      </c>
      <c r="N45" s="575">
        <f t="shared" si="268"/>
        <v>3.5996895994964904</v>
      </c>
      <c r="O45" s="572">
        <f t="shared" si="269"/>
        <v>-3.0087438912669917</v>
      </c>
      <c r="P45" s="576">
        <f t="shared" si="270"/>
        <v>-3.3411100767879911</v>
      </c>
      <c r="Q45" s="528">
        <f t="shared" si="140"/>
        <v>320.10996677623143</v>
      </c>
      <c r="R45" s="572">
        <f t="shared" si="439"/>
        <v>4.6915141496066752</v>
      </c>
      <c r="S45" s="577">
        <f t="shared" si="440"/>
        <v>-3.3411100767879911</v>
      </c>
      <c r="T45" s="578">
        <f t="shared" si="441"/>
        <v>-3.0030858033210013</v>
      </c>
      <c r="U45" s="572">
        <f t="shared" si="442"/>
        <v>-3.6044112797864094</v>
      </c>
      <c r="V45" s="579">
        <f t="shared" si="443"/>
        <v>-3.3411100767879911</v>
      </c>
      <c r="W45" s="528">
        <f t="shared" si="253"/>
        <v>230.19996676323706</v>
      </c>
      <c r="X45" s="572">
        <f t="shared" si="444"/>
        <v>4.6915141496066752</v>
      </c>
      <c r="Y45" s="573">
        <f t="shared" si="255"/>
        <v>-3.3411100767879911</v>
      </c>
      <c r="Z45" s="575">
        <f t="shared" si="271"/>
        <v>-0.93757456447982424</v>
      </c>
      <c r="AA45" s="572">
        <f t="shared" si="272"/>
        <v>-0.34504332534574994</v>
      </c>
      <c r="AB45" s="572">
        <f t="shared" si="273"/>
        <v>-4.357797235777483E-2</v>
      </c>
      <c r="AC45" s="579">
        <f t="shared" si="445"/>
        <v>1</v>
      </c>
      <c r="AD45" s="580">
        <f t="shared" si="446"/>
        <v>-0.93757456447982424</v>
      </c>
      <c r="AE45" s="572">
        <f t="shared" si="447"/>
        <v>-0.34504332534574994</v>
      </c>
      <c r="AF45" s="576">
        <f t="shared" si="448"/>
        <v>-4.357797235777483E-2</v>
      </c>
      <c r="AG45" s="545">
        <f t="shared" si="449"/>
        <v>-82.801820212411812</v>
      </c>
      <c r="AH45" s="546">
        <f t="shared" si="450"/>
        <v>159.64814578196717</v>
      </c>
      <c r="AI45" s="528">
        <f t="shared" si="451"/>
        <v>-87.502375163624507</v>
      </c>
      <c r="AJ45" s="529">
        <f t="shared" si="452"/>
        <v>-69.795529842820898</v>
      </c>
      <c r="AK45" s="578">
        <f t="shared" si="453"/>
        <v>0.86602544158358574</v>
      </c>
      <c r="AL45" s="572">
        <f t="shared" si="454"/>
        <v>-0.49809727449077706</v>
      </c>
      <c r="AM45" s="577">
        <f t="shared" si="455"/>
        <v>-4.357797235777483E-2</v>
      </c>
      <c r="AN45" s="524">
        <f t="shared" si="456"/>
        <v>-84.999987727520178</v>
      </c>
      <c r="AO45" s="525">
        <f t="shared" si="116"/>
        <v>29.99999566853651</v>
      </c>
      <c r="AP45" s="528">
        <f t="shared" si="457"/>
        <v>-29.905496619052304</v>
      </c>
      <c r="AQ45" s="529">
        <f t="shared" si="274"/>
        <v>0.32394692021455668</v>
      </c>
      <c r="AS45" s="932">
        <f t="shared" si="461"/>
        <v>-129.80003323676294</v>
      </c>
      <c r="AT45" s="928">
        <f t="shared" si="275"/>
        <v>-3.2809758021473576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>
        <f t="shared" si="459"/>
        <v>37</v>
      </c>
      <c r="HL45" s="348">
        <f t="shared" si="409"/>
        <v>5.1369999999999996</v>
      </c>
      <c r="HM45" s="909" t="e">
        <f t="shared" si="410"/>
        <v>#VALUE!</v>
      </c>
      <c r="HN45" s="910">
        <f t="shared" si="411"/>
        <v>27.759995991952422</v>
      </c>
      <c r="HO45" s="911"/>
      <c r="HP45" s="912"/>
      <c r="HQ45" s="910" t="e">
        <f t="shared" si="412"/>
        <v>#VALUE!</v>
      </c>
      <c r="HR45" s="913" t="e">
        <f t="shared" si="413"/>
        <v>#VALUE!</v>
      </c>
      <c r="HS45" s="865">
        <f t="shared" si="460"/>
        <v>4.8535000000000004</v>
      </c>
      <c r="HT45" s="875">
        <f t="shared" si="414"/>
        <v>6.6E-3</v>
      </c>
      <c r="HU45" s="876">
        <f t="shared" si="415"/>
        <v>0.20127290915486912</v>
      </c>
      <c r="HV45" s="872">
        <f t="shared" si="416"/>
        <v>1.0518961333714712E-2</v>
      </c>
      <c r="HW45" s="866">
        <f t="shared" si="417"/>
        <v>29500</v>
      </c>
      <c r="HX45" s="867">
        <f t="shared" si="418"/>
        <v>78.748037499999995</v>
      </c>
      <c r="HY45" s="866" t="e">
        <f t="shared" si="419"/>
        <v>#VALUE!</v>
      </c>
      <c r="HZ45" s="868">
        <f t="shared" si="420"/>
        <v>494.79590167238661</v>
      </c>
      <c r="IA45" s="869" t="e">
        <f t="shared" si="421"/>
        <v>#VALUE!</v>
      </c>
      <c r="IB45" s="870" t="e">
        <f t="shared" si="422"/>
        <v>#VALUE!</v>
      </c>
      <c r="IC45" s="841" t="e">
        <f t="shared" si="423"/>
        <v>#VALUE!</v>
      </c>
      <c r="ID45" s="351">
        <f t="shared" si="424"/>
        <v>194.7</v>
      </c>
      <c r="IE45" s="843" t="e">
        <f t="shared" si="425"/>
        <v>#VALUE!</v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3.145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</v>
      </c>
      <c r="B46" s="578">
        <f t="shared" si="257"/>
        <v>1.7440736134470234</v>
      </c>
      <c r="C46" s="572">
        <f t="shared" si="258"/>
        <v>-2.3900269649003545</v>
      </c>
      <c r="D46" s="576">
        <f t="shared" si="259"/>
        <v>-0.23581866446421618</v>
      </c>
      <c r="E46" s="580">
        <f t="shared" si="260"/>
        <v>0.82638849580247697</v>
      </c>
      <c r="F46" s="572">
        <f t="shared" si="261"/>
        <v>0.45130662270707633</v>
      </c>
      <c r="G46" s="579">
        <f t="shared" si="262"/>
        <v>0.33675567746669438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3.2149999999999999</v>
      </c>
      <c r="K46" s="806">
        <f t="shared" si="266"/>
        <v>1310</v>
      </c>
      <c r="L46" s="309"/>
      <c r="M46" s="164">
        <f t="shared" si="267"/>
        <v>3.2149999999999999</v>
      </c>
      <c r="N46" s="575">
        <f t="shared" si="268"/>
        <v>1.7440736134470234</v>
      </c>
      <c r="O46" s="572">
        <f t="shared" si="269"/>
        <v>-2.3900269649003545</v>
      </c>
      <c r="P46" s="576">
        <f t="shared" si="270"/>
        <v>-0.23581866446421618</v>
      </c>
      <c r="Q46" s="528">
        <f t="shared" si="140"/>
        <v>306.11933900836323</v>
      </c>
      <c r="R46" s="572">
        <f t="shared" si="439"/>
        <v>2.9587195984197217</v>
      </c>
      <c r="S46" s="577">
        <f t="shared" si="440"/>
        <v>-0.23581866446421618</v>
      </c>
      <c r="T46" s="578">
        <f t="shared" si="441"/>
        <v>-2.3872844334207235</v>
      </c>
      <c r="U46" s="572">
        <f t="shared" si="442"/>
        <v>-1.7478257052750006</v>
      </c>
      <c r="V46" s="579">
        <f t="shared" si="443"/>
        <v>-0.23581866446421618</v>
      </c>
      <c r="W46" s="528">
        <f t="shared" si="253"/>
        <v>216.20933899536885</v>
      </c>
      <c r="X46" s="572">
        <f t="shared" si="444"/>
        <v>2.9587195984197217</v>
      </c>
      <c r="Y46" s="573">
        <f t="shared" si="255"/>
        <v>-0.23581866446421618</v>
      </c>
      <c r="Z46" s="575">
        <f t="shared" si="271"/>
        <v>-0.82638849580247697</v>
      </c>
      <c r="AA46" s="572">
        <f t="shared" si="272"/>
        <v>-0.45130662270707633</v>
      </c>
      <c r="AB46" s="572">
        <f t="shared" si="273"/>
        <v>-0.33675567746669438</v>
      </c>
      <c r="AC46" s="579">
        <f t="shared" si="445"/>
        <v>1</v>
      </c>
      <c r="AD46" s="580">
        <f t="shared" si="446"/>
        <v>-0.82638849580247697</v>
      </c>
      <c r="AE46" s="572">
        <f t="shared" si="447"/>
        <v>-0.45130662270707633</v>
      </c>
      <c r="AF46" s="576">
        <f t="shared" si="448"/>
        <v>-0.33675567746669438</v>
      </c>
      <c r="AG46" s="545">
        <f t="shared" si="449"/>
        <v>-53.270460435200953</v>
      </c>
      <c r="AH46" s="546">
        <f t="shared" si="450"/>
        <v>145.7295169882025</v>
      </c>
      <c r="AI46" s="528">
        <f t="shared" si="451"/>
        <v>-70.320664799257514</v>
      </c>
      <c r="AJ46" s="529">
        <f t="shared" si="452"/>
        <v>-61.360198870710448</v>
      </c>
      <c r="AK46" s="578">
        <f t="shared" si="453"/>
        <v>0.93358044546160568</v>
      </c>
      <c r="AL46" s="572">
        <f t="shared" si="454"/>
        <v>-0.12256902359755406</v>
      </c>
      <c r="AM46" s="577">
        <f t="shared" si="455"/>
        <v>-0.33675567746669438</v>
      </c>
      <c r="AN46" s="524">
        <f t="shared" si="456"/>
        <v>-19.999997112357644</v>
      </c>
      <c r="AO46" s="525">
        <f t="shared" si="116"/>
        <v>20.999996967975559</v>
      </c>
      <c r="AP46" s="528">
        <f t="shared" si="457"/>
        <v>-7.4795378790736615</v>
      </c>
      <c r="AQ46" s="529">
        <f t="shared" si="274"/>
        <v>0.51366038136933934</v>
      </c>
      <c r="AS46" s="932">
        <f t="shared" si="461"/>
        <v>-143.79066100463115</v>
      </c>
      <c r="AT46" s="928">
        <f t="shared" si="275"/>
        <v>-0.16920724733845843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>
        <f t="shared" si="459"/>
        <v>38</v>
      </c>
      <c r="HL46" s="348">
        <f t="shared" si="409"/>
        <v>4.1379999999999999</v>
      </c>
      <c r="HM46" s="909" t="e">
        <f t="shared" si="410"/>
        <v>#VALUE!</v>
      </c>
      <c r="HN46" s="910">
        <f t="shared" si="411"/>
        <v>28.319995911098463</v>
      </c>
      <c r="HO46" s="911"/>
      <c r="HP46" s="912"/>
      <c r="HQ46" s="910" t="e">
        <f t="shared" si="412"/>
        <v>#VALUE!</v>
      </c>
      <c r="HR46" s="913" t="e">
        <f t="shared" si="413"/>
        <v>#VALUE!</v>
      </c>
      <c r="HS46" s="865">
        <f t="shared" si="460"/>
        <v>4.8780000000000001</v>
      </c>
      <c r="HT46" s="875">
        <f t="shared" si="414"/>
        <v>5.3E-3</v>
      </c>
      <c r="HU46" s="876">
        <f t="shared" si="415"/>
        <v>0.16244410471920032</v>
      </c>
      <c r="HV46" s="872">
        <f t="shared" si="416"/>
        <v>8.4896833041568556E-3</v>
      </c>
      <c r="HW46" s="866">
        <f t="shared" si="417"/>
        <v>29500</v>
      </c>
      <c r="HX46" s="867">
        <f t="shared" si="418"/>
        <v>63.556274999999999</v>
      </c>
      <c r="HY46" s="866" t="e">
        <f t="shared" si="419"/>
        <v>#VALUE!</v>
      </c>
      <c r="HZ46" s="868">
        <f t="shared" si="420"/>
        <v>399.3417574347007</v>
      </c>
      <c r="IA46" s="869" t="e">
        <f t="shared" si="421"/>
        <v>#VALUE!</v>
      </c>
      <c r="IB46" s="870" t="e">
        <f t="shared" si="422"/>
        <v>#VALUE!</v>
      </c>
      <c r="IC46" s="841" t="e">
        <f t="shared" si="423"/>
        <v>#VALUE!</v>
      </c>
      <c r="ID46" s="351">
        <f t="shared" si="424"/>
        <v>156.35</v>
      </c>
      <c r="IE46" s="843" t="e">
        <f t="shared" si="425"/>
        <v>#VALUE!</v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3.2149999999999999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3.1150000000000002</v>
      </c>
      <c r="IK46" s="677" cm="1">
        <f t="array" ref="IK46">IFERROR(ROUND(VALUE(IF($IJ46&lt;1,$IJ46+LARGE((IF($M$9:$M$150="",0,$M$9:$M$150)-MOD(IF($M$9:$M$150="",0,$M$9:$M$150),1)),1),$IJ46)),4),"")</f>
        <v>3.1150000000000002</v>
      </c>
      <c r="IL46" s="482">
        <f t="shared" si="426"/>
        <v>1613</v>
      </c>
      <c r="IM46" s="482">
        <f t="shared" si="237"/>
        <v>1310</v>
      </c>
      <c r="IN46" s="670">
        <f t="shared" si="427"/>
        <v>16.410627418463434</v>
      </c>
      <c r="IO46" s="702"/>
      <c r="IP46" s="5">
        <f t="shared" si="428"/>
        <v>0</v>
      </c>
      <c r="IQ46" s="714"/>
      <c r="IR46" s="9">
        <f t="shared" si="429"/>
        <v>-2.9467088872740037</v>
      </c>
      <c r="IS46" s="5">
        <f t="shared" si="430"/>
        <v>-0.25970078325756235</v>
      </c>
      <c r="IT46" s="5">
        <f t="shared" si="431"/>
        <v>0.3125</v>
      </c>
      <c r="IU46" s="5">
        <f t="shared" si="432"/>
        <v>0.30039428345367702</v>
      </c>
      <c r="IV46" s="670">
        <f t="shared" si="433"/>
        <v>19.999997112357622</v>
      </c>
      <c r="IW46" s="9">
        <f t="shared" si="434"/>
        <v>-2.9587195984197217</v>
      </c>
      <c r="IX46" s="5">
        <f t="shared" si="435"/>
        <v>-0.23581866446421618</v>
      </c>
      <c r="IY46" s="5">
        <f t="shared" si="436"/>
        <v>0.26450000000000001</v>
      </c>
      <c r="IZ46" s="5">
        <f t="shared" si="437"/>
        <v>0.24693202782459472</v>
      </c>
      <c r="JA46" s="705">
        <f t="shared" si="438"/>
        <v>19.999997112357644</v>
      </c>
    </row>
    <row r="47" spans="1:269" ht="15" customHeight="1" x14ac:dyDescent="0.25">
      <c r="A47" s="75">
        <f t="shared" si="256"/>
        <v>0</v>
      </c>
      <c r="B47" s="578">
        <f t="shared" si="257"/>
        <v>2.2537227163665832</v>
      </c>
      <c r="C47" s="572">
        <f t="shared" si="258"/>
        <v>-2.8427536196354302</v>
      </c>
      <c r="D47" s="576">
        <f t="shared" si="259"/>
        <v>-0.58627820121793361</v>
      </c>
      <c r="E47" s="580">
        <f t="shared" si="260"/>
        <v>0.8607724632573418</v>
      </c>
      <c r="F47" s="572">
        <f t="shared" si="261"/>
        <v>0.38703694086651202</v>
      </c>
      <c r="G47" s="579">
        <f t="shared" si="262"/>
        <v>0.3305649299344689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3.2210000000000001</v>
      </c>
      <c r="K47" s="806">
        <f t="shared" si="266"/>
        <v>1313</v>
      </c>
      <c r="L47" s="309"/>
      <c r="M47" s="164">
        <f t="shared" si="267"/>
        <v>3.2210000000000001</v>
      </c>
      <c r="N47" s="575">
        <f t="shared" si="268"/>
        <v>2.2537227163665832</v>
      </c>
      <c r="O47" s="572">
        <f t="shared" si="269"/>
        <v>-2.8427536196354302</v>
      </c>
      <c r="P47" s="576">
        <f t="shared" si="270"/>
        <v>-0.58627820121793361</v>
      </c>
      <c r="Q47" s="528">
        <f t="shared" si="140"/>
        <v>308.40722797374218</v>
      </c>
      <c r="R47" s="572">
        <f t="shared" si="439"/>
        <v>3.6277423039980539</v>
      </c>
      <c r="S47" s="577">
        <f t="shared" si="440"/>
        <v>-0.58627820121793361</v>
      </c>
      <c r="T47" s="578">
        <f t="shared" si="441"/>
        <v>-2.8392099751329307</v>
      </c>
      <c r="U47" s="572">
        <f t="shared" si="442"/>
        <v>-2.2581853204116729</v>
      </c>
      <c r="V47" s="579">
        <f t="shared" si="443"/>
        <v>-0.58627820121793361</v>
      </c>
      <c r="W47" s="528">
        <f t="shared" si="253"/>
        <v>218.49722796074781</v>
      </c>
      <c r="X47" s="572">
        <f t="shared" si="444"/>
        <v>3.6277423039980539</v>
      </c>
      <c r="Y47" s="573">
        <f t="shared" si="255"/>
        <v>-0.58627820121793361</v>
      </c>
      <c r="Z47" s="575">
        <f t="shared" si="271"/>
        <v>-0.8607724632573418</v>
      </c>
      <c r="AA47" s="572">
        <f t="shared" si="272"/>
        <v>-0.38703694086651202</v>
      </c>
      <c r="AB47" s="572">
        <f t="shared" si="273"/>
        <v>-0.3305649299344689</v>
      </c>
      <c r="AC47" s="579">
        <f t="shared" si="445"/>
        <v>1</v>
      </c>
      <c r="AD47" s="580">
        <f t="shared" si="446"/>
        <v>-0.8607724632573418</v>
      </c>
      <c r="AE47" s="572">
        <f t="shared" si="447"/>
        <v>-0.38703694086651202</v>
      </c>
      <c r="AF47" s="576">
        <f t="shared" si="448"/>
        <v>-0.3305649299344689</v>
      </c>
      <c r="AG47" s="545">
        <f t="shared" si="449"/>
        <v>-49.499644414369399</v>
      </c>
      <c r="AH47" s="546">
        <f t="shared" si="450"/>
        <v>149.40342596294494</v>
      </c>
      <c r="AI47" s="528">
        <f t="shared" si="451"/>
        <v>-70.696931983771378</v>
      </c>
      <c r="AJ47" s="529">
        <f t="shared" si="452"/>
        <v>-65.789453705607599</v>
      </c>
      <c r="AK47" s="578">
        <f t="shared" si="453"/>
        <v>0.9149596920523112</v>
      </c>
      <c r="AL47" s="572">
        <f t="shared" si="454"/>
        <v>-0.23146401235820585</v>
      </c>
      <c r="AM47" s="577">
        <f t="shared" si="455"/>
        <v>-0.3305649299344689</v>
      </c>
      <c r="AN47" s="524">
        <f t="shared" si="456"/>
        <v>-34.999994946626003</v>
      </c>
      <c r="AO47" s="525">
        <f t="shared" si="116"/>
        <v>23.799996563705651</v>
      </c>
      <c r="AP47" s="528">
        <f t="shared" si="457"/>
        <v>-14.196681679349783</v>
      </c>
      <c r="AQ47" s="529">
        <f t="shared" si="274"/>
        <v>0.41893567479549254</v>
      </c>
      <c r="AS47" s="932">
        <f t="shared" si="461"/>
        <v>-141.50277203925219</v>
      </c>
      <c r="AT47" s="928">
        <f t="shared" si="275"/>
        <v>-0.52072599194651792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>
        <f t="shared" si="459"/>
        <v>39</v>
      </c>
      <c r="HL47" s="348">
        <f t="shared" si="409"/>
        <v>3.1389999999999998</v>
      </c>
      <c r="HM47" s="909" t="e">
        <f t="shared" si="410"/>
        <v>#VALUE!</v>
      </c>
      <c r="HN47" s="910">
        <f t="shared" si="411"/>
        <v>28.87999583024444</v>
      </c>
      <c r="HO47" s="911"/>
      <c r="HP47" s="912"/>
      <c r="HQ47" s="910" t="e">
        <f t="shared" si="412"/>
        <v>#VALUE!</v>
      </c>
      <c r="HR47" s="913" t="e">
        <f t="shared" si="413"/>
        <v>#VALUE!</v>
      </c>
      <c r="HS47" s="865">
        <f t="shared" si="460"/>
        <v>4.8963000000000001</v>
      </c>
      <c r="HT47" s="875">
        <f t="shared" si="414"/>
        <v>3.5999999999999999E-3</v>
      </c>
      <c r="HU47" s="876">
        <f t="shared" si="415"/>
        <v>0.11075332203569793</v>
      </c>
      <c r="HV47" s="872">
        <f t="shared" si="416"/>
        <v>5.788210231400517E-3</v>
      </c>
      <c r="HW47" s="866">
        <f t="shared" si="417"/>
        <v>29500</v>
      </c>
      <c r="HX47" s="867">
        <f t="shared" si="418"/>
        <v>43.332255000000004</v>
      </c>
      <c r="HY47" s="866" t="e">
        <f t="shared" si="419"/>
        <v>#VALUE!</v>
      </c>
      <c r="HZ47" s="868">
        <f t="shared" si="420"/>
        <v>272.26858333775743</v>
      </c>
      <c r="IA47" s="869" t="e">
        <f t="shared" si="421"/>
        <v>#VALUE!</v>
      </c>
      <c r="IB47" s="870" t="e">
        <f t="shared" si="422"/>
        <v>#VALUE!</v>
      </c>
      <c r="IC47" s="841" t="e">
        <f t="shared" si="423"/>
        <v>#VALUE!</v>
      </c>
      <c r="ID47" s="351">
        <f t="shared" si="424"/>
        <v>106.2</v>
      </c>
      <c r="IE47" s="843" t="e">
        <f t="shared" si="425"/>
        <v>#VALUE!</v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3.2210000000000001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3.121</v>
      </c>
      <c r="IK47" s="677" cm="1">
        <f t="array" ref="IK47">IFERROR(ROUND(VALUE(IF($IJ47&lt;1,$IJ47+LARGE((IF($M$9:$M$150="",0,$M$9:$M$150)-MOD(IF($M$9:$M$150="",0,$M$9:$M$150),1)),1),$IJ47)),4),"")</f>
        <v>3.121</v>
      </c>
      <c r="IL47" s="482">
        <f t="shared" si="426"/>
        <v>1613</v>
      </c>
      <c r="IM47" s="482">
        <f t="shared" si="237"/>
        <v>1313</v>
      </c>
      <c r="IN47" s="670">
        <f t="shared" si="427"/>
        <v>13.342738565702575</v>
      </c>
      <c r="IO47" s="702"/>
      <c r="IP47" s="5">
        <f t="shared" si="428"/>
        <v>0</v>
      </c>
      <c r="IQ47" s="714"/>
      <c r="IR47" s="9">
        <f t="shared" si="429"/>
        <v>-3.6074108799512135</v>
      </c>
      <c r="IS47" s="5">
        <f t="shared" si="430"/>
        <v>-0.60790183343192927</v>
      </c>
      <c r="IT47" s="5">
        <f t="shared" si="431"/>
        <v>0.3125</v>
      </c>
      <c r="IU47" s="5">
        <f t="shared" si="432"/>
        <v>0.29582789855719099</v>
      </c>
      <c r="IV47" s="670">
        <f t="shared" si="433"/>
        <v>34.999994946626082</v>
      </c>
      <c r="IW47" s="9">
        <f t="shared" si="434"/>
        <v>-3.6277423039980539</v>
      </c>
      <c r="IX47" s="5">
        <f t="shared" si="435"/>
        <v>-0.58627820121793361</v>
      </c>
      <c r="IY47" s="5">
        <f t="shared" si="436"/>
        <v>0.26450000000000001</v>
      </c>
      <c r="IZ47" s="5">
        <f t="shared" si="437"/>
        <v>0.24200683854783633</v>
      </c>
      <c r="JA47" s="705">
        <f t="shared" si="438"/>
        <v>34.999994946626003</v>
      </c>
    </row>
    <row r="48" spans="1:269" ht="15" customHeight="1" x14ac:dyDescent="0.25">
      <c r="A48" s="75">
        <f t="shared" si="256"/>
        <v>0</v>
      </c>
      <c r="B48" s="578">
        <f t="shared" si="257"/>
        <v>2.6366824036520926</v>
      </c>
      <c r="C48" s="572">
        <f t="shared" si="258"/>
        <v>-3.213464776575937</v>
      </c>
      <c r="D48" s="576">
        <f t="shared" si="259"/>
        <v>-1.1261382192457525</v>
      </c>
      <c r="E48" s="580">
        <f t="shared" si="260"/>
        <v>0.90963981547828821</v>
      </c>
      <c r="F48" s="572">
        <f t="shared" si="261"/>
        <v>0.29404330381822386</v>
      </c>
      <c r="G48" s="579">
        <f t="shared" si="262"/>
        <v>0.2934176913144288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3.2269999999999999</v>
      </c>
      <c r="K48" s="806">
        <f t="shared" si="266"/>
        <v>1313</v>
      </c>
      <c r="L48" s="309"/>
      <c r="M48" s="164">
        <f t="shared" si="267"/>
        <v>3.2269999999999999</v>
      </c>
      <c r="N48" s="575">
        <f t="shared" si="268"/>
        <v>2.6366824036520926</v>
      </c>
      <c r="O48" s="572">
        <f t="shared" si="269"/>
        <v>-3.213464776575937</v>
      </c>
      <c r="P48" s="576">
        <f t="shared" si="270"/>
        <v>-1.1261382192457525</v>
      </c>
      <c r="Q48" s="528">
        <f t="shared" si="140"/>
        <v>309.36924644661775</v>
      </c>
      <c r="R48" s="572">
        <f t="shared" si="101"/>
        <v>4.1567354941134766</v>
      </c>
      <c r="S48" s="577">
        <f t="shared" si="102"/>
        <v>-1.1261382192457525</v>
      </c>
      <c r="T48" s="578">
        <f t="shared" si="103"/>
        <v>-3.2093191233912388</v>
      </c>
      <c r="U48" s="572">
        <f t="shared" si="104"/>
        <v>-2.6417268466399206</v>
      </c>
      <c r="V48" s="579">
        <f t="shared" si="141"/>
        <v>-1.1261382192457525</v>
      </c>
      <c r="W48" s="528">
        <f t="shared" si="253"/>
        <v>219.45924643362338</v>
      </c>
      <c r="X48" s="572">
        <f t="shared" si="105"/>
        <v>4.1567354941134766</v>
      </c>
      <c r="Y48" s="573">
        <f t="shared" si="255"/>
        <v>-1.1261382192457525</v>
      </c>
      <c r="Z48" s="575">
        <f t="shared" si="271"/>
        <v>-0.90963981547828821</v>
      </c>
      <c r="AA48" s="572">
        <f t="shared" si="272"/>
        <v>-0.29404330381822386</v>
      </c>
      <c r="AB48" s="572">
        <f t="shared" si="273"/>
        <v>-0.2934176913144288</v>
      </c>
      <c r="AC48" s="579">
        <f t="shared" si="106"/>
        <v>1</v>
      </c>
      <c r="AD48" s="580">
        <f t="shared" si="142"/>
        <v>-0.90963981547828821</v>
      </c>
      <c r="AE48" s="572">
        <f t="shared" si="107"/>
        <v>-0.29404330381822386</v>
      </c>
      <c r="AF48" s="576">
        <f t="shared" si="108"/>
        <v>-0.2934176913144288</v>
      </c>
      <c r="AG48" s="545">
        <f t="shared" si="109"/>
        <v>-45.061016719108906</v>
      </c>
      <c r="AH48" s="546">
        <f t="shared" si="110"/>
        <v>155.45562406101934</v>
      </c>
      <c r="AI48" s="528">
        <f t="shared" si="111"/>
        <v>-72.937320553383614</v>
      </c>
      <c r="AJ48" s="529">
        <f t="shared" si="112"/>
        <v>-72.086446250833916</v>
      </c>
      <c r="AK48" s="578">
        <f t="shared" si="238"/>
        <v>0.88973530231528997</v>
      </c>
      <c r="AL48" s="572">
        <f t="shared" si="113"/>
        <v>-0.34968149827754691</v>
      </c>
      <c r="AM48" s="577">
        <f t="shared" si="114"/>
        <v>-0.2934176913144288</v>
      </c>
      <c r="AN48" s="524">
        <f t="shared" si="115"/>
        <v>-49.999992780894232</v>
      </c>
      <c r="AO48" s="525">
        <f t="shared" si="116"/>
        <v>27.159996078581734</v>
      </c>
      <c r="AP48" s="528">
        <f t="shared" si="117"/>
        <v>-21.455692697451671</v>
      </c>
      <c r="AQ48" s="529">
        <f t="shared" si="274"/>
        <v>0.36562276505221547</v>
      </c>
      <c r="AS48" s="932">
        <f t="shared" si="461"/>
        <v>-140.54075356637662</v>
      </c>
      <c r="AT48" s="928">
        <f t="shared" si="275"/>
        <v>-1.0610313888969645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>
        <f t="shared" si="459"/>
        <v>40</v>
      </c>
      <c r="HL48" s="348">
        <f t="shared" si="409"/>
        <v>2.14</v>
      </c>
      <c r="HM48" s="909" t="e">
        <f t="shared" si="410"/>
        <v>#VALUE!</v>
      </c>
      <c r="HN48" s="910">
        <f t="shared" si="411"/>
        <v>29.439995749390469</v>
      </c>
      <c r="HO48" s="911"/>
      <c r="HP48" s="912"/>
      <c r="HQ48" s="910" t="e">
        <f t="shared" si="412"/>
        <v>#VALUE!</v>
      </c>
      <c r="HR48" s="913" t="e">
        <f t="shared" si="413"/>
        <v>#VALUE!</v>
      </c>
      <c r="HS48" s="865">
        <f t="shared" si="460"/>
        <v>4.9076000000000004</v>
      </c>
      <c r="HT48" s="875">
        <f t="shared" si="414"/>
        <v>1.8E-3</v>
      </c>
      <c r="HU48" s="876">
        <f t="shared" si="415"/>
        <v>5.5504459135919101E-2</v>
      </c>
      <c r="HV48" s="872">
        <f t="shared" si="416"/>
        <v>2.9007841241577102E-3</v>
      </c>
      <c r="HW48" s="866">
        <f t="shared" si="417"/>
        <v>29500</v>
      </c>
      <c r="HX48" s="867">
        <f t="shared" si="418"/>
        <v>21.716130000000003</v>
      </c>
      <c r="HY48" s="866" t="e">
        <f t="shared" si="419"/>
        <v>#VALUE!</v>
      </c>
      <c r="HZ48" s="868">
        <f t="shared" si="420"/>
        <v>136.44846204246781</v>
      </c>
      <c r="IA48" s="869" t="e">
        <f t="shared" si="421"/>
        <v>#VALUE!</v>
      </c>
      <c r="IB48" s="870" t="e">
        <f t="shared" si="422"/>
        <v>#VALUE!</v>
      </c>
      <c r="IC48" s="841" t="e">
        <f t="shared" si="423"/>
        <v>#VALUE!</v>
      </c>
      <c r="ID48" s="351">
        <f t="shared" si="424"/>
        <v>53.1</v>
      </c>
      <c r="IE48" s="843" t="e">
        <f t="shared" si="425"/>
        <v>#VALUE!</v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3.2269999999999999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3.1269999999999998</v>
      </c>
      <c r="IK48" s="677" cm="1">
        <f t="array" ref="IK48">IFERROR(ROUND(VALUE(IF($IJ48&lt;1,$IJ48+LARGE((IF($M$9:$M$150="",0,$M$9:$M$150)-MOD(IF($M$9:$M$150="",0,$M$9:$M$150),1)),1),$IJ48)),4),"")</f>
        <v>3.1269999999999998</v>
      </c>
      <c r="IL48" s="482">
        <f t="shared" si="426"/>
        <v>1613</v>
      </c>
      <c r="IM48" s="482">
        <f t="shared" si="237"/>
        <v>1313</v>
      </c>
      <c r="IN48" s="670">
        <f t="shared" si="427"/>
        <v>11.630720201113547</v>
      </c>
      <c r="IO48" s="702">
        <v>2.8192540469455001E-2</v>
      </c>
      <c r="IP48" s="5">
        <f t="shared" si="428"/>
        <v>0.34444444444444444</v>
      </c>
      <c r="IQ48" s="714">
        <v>310</v>
      </c>
      <c r="IR48" s="9">
        <f t="shared" si="429"/>
        <v>-4.1294124543079631</v>
      </c>
      <c r="IS48" s="5">
        <f t="shared" si="430"/>
        <v>-1.1426034460919936</v>
      </c>
      <c r="IT48" s="5">
        <f t="shared" si="431"/>
        <v>0.3125</v>
      </c>
      <c r="IU48" s="5">
        <f t="shared" si="432"/>
        <v>0.28941692589185142</v>
      </c>
      <c r="IV48" s="670">
        <f t="shared" si="433"/>
        <v>49.999992780894218</v>
      </c>
      <c r="IW48" s="9">
        <f t="shared" si="434"/>
        <v>-4.1567354941134766</v>
      </c>
      <c r="IX48" s="5">
        <f t="shared" si="435"/>
        <v>-1.1261382192457525</v>
      </c>
      <c r="IY48" s="5">
        <f t="shared" si="436"/>
        <v>0.26450000000000001</v>
      </c>
      <c r="IZ48" s="5">
        <f t="shared" si="437"/>
        <v>0.23533498746239423</v>
      </c>
      <c r="JA48" s="705">
        <f t="shared" si="438"/>
        <v>49.999992780894232</v>
      </c>
    </row>
    <row r="49" spans="1:261" ht="15" customHeight="1" x14ac:dyDescent="0.25">
      <c r="A49" s="75">
        <f t="shared" si="256"/>
        <v>0</v>
      </c>
      <c r="B49" s="578">
        <f t="shared" si="257"/>
        <v>2.4605581129391734</v>
      </c>
      <c r="C49" s="572">
        <f t="shared" si="258"/>
        <v>-3.7504074902084872</v>
      </c>
      <c r="D49" s="576">
        <f t="shared" si="259"/>
        <v>-1.8148845028445957</v>
      </c>
      <c r="E49" s="580">
        <f t="shared" si="260"/>
        <v>0.50814434695727917</v>
      </c>
      <c r="F49" s="572">
        <f t="shared" si="261"/>
        <v>-0.7745187382139227</v>
      </c>
      <c r="G49" s="579">
        <f t="shared" si="262"/>
        <v>0.37670949923100355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3.2330000000000001</v>
      </c>
      <c r="K49" s="806" t="str">
        <f t="shared" si="266"/>
        <v>CPS-32193r1</v>
      </c>
      <c r="L49" s="309"/>
      <c r="M49" s="164">
        <f t="shared" si="267"/>
        <v>3.2330000000000001</v>
      </c>
      <c r="N49" s="575">
        <f t="shared" si="268"/>
        <v>2.4605581129391734</v>
      </c>
      <c r="O49" s="572">
        <f t="shared" si="269"/>
        <v>-3.7504074902084872</v>
      </c>
      <c r="P49" s="576">
        <f t="shared" si="270"/>
        <v>-1.8148845028445957</v>
      </c>
      <c r="Q49" s="528">
        <f t="shared" si="140"/>
        <v>303.26798061738913</v>
      </c>
      <c r="R49" s="572">
        <f t="shared" si="101"/>
        <v>4.4855214378891013</v>
      </c>
      <c r="S49" s="577">
        <f t="shared" si="102"/>
        <v>-1.8148845028445957</v>
      </c>
      <c r="T49" s="578">
        <f t="shared" si="103"/>
        <v>-3.7465378298327923</v>
      </c>
      <c r="U49" s="572">
        <f t="shared" si="104"/>
        <v>-2.4664462003851826</v>
      </c>
      <c r="V49" s="579">
        <f t="shared" si="141"/>
        <v>-1.8148845028445957</v>
      </c>
      <c r="W49" s="528">
        <f t="shared" si="253"/>
        <v>213.35798060439475</v>
      </c>
      <c r="X49" s="572">
        <f t="shared" si="105"/>
        <v>4.4855214378891013</v>
      </c>
      <c r="Y49" s="573">
        <f t="shared" si="255"/>
        <v>-1.8148845028445957</v>
      </c>
      <c r="Z49" s="575">
        <f t="shared" si="271"/>
        <v>-0.50814434695727917</v>
      </c>
      <c r="AA49" s="572">
        <f t="shared" si="272"/>
        <v>0.7745187382139227</v>
      </c>
      <c r="AB49" s="572">
        <f t="shared" si="273"/>
        <v>-0.37670949923100355</v>
      </c>
      <c r="AC49" s="579">
        <f t="shared" si="106"/>
        <v>1</v>
      </c>
      <c r="AD49" s="580">
        <f t="shared" si="142"/>
        <v>-0.50814434695727917</v>
      </c>
      <c r="AE49" s="572">
        <f t="shared" si="107"/>
        <v>0.7745187382139227</v>
      </c>
      <c r="AF49" s="576">
        <f t="shared" si="108"/>
        <v>-0.37670949923100355</v>
      </c>
      <c r="AG49" s="545">
        <f t="shared" si="109"/>
        <v>64.062693629949038</v>
      </c>
      <c r="AH49" s="546">
        <f t="shared" si="110"/>
        <v>120.54030448920101</v>
      </c>
      <c r="AI49" s="528">
        <f t="shared" si="111"/>
        <v>-67.869990200785836</v>
      </c>
      <c r="AJ49" s="529">
        <f t="shared" si="112"/>
        <v>-146.73201938261087</v>
      </c>
      <c r="AK49" s="578">
        <f t="shared" si="238"/>
        <v>-3.3306690738754696E-16</v>
      </c>
      <c r="AL49" s="572">
        <f t="shared" si="113"/>
        <v>-0.92633144888270236</v>
      </c>
      <c r="AM49" s="577">
        <f t="shared" si="114"/>
        <v>-0.37670949923100355</v>
      </c>
      <c r="AN49" s="524">
        <f t="shared" si="115"/>
        <v>-67.869990200785836</v>
      </c>
      <c r="AO49" s="525">
        <f t="shared" si="116"/>
        <v>0</v>
      </c>
      <c r="AP49" s="528">
        <f t="shared" si="117"/>
        <v>-90.000000000000014</v>
      </c>
      <c r="AQ49" s="529">
        <f t="shared" si="274"/>
        <v>0.33882349229165465</v>
      </c>
      <c r="AS49" s="932">
        <f t="shared" si="461"/>
        <v>-146.64201939560525</v>
      </c>
      <c r="AT49" s="928">
        <f t="shared" si="275"/>
        <v>-1.7469530123896833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>
        <f t="shared" si="459"/>
        <v>41</v>
      </c>
      <c r="HL49" s="348">
        <f t="shared" si="409"/>
        <v>1.141</v>
      </c>
      <c r="HM49" s="909">
        <f t="shared" si="410"/>
        <v>28.274790445747186</v>
      </c>
      <c r="HN49" s="910">
        <f t="shared" si="411"/>
        <v>29.999995668536574</v>
      </c>
      <c r="HO49" s="911"/>
      <c r="HP49" s="912"/>
      <c r="HQ49" s="910">
        <f t="shared" si="412"/>
        <v>28.349041758431181</v>
      </c>
      <c r="HR49" s="913">
        <f t="shared" si="413"/>
        <v>2.5268031567381422</v>
      </c>
      <c r="HS49" s="865">
        <f t="shared" si="460"/>
        <v>4.9236000000000004</v>
      </c>
      <c r="HT49" s="875">
        <f t="shared" si="414"/>
        <v>4.5999999999999999E-3</v>
      </c>
      <c r="HU49" s="876">
        <f t="shared" si="415"/>
        <v>0.14230716460858367</v>
      </c>
      <c r="HV49" s="872">
        <f t="shared" si="416"/>
        <v>7.4372828827970142E-3</v>
      </c>
      <c r="HW49" s="866">
        <f t="shared" si="417"/>
        <v>29500</v>
      </c>
      <c r="HX49" s="867">
        <f t="shared" si="418"/>
        <v>55.677710000000005</v>
      </c>
      <c r="HY49" s="866">
        <f t="shared" si="419"/>
        <v>188.17009080805974</v>
      </c>
      <c r="HZ49" s="868">
        <f t="shared" si="420"/>
        <v>349.83844632943482</v>
      </c>
      <c r="IA49" s="869">
        <f t="shared" si="421"/>
        <v>17.529800375706333</v>
      </c>
      <c r="IB49" s="870">
        <f t="shared" si="422"/>
        <v>555.53833751320099</v>
      </c>
      <c r="IC49" s="841">
        <f t="shared" si="423"/>
        <v>72.989923179021559</v>
      </c>
      <c r="ID49" s="351">
        <f t="shared" si="424"/>
        <v>135.69999999999999</v>
      </c>
      <c r="IE49" s="843">
        <f t="shared" si="425"/>
        <v>6.7996926465403229</v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3.2330000000000001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3.133</v>
      </c>
      <c r="IK49" s="677" cm="1">
        <f t="array" ref="IK49">IFERROR(ROUND(VALUE(IF($IJ49&lt;1,$IJ49+LARGE((IF($M$9:$M$150="",0,$M$9:$M$150)-MOD(IF($M$9:$M$150="",0,$M$9:$M$150),1)),1),$IJ49)),4),"")</f>
        <v>3.133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17.191986108308527</v>
      </c>
      <c r="IO49" s="702">
        <v>2.5492206878923999E-2</v>
      </c>
      <c r="IP49" s="5">
        <f t="shared" si="428"/>
        <v>0.42222222222222222</v>
      </c>
      <c r="IQ49" s="714">
        <v>380</v>
      </c>
      <c r="IR49" s="9">
        <f t="shared" si="429"/>
        <v>-4.4779135053871322</v>
      </c>
      <c r="IS49" s="5">
        <f t="shared" si="430"/>
        <v>-1.8041054411820108</v>
      </c>
      <c r="IT49" s="5">
        <f t="shared" si="431"/>
        <v>0.3125</v>
      </c>
      <c r="IU49" s="5">
        <f t="shared" si="432"/>
        <v>0.28201093135879218</v>
      </c>
      <c r="IV49" s="670">
        <f t="shared" si="433"/>
        <v>64.999990615162503</v>
      </c>
      <c r="IW49" s="9">
        <f t="shared" si="434"/>
        <v>-4.4855214378891013</v>
      </c>
      <c r="IX49" s="5">
        <f t="shared" si="435"/>
        <v>-1.8148845028445957</v>
      </c>
      <c r="IY49" s="5">
        <f t="shared" si="436"/>
        <v>0.255</v>
      </c>
      <c r="IZ49" s="5">
        <f t="shared" si="437"/>
        <v>0.255</v>
      </c>
      <c r="JA49" s="705">
        <f t="shared" si="438"/>
        <v>67.869990200785836</v>
      </c>
    </row>
    <row r="50" spans="1:261" ht="15" customHeight="1" x14ac:dyDescent="0.25">
      <c r="A50" s="75">
        <f t="shared" si="256"/>
        <v>0</v>
      </c>
      <c r="B50" s="578">
        <f t="shared" si="257"/>
        <v>2.4586993133911461</v>
      </c>
      <c r="C50" s="572">
        <f t="shared" si="258"/>
        <v>-3.9300749524364571</v>
      </c>
      <c r="D50" s="576">
        <f t="shared" si="259"/>
        <v>-2.5502267088965938</v>
      </c>
      <c r="E50" s="580">
        <f t="shared" si="260"/>
        <v>0.52811259061692239</v>
      </c>
      <c r="F50" s="572">
        <f t="shared" si="261"/>
        <v>-0.84415448979291563</v>
      </c>
      <c r="G50" s="579">
        <f t="shared" si="262"/>
        <v>9.2197011851499908E-2</v>
      </c>
      <c r="H50" s="580">
        <f t="shared" si="263"/>
        <v>0.255</v>
      </c>
      <c r="I50" s="572">
        <f t="shared" si="264"/>
        <v>0.41499999999999992</v>
      </c>
      <c r="J50" s="483">
        <f t="shared" si="265"/>
        <v>3.2389999999999999</v>
      </c>
      <c r="K50" s="806" t="str">
        <f t="shared" si="266"/>
        <v>CPS-32193r1</v>
      </c>
      <c r="L50" s="309"/>
      <c r="M50" s="164">
        <f t="shared" si="267"/>
        <v>3.2389999999999999</v>
      </c>
      <c r="N50" s="575">
        <f t="shared" si="268"/>
        <v>2.4586993133911461</v>
      </c>
      <c r="O50" s="572">
        <f t="shared" si="269"/>
        <v>-3.9300749524364571</v>
      </c>
      <c r="P50" s="576">
        <f t="shared" si="270"/>
        <v>-2.5502267088965938</v>
      </c>
      <c r="Q50" s="528">
        <f t="shared" si="140"/>
        <v>302.03056288009924</v>
      </c>
      <c r="R50" s="572">
        <f t="shared" si="101"/>
        <v>4.6358053718246754</v>
      </c>
      <c r="S50" s="577">
        <f t="shared" si="102"/>
        <v>-2.5502267088965938</v>
      </c>
      <c r="T50" s="578">
        <f t="shared" si="103"/>
        <v>-3.9262079901989075</v>
      </c>
      <c r="U50" s="572">
        <f t="shared" si="104"/>
        <v>-2.4648696239632581</v>
      </c>
      <c r="V50" s="579">
        <f t="shared" si="141"/>
        <v>-2.5502267088965938</v>
      </c>
      <c r="W50" s="528">
        <f t="shared" si="253"/>
        <v>212.12056286710487</v>
      </c>
      <c r="X50" s="572">
        <f t="shared" si="105"/>
        <v>4.6358053718246754</v>
      </c>
      <c r="Y50" s="573">
        <f t="shared" si="255"/>
        <v>-2.5502267088965938</v>
      </c>
      <c r="Z50" s="575">
        <f t="shared" si="271"/>
        <v>-0.52811259061692239</v>
      </c>
      <c r="AA50" s="572">
        <f t="shared" si="272"/>
        <v>0.84415448979291563</v>
      </c>
      <c r="AB50" s="572">
        <f t="shared" si="273"/>
        <v>-9.2197011851499908E-2</v>
      </c>
      <c r="AC50" s="579">
        <f t="shared" si="106"/>
        <v>1</v>
      </c>
      <c r="AD50" s="580">
        <f t="shared" si="142"/>
        <v>-0.52811259061692239</v>
      </c>
      <c r="AE50" s="572">
        <f t="shared" si="107"/>
        <v>0.84415448979291563</v>
      </c>
      <c r="AF50" s="576">
        <f t="shared" si="108"/>
        <v>-9.2197011851499908E-2</v>
      </c>
      <c r="AG50" s="545">
        <f t="shared" si="109"/>
        <v>83.766965056029221</v>
      </c>
      <c r="AH50" s="546">
        <f t="shared" si="110"/>
        <v>121.87801866070059</v>
      </c>
      <c r="AI50" s="528">
        <f t="shared" si="111"/>
        <v>-84.709987769390992</v>
      </c>
      <c r="AJ50" s="529">
        <f t="shared" si="112"/>
        <v>-147.96943711990073</v>
      </c>
      <c r="AK50" s="578">
        <f t="shared" si="238"/>
        <v>6.106226635438361E-16</v>
      </c>
      <c r="AL50" s="572">
        <f t="shared" si="113"/>
        <v>-0.99574078504681873</v>
      </c>
      <c r="AM50" s="577">
        <f t="shared" si="114"/>
        <v>-9.2197011851499908E-2</v>
      </c>
      <c r="AN50" s="524">
        <f t="shared" si="115"/>
        <v>-84.709987769390992</v>
      </c>
      <c r="AO50" s="525">
        <f t="shared" si="116"/>
        <v>0</v>
      </c>
      <c r="AP50" s="528">
        <f t="shared" si="117"/>
        <v>-89.999999999999972</v>
      </c>
      <c r="AQ50" s="529">
        <f t="shared" si="274"/>
        <v>0.32783972717834636</v>
      </c>
      <c r="AS50" s="932">
        <f t="shared" si="461"/>
        <v>-147.87943713289513</v>
      </c>
      <c r="AT50" s="928">
        <f t="shared" si="275"/>
        <v>-2.4817223398596027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3.2389999999999999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3.1389999999999998</v>
      </c>
      <c r="IK50" s="677" cm="1">
        <f t="array" ref="IK50">IFERROR(ROUND(VALUE(IF($IJ50&lt;1,$IJ50+LARGE((IF($M$9:$M$150="",0,$M$9:$M$150)-MOD(IF($M$9:$M$150="",0,$M$9:$M$150),1)),1),$IJ50)),4),"")</f>
        <v>3.1389999999999998</v>
      </c>
      <c r="IL50" s="482">
        <f t="shared" si="426"/>
        <v>1613</v>
      </c>
      <c r="IM50" s="482" t="str">
        <f t="shared" si="237"/>
        <v>CPS-32193r1</v>
      </c>
      <c r="IN50" s="670">
        <f t="shared" si="427"/>
        <v>18.169403883137761</v>
      </c>
      <c r="IO50" s="702">
        <v>2.3439799147767001E-2</v>
      </c>
      <c r="IP50" s="5">
        <f t="shared" si="428"/>
        <v>0.5</v>
      </c>
      <c r="IQ50" s="714">
        <v>450</v>
      </c>
      <c r="IR50" s="9">
        <f t="shared" si="429"/>
        <v>-4.6368139846309777</v>
      </c>
      <c r="IS50" s="5">
        <f t="shared" si="430"/>
        <v>-2.5349076452814576</v>
      </c>
      <c r="IT50" s="5">
        <f t="shared" si="431"/>
        <v>0.3125</v>
      </c>
      <c r="IU50" s="5">
        <f t="shared" si="432"/>
        <v>0.27363537693294809</v>
      </c>
      <c r="IV50" s="670">
        <f t="shared" si="433"/>
        <v>79.999988449430745</v>
      </c>
      <c r="IW50" s="9">
        <f t="shared" si="434"/>
        <v>-4.6358053718246754</v>
      </c>
      <c r="IX50" s="5">
        <f t="shared" si="435"/>
        <v>-2.5502267088965938</v>
      </c>
      <c r="IY50" s="5">
        <f t="shared" si="436"/>
        <v>0.255</v>
      </c>
      <c r="IZ50" s="5">
        <f t="shared" si="437"/>
        <v>0.255</v>
      </c>
      <c r="JA50" s="705">
        <f t="shared" si="438"/>
        <v>84.709987769390992</v>
      </c>
    </row>
    <row r="51" spans="1:261" ht="15" customHeight="1" x14ac:dyDescent="0.25">
      <c r="A51" s="75">
        <f t="shared" si="256"/>
        <v>0</v>
      </c>
      <c r="B51" s="578">
        <f t="shared" si="257"/>
        <v>2.384694488563627</v>
      </c>
      <c r="C51" s="572">
        <f t="shared" si="258"/>
        <v>-4.0351871931063954</v>
      </c>
      <c r="D51" s="576">
        <f t="shared" si="259"/>
        <v>-3.3577640312445025</v>
      </c>
      <c r="E51" s="580">
        <f t="shared" si="260"/>
        <v>0.50685843642742157</v>
      </c>
      <c r="F51" s="572">
        <f t="shared" si="261"/>
        <v>-0.85766486281510601</v>
      </c>
      <c r="G51" s="579">
        <f t="shared" si="262"/>
        <v>8.6634337965353025E-2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3.2450000000000001</v>
      </c>
      <c r="K51" s="806" t="str">
        <f t="shared" si="266"/>
        <v>CPS-32193r1</v>
      </c>
      <c r="L51" s="309"/>
      <c r="M51" s="164">
        <f t="shared" si="267"/>
        <v>3.2450000000000001</v>
      </c>
      <c r="N51" s="575">
        <f t="shared" si="268"/>
        <v>2.384694488563627</v>
      </c>
      <c r="O51" s="572">
        <f t="shared" si="269"/>
        <v>-4.0351871931063954</v>
      </c>
      <c r="P51" s="576">
        <f t="shared" si="270"/>
        <v>-3.3577640312445025</v>
      </c>
      <c r="Q51" s="528">
        <f t="shared" si="140"/>
        <v>300.58202300739549</v>
      </c>
      <c r="R51" s="572">
        <f t="shared" si="101"/>
        <v>4.6871636932366263</v>
      </c>
      <c r="S51" s="577">
        <f t="shared" si="102"/>
        <v>-3.3577640312445025</v>
      </c>
      <c r="T51" s="578">
        <f t="shared" si="103"/>
        <v>-4.0314363476342967</v>
      </c>
      <c r="U51" s="572">
        <f t="shared" si="104"/>
        <v>-2.3910300002652951</v>
      </c>
      <c r="V51" s="579">
        <f t="shared" si="141"/>
        <v>-3.3577640312445025</v>
      </c>
      <c r="W51" s="528">
        <f t="shared" si="253"/>
        <v>210.67202299440112</v>
      </c>
      <c r="X51" s="572">
        <f t="shared" si="105"/>
        <v>4.6871636932366263</v>
      </c>
      <c r="Y51" s="573">
        <f t="shared" si="255"/>
        <v>-3.3577640312445025</v>
      </c>
      <c r="Z51" s="575">
        <f t="shared" si="271"/>
        <v>-0.50685843642742157</v>
      </c>
      <c r="AA51" s="572">
        <f t="shared" si="272"/>
        <v>0.85766486281510601</v>
      </c>
      <c r="AB51" s="572">
        <f t="shared" si="273"/>
        <v>-8.6634337965353025E-2</v>
      </c>
      <c r="AC51" s="579">
        <f t="shared" si="106"/>
        <v>1</v>
      </c>
      <c r="AD51" s="580">
        <f t="shared" si="142"/>
        <v>-0.50685843642742157</v>
      </c>
      <c r="AE51" s="572">
        <f t="shared" si="107"/>
        <v>0.85766486281510601</v>
      </c>
      <c r="AF51" s="576">
        <f t="shared" si="108"/>
        <v>-8.6634337965353025E-2</v>
      </c>
      <c r="AG51" s="545">
        <f t="shared" si="109"/>
        <v>84.232010350936676</v>
      </c>
      <c r="AH51" s="546">
        <f t="shared" si="110"/>
        <v>120.45479740393991</v>
      </c>
      <c r="AI51" s="528">
        <f t="shared" si="111"/>
        <v>-85.029987723188725</v>
      </c>
      <c r="AJ51" s="529">
        <f t="shared" si="112"/>
        <v>-149.41797699260448</v>
      </c>
      <c r="AK51" s="578">
        <f t="shared" si="238"/>
        <v>7.2164496600635175E-16</v>
      </c>
      <c r="AL51" s="572">
        <f t="shared" si="113"/>
        <v>-0.99624017761045214</v>
      </c>
      <c r="AM51" s="577">
        <f t="shared" si="114"/>
        <v>-8.6634337965353025E-2</v>
      </c>
      <c r="AN51" s="524">
        <f t="shared" si="115"/>
        <v>-85.029987723188739</v>
      </c>
      <c r="AO51" s="525">
        <f t="shared" si="116"/>
        <v>0</v>
      </c>
      <c r="AP51" s="528">
        <f t="shared" si="117"/>
        <v>-89.999999999999957</v>
      </c>
      <c r="AQ51" s="529">
        <f t="shared" si="274"/>
        <v>0.32424758965107359</v>
      </c>
      <c r="AS51" s="932">
        <f t="shared" si="461"/>
        <v>-149.32797700559888</v>
      </c>
      <c r="AT51" s="928">
        <f t="shared" si="275"/>
        <v>-3.2885890418960746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3.2450000000000001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3.145</v>
      </c>
      <c r="IK51" s="677" cm="1">
        <f t="array" ref="IK51">IFERROR(ROUND(VALUE(IF($IJ51&lt;1,$IJ51+LARGE((IF($M$9:$M$150="",0,$M$9:$M$150)-MOD(IF($M$9:$M$150="",0,$M$9:$M$150),1)),1),$IJ51)),4),"")</f>
        <v>3.145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19.527943768835939</v>
      </c>
      <c r="IO51" s="702">
        <v>1.5487282897603601E-2</v>
      </c>
      <c r="IP51" s="5">
        <f t="shared" si="428"/>
        <v>0.37777777777777777</v>
      </c>
      <c r="IQ51" s="714">
        <v>340</v>
      </c>
      <c r="IR51" s="9">
        <f t="shared" si="429"/>
        <v>-4.6915141496066752</v>
      </c>
      <c r="IS51" s="5">
        <f t="shared" si="430"/>
        <v>-3.3411100767879911</v>
      </c>
      <c r="IT51" s="5">
        <f t="shared" si="431"/>
        <v>0.3125</v>
      </c>
      <c r="IU51" s="5">
        <f t="shared" si="432"/>
        <v>0.27063295049487057</v>
      </c>
      <c r="IV51" s="670">
        <f t="shared" si="433"/>
        <v>84.999987727520178</v>
      </c>
      <c r="IW51" s="9">
        <f t="shared" si="434"/>
        <v>-4.6871636932366263</v>
      </c>
      <c r="IX51" s="5">
        <f t="shared" si="435"/>
        <v>-3.3577640312445025</v>
      </c>
      <c r="IY51" s="5">
        <f t="shared" si="436"/>
        <v>0.255</v>
      </c>
      <c r="IZ51" s="5">
        <f t="shared" si="437"/>
        <v>0.255</v>
      </c>
      <c r="JA51" s="705">
        <f t="shared" si="438"/>
        <v>85.029987723188739</v>
      </c>
    </row>
    <row r="52" spans="1:261" ht="15" customHeight="1" x14ac:dyDescent="0.25">
      <c r="A52" s="75">
        <f t="shared" si="256"/>
        <v>0</v>
      </c>
      <c r="B52" s="578">
        <f t="shared" si="257"/>
        <v>-0.36216300496694659</v>
      </c>
      <c r="C52" s="572">
        <f t="shared" si="258"/>
        <v>-2.8038153610353338</v>
      </c>
      <c r="D52" s="576">
        <f t="shared" si="259"/>
        <v>-0.22350067407803323</v>
      </c>
      <c r="E52" s="580">
        <f t="shared" si="260"/>
        <v>0.9427236948183616</v>
      </c>
      <c r="F52" s="572">
        <f t="shared" si="261"/>
        <v>-0.2053439763238406</v>
      </c>
      <c r="G52" s="579">
        <f t="shared" si="262"/>
        <v>0.2628799851938729</v>
      </c>
      <c r="H52" s="580">
        <f t="shared" si="263"/>
        <v>0.3125</v>
      </c>
      <c r="I52" s="572">
        <f t="shared" si="264"/>
        <v>0.52</v>
      </c>
      <c r="J52" s="483">
        <f t="shared" si="265"/>
        <v>4.1139999999999999</v>
      </c>
      <c r="K52" s="806">
        <f t="shared" si="266"/>
        <v>1613</v>
      </c>
      <c r="L52" s="309"/>
      <c r="M52" s="164">
        <f t="shared" si="267"/>
        <v>4.1139999999999999</v>
      </c>
      <c r="N52" s="575">
        <f t="shared" si="268"/>
        <v>-0.36216300496694659</v>
      </c>
      <c r="O52" s="572">
        <f t="shared" si="269"/>
        <v>-2.8038153610353338</v>
      </c>
      <c r="P52" s="576">
        <f t="shared" si="270"/>
        <v>-0.22350067407803323</v>
      </c>
      <c r="Q52" s="528">
        <f t="shared" si="140"/>
        <v>262.6399750738716</v>
      </c>
      <c r="R52" s="572">
        <f t="shared" si="101"/>
        <v>2.8271085265593161</v>
      </c>
      <c r="S52" s="577">
        <f t="shared" si="102"/>
        <v>-0.22350067407803323</v>
      </c>
      <c r="T52" s="578">
        <f t="shared" si="103"/>
        <v>-2.8043807859703129</v>
      </c>
      <c r="U52" s="572">
        <f t="shared" si="104"/>
        <v>0.35775833774339566</v>
      </c>
      <c r="V52" s="579">
        <f t="shared" si="141"/>
        <v>-0.22350067407803323</v>
      </c>
      <c r="W52" s="528">
        <f t="shared" si="253"/>
        <v>172.72997506087722</v>
      </c>
      <c r="X52" s="572">
        <f t="shared" si="105"/>
        <v>2.8271085265593161</v>
      </c>
      <c r="Y52" s="573">
        <f t="shared" si="255"/>
        <v>-0.22350067407803323</v>
      </c>
      <c r="Z52" s="575">
        <f t="shared" si="271"/>
        <v>-0.9427236948183616</v>
      </c>
      <c r="AA52" s="572">
        <f t="shared" si="272"/>
        <v>0.2053439763238406</v>
      </c>
      <c r="AB52" s="572">
        <f t="shared" si="273"/>
        <v>-0.2628799851938729</v>
      </c>
      <c r="AC52" s="579">
        <f t="shared" si="106"/>
        <v>1</v>
      </c>
      <c r="AD52" s="580">
        <f t="shared" si="142"/>
        <v>-0.9427236948183616</v>
      </c>
      <c r="AE52" s="572">
        <f t="shared" si="107"/>
        <v>0.2053439763238406</v>
      </c>
      <c r="AF52" s="576">
        <f t="shared" si="108"/>
        <v>-0.2628799851938729</v>
      </c>
      <c r="AG52" s="545">
        <f t="shared" si="109"/>
        <v>37.994534847180219</v>
      </c>
      <c r="AH52" s="546">
        <f t="shared" si="110"/>
        <v>160.51411464539362</v>
      </c>
      <c r="AI52" s="528">
        <f t="shared" si="111"/>
        <v>-74.758980853352668</v>
      </c>
      <c r="AJ52" s="529">
        <f t="shared" si="112"/>
        <v>-102.28821993981103</v>
      </c>
      <c r="AK52" s="578">
        <f t="shared" si="238"/>
        <v>0.96126170705176628</v>
      </c>
      <c r="AL52" s="572">
        <f t="shared" si="113"/>
        <v>-8.2885728206933504E-2</v>
      </c>
      <c r="AM52" s="577">
        <f t="shared" si="114"/>
        <v>-0.2628799851938729</v>
      </c>
      <c r="AN52" s="524">
        <f t="shared" si="115"/>
        <v>-17.499997473312991</v>
      </c>
      <c r="AO52" s="525">
        <f t="shared" si="116"/>
        <v>15.999997689886136</v>
      </c>
      <c r="AP52" s="528">
        <f t="shared" si="117"/>
        <v>-4.9281950136826103</v>
      </c>
      <c r="AQ52" s="529">
        <f t="shared" si="274"/>
        <v>0.53757156611595136</v>
      </c>
      <c r="AS52" s="932">
        <f t="shared" si="461"/>
        <v>-187.27002493912278</v>
      </c>
      <c r="AT52" s="928">
        <f t="shared" si="275"/>
        <v>-0.13675992179741825</v>
      </c>
      <c r="AU52" s="418"/>
      <c r="AV52" s="164">
        <f t="shared" si="276"/>
        <v>4.1139999999999999</v>
      </c>
      <c r="AW52" s="829">
        <f>IFERROR(INDEX(MassProp!C$9:C$150,MATCH($M52,MassProp!$B$9:$B$150,0)),"")</f>
        <v>2.7862</v>
      </c>
      <c r="AX52" s="830">
        <f>IFERROR(INDEX(MassProp!D$9:D$150,MATCH($M52,MassProp!$B$9:$B$150,0)),"")</f>
        <v>0.38790000000000002</v>
      </c>
      <c r="AY52" s="831">
        <f>IFERROR(INDEX(MassProp!E$9:E$150,MATCH($M52,MassProp!$B$9:$B$150,0)),"")</f>
        <v>3.61E-2</v>
      </c>
      <c r="AZ52" s="297">
        <f t="shared" si="277"/>
        <v>0.63200285357326613</v>
      </c>
      <c r="BA52" s="296">
        <f t="shared" si="278"/>
        <v>3.3029847918674665E-2</v>
      </c>
      <c r="BB52" s="190">
        <f t="shared" si="145"/>
        <v>0.35799325513075164</v>
      </c>
      <c r="BC52" s="9"/>
      <c r="BD52" s="5">
        <f t="shared" si="279"/>
        <v>2.7862</v>
      </c>
      <c r="BE52" s="6">
        <f t="shared" si="280"/>
        <v>0.13449258105271841</v>
      </c>
      <c r="BF52" s="4">
        <f t="shared" si="281"/>
        <v>-0.36216300496694659</v>
      </c>
      <c r="BG52" s="5">
        <f t="shared" si="282"/>
        <v>-2.8038153610353338</v>
      </c>
      <c r="BH52" s="10">
        <f t="shared" si="283"/>
        <v>-0.22350067407803323</v>
      </c>
      <c r="BI52" s="9">
        <f t="shared" si="284"/>
        <v>-0.36216300496694659</v>
      </c>
      <c r="BJ52" s="5">
        <f t="shared" si="285"/>
        <v>-2.0157458861985473</v>
      </c>
      <c r="BK52" s="8">
        <f t="shared" si="286"/>
        <v>0.39208563411154274</v>
      </c>
      <c r="BL52" s="173">
        <f t="shared" si="287"/>
        <v>-2.858837279594828E-2</v>
      </c>
      <c r="BM52" s="5">
        <f t="shared" si="288"/>
        <v>-2.2234875620992622</v>
      </c>
      <c r="BN52" s="6">
        <f t="shared" si="289"/>
        <v>-0.96643244116973426</v>
      </c>
      <c r="BO52" s="4">
        <f t="shared" si="290"/>
        <v>-0.94272369481836127</v>
      </c>
      <c r="BP52" s="5">
        <f t="shared" si="239"/>
        <v>0.20534397632384058</v>
      </c>
      <c r="BQ52" s="5">
        <f t="shared" si="291"/>
        <v>-0.26287998519387301</v>
      </c>
      <c r="BR52" s="6">
        <f t="shared" si="292"/>
        <v>0.17557309505144594</v>
      </c>
      <c r="BS52" s="4">
        <f t="shared" si="458"/>
        <v>0</v>
      </c>
      <c r="BT52" s="5">
        <f t="shared" si="458"/>
        <v>0</v>
      </c>
      <c r="BU52" s="10">
        <f t="shared" si="119"/>
        <v>0.13449258105271841</v>
      </c>
      <c r="BV52" s="9">
        <f t="shared" si="120"/>
        <v>0</v>
      </c>
      <c r="BW52" s="5">
        <f t="shared" si="121"/>
        <v>1</v>
      </c>
      <c r="BX52" s="8">
        <f t="shared" si="122"/>
        <v>0.13449258105271841</v>
      </c>
      <c r="BY52" s="173">
        <f t="shared" si="123"/>
        <v>1</v>
      </c>
      <c r="BZ52" s="5">
        <f t="shared" si="124"/>
        <v>0</v>
      </c>
      <c r="CA52" s="6">
        <f t="shared" si="125"/>
        <v>0.13449258105271841</v>
      </c>
      <c r="CB52" s="4">
        <f t="shared" si="293"/>
        <v>0</v>
      </c>
      <c r="CC52" s="5">
        <f t="shared" si="294"/>
        <v>0</v>
      </c>
      <c r="CD52" s="5">
        <f t="shared" si="295"/>
        <v>-1</v>
      </c>
      <c r="CE52" s="6">
        <f t="shared" si="296"/>
        <v>0.13449258105271841</v>
      </c>
      <c r="CF52" s="4">
        <f t="shared" si="297"/>
        <v>-0.20534397632384058</v>
      </c>
      <c r="CG52" s="5">
        <f t="shared" si="298"/>
        <v>-0.94272369481836127</v>
      </c>
      <c r="CH52" s="5">
        <f t="shared" si="299"/>
        <v>0</v>
      </c>
      <c r="CI52" s="4">
        <f t="shared" si="126"/>
        <v>0</v>
      </c>
      <c r="CJ52" s="5">
        <f t="shared" si="300"/>
        <v>-0.68284295378837556</v>
      </c>
      <c r="CK52" s="8">
        <f t="shared" si="301"/>
        <v>0.13449258105271841</v>
      </c>
      <c r="CL52" s="173">
        <f t="shared" si="302"/>
        <v>-0.20534397632384058</v>
      </c>
      <c r="CM52" s="5">
        <f t="shared" si="303"/>
        <v>-1.6255666486067368</v>
      </c>
      <c r="CN52" s="6">
        <f t="shared" si="304"/>
        <v>0.13449258105271841</v>
      </c>
      <c r="CO52" s="167">
        <f t="shared" si="305"/>
        <v>0.3125</v>
      </c>
      <c r="CP52" s="4">
        <f t="shared" si="306"/>
        <v>0.93089411338446881</v>
      </c>
      <c r="CQ52" s="5">
        <f t="shared" si="307"/>
        <v>-4.1477178717698999</v>
      </c>
      <c r="CR52" s="5">
        <f t="shared" si="308"/>
        <v>4.6601889151887583</v>
      </c>
      <c r="CS52" s="8">
        <f t="shared" si="309"/>
        <v>-0.14900616983564419</v>
      </c>
      <c r="CT52" s="9" t="e">
        <f t="shared" si="160"/>
        <v>#NUM!</v>
      </c>
      <c r="CU52" s="6" t="e">
        <f t="shared" si="310"/>
        <v>#NUM!</v>
      </c>
      <c r="CV52" s="4" t="e">
        <f t="shared" si="311"/>
        <v>#NUM!</v>
      </c>
      <c r="CW52" s="5" t="e">
        <f t="shared" si="312"/>
        <v>#NUM!</v>
      </c>
      <c r="CX52" s="8" t="e">
        <f t="shared" si="313"/>
        <v>#NUM!</v>
      </c>
      <c r="CY52" s="9" t="e">
        <f t="shared" si="314"/>
        <v>#NUM!</v>
      </c>
      <c r="CZ52" s="5" t="e">
        <f t="shared" si="315"/>
        <v>#NUM!</v>
      </c>
      <c r="DA52" s="6" t="e">
        <f t="shared" si="316"/>
        <v>#NUM!</v>
      </c>
      <c r="DB52" s="4">
        <f t="shared" si="462"/>
        <v>0</v>
      </c>
      <c r="DC52" s="5">
        <f t="shared" si="462"/>
        <v>0</v>
      </c>
      <c r="DD52" s="10">
        <f t="shared" si="168"/>
        <v>-10</v>
      </c>
      <c r="DE52" s="9">
        <f t="shared" si="463"/>
        <v>0</v>
      </c>
      <c r="DF52" s="5">
        <f t="shared" si="463"/>
        <v>0</v>
      </c>
      <c r="DG52" s="10">
        <f t="shared" si="170"/>
        <v>10</v>
      </c>
      <c r="DH52" s="70">
        <f t="shared" si="317"/>
        <v>2.7862</v>
      </c>
      <c r="DI52" s="4">
        <f t="shared" si="318"/>
        <v>0</v>
      </c>
      <c r="DJ52" s="5">
        <f t="shared" si="319"/>
        <v>0</v>
      </c>
      <c r="DK52" s="10">
        <f t="shared" si="320"/>
        <v>20</v>
      </c>
      <c r="DL52" s="9" t="e">
        <f t="shared" si="321"/>
        <v>#NUM!</v>
      </c>
      <c r="DM52" s="173" t="e">
        <f t="shared" si="322"/>
        <v>#NUM!</v>
      </c>
      <c r="DN52" s="178" t="e">
        <f t="shared" si="323"/>
        <v>#NUM!</v>
      </c>
      <c r="DO52" s="9" t="e">
        <f t="shared" si="324"/>
        <v>#NUM!</v>
      </c>
      <c r="DP52" s="173" t="e">
        <f t="shared" si="325"/>
        <v>#NUM!</v>
      </c>
      <c r="DQ52" s="11" t="e">
        <f t="shared" si="326"/>
        <v>#NUM!</v>
      </c>
      <c r="DR52" s="173" t="e">
        <f t="shared" si="327"/>
        <v>#NUM!</v>
      </c>
      <c r="DS52" s="5" t="e">
        <f t="shared" si="328"/>
        <v>#NUM!</v>
      </c>
      <c r="DT52" s="5">
        <f t="shared" si="329"/>
        <v>400</v>
      </c>
      <c r="DU52" s="5" t="e">
        <f t="shared" si="330"/>
        <v>#NUM!</v>
      </c>
      <c r="DV52" s="5" t="e">
        <f t="shared" si="331"/>
        <v>#NUM!</v>
      </c>
      <c r="DW52" s="5" t="e">
        <f t="shared" si="332"/>
        <v>#NUM!</v>
      </c>
      <c r="DX52" s="167" t="e">
        <f t="shared" si="333"/>
        <v>#NUM!</v>
      </c>
      <c r="DY52" s="9" t="e">
        <f t="shared" si="334"/>
        <v>#NUM!</v>
      </c>
      <c r="DZ52" s="5" t="e">
        <f t="shared" si="335"/>
        <v>#NUM!</v>
      </c>
      <c r="EA52" s="10" t="e">
        <f t="shared" si="336"/>
        <v>#NUM!</v>
      </c>
      <c r="EB52" s="6" t="e">
        <f t="shared" si="337"/>
        <v>#NUM!</v>
      </c>
      <c r="EC52" s="173" t="e">
        <f t="shared" si="338"/>
        <v>#NUM!</v>
      </c>
      <c r="ED52" s="5" t="e">
        <f t="shared" si="339"/>
        <v>#NUM!</v>
      </c>
      <c r="EE52" s="4" t="e">
        <f t="shared" si="340"/>
        <v>#NUM!</v>
      </c>
      <c r="EF52" s="5" t="e">
        <f t="shared" si="341"/>
        <v>#NUM!</v>
      </c>
      <c r="EG52" s="10" t="e">
        <f t="shared" si="342"/>
        <v>#NUM!</v>
      </c>
      <c r="EH52" s="9" t="e">
        <f t="shared" si="343"/>
        <v>#NUM!</v>
      </c>
      <c r="EI52" s="5" t="e">
        <f t="shared" si="344"/>
        <v>#NUM!</v>
      </c>
      <c r="EJ52" s="6" t="e">
        <f t="shared" si="345"/>
        <v>#NUM!</v>
      </c>
      <c r="EK52" s="236" t="e">
        <f t="shared" si="200"/>
        <v>#NUM!</v>
      </c>
      <c r="EL52" s="238" t="e">
        <f t="shared" si="201"/>
        <v>#NUM!</v>
      </c>
      <c r="EM52" s="4" t="e">
        <f t="shared" si="346"/>
        <v>#NUM!</v>
      </c>
      <c r="EN52" s="5" t="e">
        <f t="shared" si="347"/>
        <v>#NUM!</v>
      </c>
      <c r="EO52" s="10" t="e">
        <f t="shared" si="348"/>
        <v>#NUM!</v>
      </c>
      <c r="EP52" s="9" t="e">
        <f t="shared" si="349"/>
        <v>#NUM!</v>
      </c>
      <c r="EQ52" s="5" t="e">
        <f t="shared" si="350"/>
        <v>#NUM!</v>
      </c>
      <c r="ER52" s="7" t="e">
        <f t="shared" si="351"/>
        <v>#NUM!</v>
      </c>
      <c r="ES52" s="21">
        <f t="shared" si="352"/>
        <v>-0.9427236948183616</v>
      </c>
      <c r="ET52" s="5">
        <f t="shared" si="353"/>
        <v>0.2053439763238406</v>
      </c>
      <c r="EU52" s="10">
        <f t="shared" si="354"/>
        <v>-0.2628799851938729</v>
      </c>
      <c r="EV52" s="174" t="e">
        <f t="shared" si="355"/>
        <v>#NUM!</v>
      </c>
      <c r="EW52" s="9" t="e">
        <f t="shared" si="356"/>
        <v>#NUM!</v>
      </c>
      <c r="EX52" s="5" t="e">
        <f t="shared" si="357"/>
        <v>#NUM!</v>
      </c>
      <c r="EY52" s="6">
        <f t="shared" si="358"/>
        <v>-0.2628799851938729</v>
      </c>
      <c r="EZ52" s="51" t="e">
        <f t="shared" si="209"/>
        <v>#NUM!</v>
      </c>
      <c r="FA52" s="266" t="e">
        <f t="shared" si="134"/>
        <v>#NUM!</v>
      </c>
      <c r="FB52" s="267" t="e">
        <f t="shared" si="135"/>
        <v>#NUM!</v>
      </c>
      <c r="FC52" s="269" t="e">
        <f t="shared" si="48"/>
        <v>#NUM!</v>
      </c>
      <c r="FD52" s="4" t="e">
        <f t="shared" si="359"/>
        <v>#NUM!</v>
      </c>
      <c r="FE52" s="5" t="e">
        <f t="shared" si="360"/>
        <v>#NUM!</v>
      </c>
      <c r="FF52" s="7" t="e">
        <f t="shared" si="361"/>
        <v>#NUM!</v>
      </c>
      <c r="FG52" s="173" t="e">
        <f t="shared" si="362"/>
        <v>#NUM!</v>
      </c>
      <c r="FH52" s="5" t="e">
        <f t="shared" si="363"/>
        <v>#NUM!</v>
      </c>
      <c r="FI52" s="10" t="e">
        <f t="shared" si="364"/>
        <v>#NUM!</v>
      </c>
      <c r="FJ52" s="279" t="e">
        <f t="shared" si="365"/>
        <v>#NUM!</v>
      </c>
      <c r="FK52" s="4">
        <f t="shared" si="366"/>
        <v>0.96482854092552084</v>
      </c>
      <c r="FL52" s="5" t="e">
        <f t="shared" si="367"/>
        <v>#NUM!</v>
      </c>
      <c r="FM52" s="8" t="e">
        <f t="shared" si="368"/>
        <v>#NUM!</v>
      </c>
      <c r="FN52" s="9" t="e">
        <f t="shared" si="369"/>
        <v>#NUM!</v>
      </c>
      <c r="FO52" s="10" t="e">
        <f t="shared" si="370"/>
        <v>#NUM!</v>
      </c>
      <c r="FP52" s="277" t="e">
        <f t="shared" si="371"/>
        <v>#NUM!</v>
      </c>
      <c r="FQ52" s="173" t="e">
        <f t="shared" si="372"/>
        <v>#NUM!</v>
      </c>
      <c r="FR52" s="10" t="e">
        <f t="shared" si="373"/>
        <v>#NUM!</v>
      </c>
      <c r="FS52" s="9" t="e">
        <f t="shared" si="374"/>
        <v>#NUM!</v>
      </c>
      <c r="FT52" s="6" t="e">
        <f t="shared" si="375"/>
        <v>#NUM!</v>
      </c>
      <c r="FU52" s="4" t="e">
        <f t="shared" si="376"/>
        <v>#NUM!</v>
      </c>
      <c r="FV52" s="5" t="e">
        <f t="shared" si="377"/>
        <v>#NUM!</v>
      </c>
      <c r="FW52" s="8" t="e">
        <f t="shared" si="378"/>
        <v>#NUM!</v>
      </c>
      <c r="FX52" s="9" t="e">
        <f t="shared" si="379"/>
        <v>#NUM!</v>
      </c>
      <c r="FY52" s="10" t="e">
        <f t="shared" si="380"/>
        <v>#NUM!</v>
      </c>
      <c r="FZ52" s="277" t="e">
        <f t="shared" si="381"/>
        <v>#NUM!</v>
      </c>
      <c r="GA52" s="177" t="e">
        <f t="shared" si="382"/>
        <v>#NUM!</v>
      </c>
      <c r="GB52" s="4" t="e">
        <f t="shared" si="383"/>
        <v>#NUM!</v>
      </c>
      <c r="GC52" s="5" t="e">
        <f t="shared" si="384"/>
        <v>#NUM!</v>
      </c>
      <c r="GD52" s="10" t="e">
        <f t="shared" si="385"/>
        <v>#NUM!</v>
      </c>
      <c r="GE52" s="311" t="e">
        <f t="shared" si="386"/>
        <v>#NUM!</v>
      </c>
      <c r="GF52" s="341" t="e">
        <f t="shared" si="387"/>
        <v>#NUM!</v>
      </c>
      <c r="GG52" s="285" t="e">
        <f t="shared" si="388"/>
        <v>#NUM!</v>
      </c>
      <c r="GH52" s="286" t="e">
        <f t="shared" si="389"/>
        <v>#NUM!</v>
      </c>
      <c r="GI52" s="281" t="e">
        <f t="shared" si="390"/>
        <v>#NUM!</v>
      </c>
      <c r="GJ52" s="167">
        <f t="shared" si="391"/>
        <v>2.7862</v>
      </c>
      <c r="GK52" s="174">
        <f t="shared" si="59"/>
        <v>1.4589170211755913</v>
      </c>
      <c r="GL52" s="174">
        <f t="shared" si="392"/>
        <v>3.61E-2</v>
      </c>
      <c r="GM52" s="177">
        <f t="shared" si="393"/>
        <v>0.63200285357326613</v>
      </c>
      <c r="GN52" s="280">
        <f t="shared" si="394"/>
        <v>3.3029847918674665E-2</v>
      </c>
      <c r="GO52" s="4" t="e">
        <f t="shared" si="395"/>
        <v>#NUM!</v>
      </c>
      <c r="GP52" s="8" t="e">
        <f t="shared" si="396"/>
        <v>#NUM!</v>
      </c>
      <c r="GQ52" s="177" t="e">
        <f t="shared" si="397"/>
        <v>#NUM!</v>
      </c>
      <c r="GR52" s="371" t="e">
        <f t="shared" si="398"/>
        <v>#NUM!</v>
      </c>
      <c r="GS52" s="342" t="e">
        <f t="shared" si="399"/>
        <v>#NUM!</v>
      </c>
      <c r="GT52" s="343" t="e">
        <f t="shared" si="400"/>
        <v>#NUM!</v>
      </c>
      <c r="GU52" s="344">
        <f t="shared" si="63"/>
        <v>1553.673681700946</v>
      </c>
      <c r="GV52" s="343">
        <f t="shared" si="401"/>
        <v>1064.95</v>
      </c>
      <c r="GW52" s="345">
        <f t="shared" si="64"/>
        <v>29500</v>
      </c>
      <c r="GX52" s="346">
        <f t="shared" si="65"/>
        <v>247.26364083333334</v>
      </c>
      <c r="GY52" s="344" t="e">
        <f t="shared" si="402"/>
        <v>#NUM!</v>
      </c>
      <c r="GZ52" s="345" t="e">
        <f t="shared" si="403"/>
        <v>#NUM!</v>
      </c>
      <c r="HA52" s="342" t="e">
        <f t="shared" si="68"/>
        <v>#NUM!</v>
      </c>
      <c r="HB52" s="5" t="e">
        <f t="shared" si="231"/>
        <v>#NUM!</v>
      </c>
      <c r="HC52" s="343" t="e">
        <f t="shared" si="404"/>
        <v>#NUM!</v>
      </c>
      <c r="HD52" s="345" t="e">
        <f t="shared" si="405"/>
        <v>#NUM!</v>
      </c>
      <c r="HE52" s="344" t="e">
        <f t="shared" si="69"/>
        <v>#NUM!</v>
      </c>
      <c r="HF52" s="5" t="e">
        <f t="shared" si="70"/>
        <v>#NUM!</v>
      </c>
      <c r="HG52" s="343" t="e">
        <f t="shared" si="406"/>
        <v>#NUM!</v>
      </c>
      <c r="HH52" s="349" t="e">
        <f t="shared" si="407"/>
        <v>#NUM!</v>
      </c>
      <c r="HI52" s="317">
        <f t="shared" si="408"/>
        <v>4.1139999999999999</v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4.1139999999999999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>
        <v>1.1978030002519201E-2</v>
      </c>
      <c r="IP52" s="5" t="str">
        <f t="shared" si="428"/>
        <v/>
      </c>
      <c r="IQ52" s="714">
        <v>440</v>
      </c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</v>
      </c>
      <c r="B53" s="578">
        <f t="shared" si="257"/>
        <v>-0.49455208466960904</v>
      </c>
      <c r="C53" s="572">
        <f t="shared" si="258"/>
        <v>-3.4705509252174749</v>
      </c>
      <c r="D53" s="576">
        <f t="shared" si="259"/>
        <v>-0.53540161477127024</v>
      </c>
      <c r="E53" s="580">
        <f t="shared" si="260"/>
        <v>0.91653027611670834</v>
      </c>
      <c r="F53" s="572">
        <f t="shared" si="261"/>
        <v>-0.3004777697130086</v>
      </c>
      <c r="G53" s="579">
        <f t="shared" si="262"/>
        <v>0.26397985315119549</v>
      </c>
      <c r="H53" s="580">
        <f t="shared" si="263"/>
        <v>0.3125</v>
      </c>
      <c r="I53" s="572">
        <f t="shared" si="264"/>
        <v>0.52</v>
      </c>
      <c r="J53" s="483">
        <f t="shared" si="265"/>
        <v>4.12</v>
      </c>
      <c r="K53" s="806">
        <f t="shared" si="266"/>
        <v>1613</v>
      </c>
      <c r="L53" s="309"/>
      <c r="M53" s="164">
        <f t="shared" si="267"/>
        <v>4.12</v>
      </c>
      <c r="N53" s="575">
        <f t="shared" si="268"/>
        <v>-0.49455208466960904</v>
      </c>
      <c r="O53" s="572">
        <f t="shared" si="269"/>
        <v>-3.4705509252174749</v>
      </c>
      <c r="P53" s="576">
        <f t="shared" si="270"/>
        <v>-0.53540161477127024</v>
      </c>
      <c r="Q53" s="528">
        <f t="shared" si="140"/>
        <v>261.8899751821582</v>
      </c>
      <c r="R53" s="572">
        <f t="shared" ref="R53:R58" si="464">IF(M53="","",SQRT(N53^2+O53^2))</f>
        <v>3.5056105729214884</v>
      </c>
      <c r="S53" s="577">
        <f t="shared" ref="S53:S58" si="465">IF(M53="","",P53)</f>
        <v>-0.53540161477127024</v>
      </c>
      <c r="T53" s="578">
        <f t="shared" ref="T53:T58" si="466">IF(M53="","",X53*COS(RADIANS(W53)))</f>
        <v>-3.471323483765389</v>
      </c>
      <c r="U53" s="572">
        <f t="shared" ref="U53:U58" si="467">IF(M53="","",X53*SIN(RADIANS(W53)))</f>
        <v>0.48909994892439645</v>
      </c>
      <c r="V53" s="579">
        <f t="shared" ref="V53:V58" si="468">IF(M53="","",Y53)</f>
        <v>-0.53540161477127024</v>
      </c>
      <c r="W53" s="528">
        <f t="shared" si="253"/>
        <v>171.97997516916382</v>
      </c>
      <c r="X53" s="572">
        <f t="shared" ref="X53:X58" si="469">IF(M53="","",R53)</f>
        <v>3.5056105729214884</v>
      </c>
      <c r="Y53" s="573">
        <f t="shared" si="255"/>
        <v>-0.53540161477127024</v>
      </c>
      <c r="Z53" s="575">
        <f t="shared" si="271"/>
        <v>-0.91653027611670834</v>
      </c>
      <c r="AA53" s="572">
        <f t="shared" si="272"/>
        <v>0.3004777697130086</v>
      </c>
      <c r="AB53" s="572">
        <f t="shared" si="273"/>
        <v>-0.26397985315119549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-0.91653027611670834</v>
      </c>
      <c r="AE53" s="572">
        <f t="shared" ref="AE53:AE58" si="472">IF(M53="","",AA53*(1/SQRT(Z53^2+AA53^2+AB53^2)))</f>
        <v>0.3004777697130086</v>
      </c>
      <c r="AF53" s="576">
        <f t="shared" ref="AF53:AF58" si="473">IF(M53="","",AB53*(1/SQRT(Z53^2+AA53^2+AB53^2)))</f>
        <v>-0.26397985315119549</v>
      </c>
      <c r="AG53" s="545">
        <f t="shared" ref="AG53:AG58" si="474">IF(M53="","",DEGREES(ATAN2(-AF53,AE53)))</f>
        <v>48.699603701686357</v>
      </c>
      <c r="AH53" s="546">
        <f t="shared" ref="AH53:AH58" si="475">IF(M53="","",DEGREES(ACOS(AD53)))</f>
        <v>156.42398984932785</v>
      </c>
      <c r="AI53" s="528">
        <f t="shared" ref="AI53:AI58" si="476">IF(M53="","",DEGREES(-ACOS(-AF53)))</f>
        <v>-74.693655676305681</v>
      </c>
      <c r="AJ53" s="529">
        <f t="shared" ref="AJ53:AJ58" si="477">IF(M53="","",DEGREES(ATAN2(-AE53,AD53)))</f>
        <v>-108.15135342185032</v>
      </c>
      <c r="AK53" s="578">
        <f t="shared" ref="AK53:AK58" si="478">IF(M53="","",(COS(RADIANS((90-$Q$8)-W53))*AD53)+(-SIN(RADIANS((90-$Q$8)-W53))*AE53))</f>
        <v>0.94975378351863471</v>
      </c>
      <c r="AL53" s="572">
        <f t="shared" ref="AL53:AL58" si="479">IF(M53="","",(SIN(RADIANS((90-$Q$8)-W53))*AD53)+(COS(RADIANS((90-$Q$8)-W53))*AE53))</f>
        <v>-0.16817368350105097</v>
      </c>
      <c r="AM53" s="577">
        <f t="shared" ref="AM53:AM58" si="480">IF(M53="","",AF53)</f>
        <v>-0.26397985315119549</v>
      </c>
      <c r="AN53" s="524">
        <f t="shared" ref="AN53:AN58" si="481">IF(M53="","",DEGREES(ATAN2(-AM53,AL53)))</f>
        <v>-32.499995307581308</v>
      </c>
      <c r="AO53" s="525">
        <f t="shared" si="116"/>
        <v>18.239997366470227</v>
      </c>
      <c r="AP53" s="528">
        <f t="shared" ref="AP53:AP58" si="482">IF(M53="","",DEGREES(ATAN2(AK53,AL53)))</f>
        <v>-10.041328604008529</v>
      </c>
      <c r="AQ53" s="529">
        <f t="shared" si="274"/>
        <v>0.43353039891227296</v>
      </c>
      <c r="AS53" s="932">
        <f t="shared" si="461"/>
        <v>-188.02002483083618</v>
      </c>
      <c r="AT53" s="928">
        <f t="shared" si="275"/>
        <v>-0.44831364031856569</v>
      </c>
      <c r="AU53" s="418"/>
      <c r="AV53" s="164">
        <f t="shared" si="276"/>
        <v>4.12</v>
      </c>
      <c r="AW53" s="829">
        <f>IFERROR(INDEX(MassProp!C$9:C$150,MATCH($M53,MassProp!$B$9:$B$150,0)),"")</f>
        <v>3.5615000000000001</v>
      </c>
      <c r="AX53" s="830">
        <f>IFERROR(INDEX(MassProp!D$9:D$150,MATCH($M53,MassProp!$B$9:$B$150,0)),"")</f>
        <v>7.8200000000000006E-2</v>
      </c>
      <c r="AY53" s="831">
        <f>IFERROR(INDEX(MassProp!E$9:E$150,MATCH($M53,MassProp!$B$9:$B$150,0)),"")</f>
        <v>3.0099999999999998E-2</v>
      </c>
      <c r="AZ53" s="297">
        <f t="shared" si="277"/>
        <v>0.67358337223966425</v>
      </c>
      <c r="BA53" s="296">
        <f t="shared" si="278"/>
        <v>3.5202936537129026E-2</v>
      </c>
      <c r="BB53" s="190">
        <f t="shared" si="145"/>
        <v>0.35984697365189905</v>
      </c>
      <c r="BC53" s="9"/>
      <c r="BD53" s="5">
        <f t="shared" si="279"/>
        <v>3.5615000000000001</v>
      </c>
      <c r="BE53" s="6">
        <f t="shared" si="280"/>
        <v>-0.17555464111937119</v>
      </c>
      <c r="BF53" s="4">
        <f t="shared" si="281"/>
        <v>-0.49455208466960904</v>
      </c>
      <c r="BG53" s="5">
        <f t="shared" si="282"/>
        <v>-3.4705509252174749</v>
      </c>
      <c r="BH53" s="10">
        <f t="shared" si="283"/>
        <v>-0.53540161477127024</v>
      </c>
      <c r="BI53" s="9">
        <f t="shared" si="284"/>
        <v>-0.49455208466960904</v>
      </c>
      <c r="BJ53" s="5">
        <f t="shared" si="285"/>
        <v>-2.8105440609958854</v>
      </c>
      <c r="BK53" s="8">
        <f t="shared" si="286"/>
        <v>0.21585795367387406</v>
      </c>
      <c r="BL53" s="173">
        <f t="shared" si="287"/>
        <v>-9.4586769971659046E-2</v>
      </c>
      <c r="BM53" s="5">
        <f t="shared" si="288"/>
        <v>-2.7819987855151274</v>
      </c>
      <c r="BN53" s="6">
        <f t="shared" si="289"/>
        <v>-1.1403178882752063</v>
      </c>
      <c r="BO53" s="4">
        <f t="shared" si="290"/>
        <v>-0.91653027611670845</v>
      </c>
      <c r="BP53" s="5">
        <f t="shared" si="239"/>
        <v>0.30047776971300838</v>
      </c>
      <c r="BQ53" s="5">
        <f t="shared" si="291"/>
        <v>-0.26397985315119499</v>
      </c>
      <c r="BR53" s="6">
        <f t="shared" si="292"/>
        <v>0.4482162033242012</v>
      </c>
      <c r="BS53" s="4">
        <f t="shared" si="458"/>
        <v>0</v>
      </c>
      <c r="BT53" s="5">
        <f t="shared" si="458"/>
        <v>0</v>
      </c>
      <c r="BU53" s="10">
        <f t="shared" si="119"/>
        <v>-0.17555464111937119</v>
      </c>
      <c r="BV53" s="9">
        <f t="shared" si="120"/>
        <v>0</v>
      </c>
      <c r="BW53" s="5">
        <f t="shared" si="121"/>
        <v>1</v>
      </c>
      <c r="BX53" s="8">
        <f t="shared" si="122"/>
        <v>-0.17555464111937119</v>
      </c>
      <c r="BY53" s="173">
        <f t="shared" si="123"/>
        <v>1</v>
      </c>
      <c r="BZ53" s="5">
        <f t="shared" si="124"/>
        <v>0</v>
      </c>
      <c r="CA53" s="6">
        <f t="shared" si="125"/>
        <v>-0.17555464111937119</v>
      </c>
      <c r="CB53" s="4">
        <f t="shared" si="293"/>
        <v>0</v>
      </c>
      <c r="CC53" s="5">
        <f t="shared" si="294"/>
        <v>0</v>
      </c>
      <c r="CD53" s="5">
        <f t="shared" si="295"/>
        <v>-1</v>
      </c>
      <c r="CE53" s="6">
        <f t="shared" si="296"/>
        <v>-0.17555464111937119</v>
      </c>
      <c r="CF53" s="4">
        <f t="shared" si="297"/>
        <v>-0.30047776971300838</v>
      </c>
      <c r="CG53" s="5">
        <f t="shared" si="298"/>
        <v>-0.91653027611670845</v>
      </c>
      <c r="CH53" s="5">
        <f t="shared" si="299"/>
        <v>0</v>
      </c>
      <c r="CI53" s="4">
        <f t="shared" si="126"/>
        <v>0</v>
      </c>
      <c r="CJ53" s="5">
        <f t="shared" si="300"/>
        <v>-1.6459090873153965</v>
      </c>
      <c r="CK53" s="8">
        <f t="shared" si="301"/>
        <v>-0.17555464111937119</v>
      </c>
      <c r="CL53" s="173">
        <f t="shared" si="302"/>
        <v>-0.30047776971300838</v>
      </c>
      <c r="CM53" s="5">
        <f t="shared" si="303"/>
        <v>-2.5624393634321052</v>
      </c>
      <c r="CN53" s="6">
        <f t="shared" si="304"/>
        <v>-0.17555464111937119</v>
      </c>
      <c r="CO53" s="167">
        <f t="shared" si="305"/>
        <v>0.3125</v>
      </c>
      <c r="CP53" s="4">
        <f t="shared" si="306"/>
        <v>0.93031463713027385</v>
      </c>
      <c r="CQ53" s="5">
        <f t="shared" si="307"/>
        <v>-3.6418827898298676</v>
      </c>
      <c r="CR53" s="5">
        <f t="shared" si="308"/>
        <v>3.6057331955201608</v>
      </c>
      <c r="CS53" s="8">
        <f t="shared" si="309"/>
        <v>-0.15455522265670574</v>
      </c>
      <c r="CT53" s="9" t="e">
        <f t="shared" si="160"/>
        <v>#NUM!</v>
      </c>
      <c r="CU53" s="6" t="e">
        <f t="shared" si="310"/>
        <v>#NUM!</v>
      </c>
      <c r="CV53" s="4" t="e">
        <f t="shared" si="311"/>
        <v>#NUM!</v>
      </c>
      <c r="CW53" s="5" t="e">
        <f t="shared" si="312"/>
        <v>#NUM!</v>
      </c>
      <c r="CX53" s="8" t="e">
        <f t="shared" si="313"/>
        <v>#NUM!</v>
      </c>
      <c r="CY53" s="9" t="e">
        <f t="shared" si="314"/>
        <v>#NUM!</v>
      </c>
      <c r="CZ53" s="5" t="e">
        <f t="shared" si="315"/>
        <v>#NUM!</v>
      </c>
      <c r="DA53" s="6" t="e">
        <f t="shared" si="316"/>
        <v>#NUM!</v>
      </c>
      <c r="DB53" s="4">
        <f t="shared" si="462"/>
        <v>0</v>
      </c>
      <c r="DC53" s="5">
        <f t="shared" si="462"/>
        <v>0</v>
      </c>
      <c r="DD53" s="10">
        <f t="shared" si="168"/>
        <v>-10</v>
      </c>
      <c r="DE53" s="9">
        <f t="shared" si="463"/>
        <v>0</v>
      </c>
      <c r="DF53" s="5">
        <f t="shared" si="463"/>
        <v>0</v>
      </c>
      <c r="DG53" s="10">
        <f t="shared" si="170"/>
        <v>10</v>
      </c>
      <c r="DH53" s="70">
        <f t="shared" si="317"/>
        <v>3.5615000000000001</v>
      </c>
      <c r="DI53" s="4">
        <f t="shared" si="318"/>
        <v>0</v>
      </c>
      <c r="DJ53" s="5">
        <f t="shared" si="319"/>
        <v>0</v>
      </c>
      <c r="DK53" s="10">
        <f t="shared" si="320"/>
        <v>20</v>
      </c>
      <c r="DL53" s="9" t="e">
        <f t="shared" si="321"/>
        <v>#NUM!</v>
      </c>
      <c r="DM53" s="173" t="e">
        <f t="shared" si="322"/>
        <v>#NUM!</v>
      </c>
      <c r="DN53" s="178" t="e">
        <f t="shared" si="323"/>
        <v>#NUM!</v>
      </c>
      <c r="DO53" s="9" t="e">
        <f t="shared" si="324"/>
        <v>#NUM!</v>
      </c>
      <c r="DP53" s="173" t="e">
        <f t="shared" si="325"/>
        <v>#NUM!</v>
      </c>
      <c r="DQ53" s="11" t="e">
        <f t="shared" si="326"/>
        <v>#NUM!</v>
      </c>
      <c r="DR53" s="173" t="e">
        <f t="shared" si="327"/>
        <v>#NUM!</v>
      </c>
      <c r="DS53" s="5" t="e">
        <f t="shared" si="328"/>
        <v>#NUM!</v>
      </c>
      <c r="DT53" s="5">
        <f t="shared" si="329"/>
        <v>400</v>
      </c>
      <c r="DU53" s="5" t="e">
        <f t="shared" si="330"/>
        <v>#NUM!</v>
      </c>
      <c r="DV53" s="5" t="e">
        <f t="shared" si="331"/>
        <v>#NUM!</v>
      </c>
      <c r="DW53" s="5" t="e">
        <f t="shared" si="332"/>
        <v>#NUM!</v>
      </c>
      <c r="DX53" s="167" t="e">
        <f t="shared" si="333"/>
        <v>#NUM!</v>
      </c>
      <c r="DY53" s="9" t="e">
        <f t="shared" si="334"/>
        <v>#NUM!</v>
      </c>
      <c r="DZ53" s="5" t="e">
        <f t="shared" si="335"/>
        <v>#NUM!</v>
      </c>
      <c r="EA53" s="10" t="e">
        <f t="shared" si="336"/>
        <v>#NUM!</v>
      </c>
      <c r="EB53" s="6" t="e">
        <f t="shared" si="337"/>
        <v>#NUM!</v>
      </c>
      <c r="EC53" s="173" t="e">
        <f t="shared" si="338"/>
        <v>#NUM!</v>
      </c>
      <c r="ED53" s="5" t="e">
        <f t="shared" si="339"/>
        <v>#NUM!</v>
      </c>
      <c r="EE53" s="4" t="e">
        <f t="shared" si="340"/>
        <v>#NUM!</v>
      </c>
      <c r="EF53" s="5" t="e">
        <f t="shared" si="341"/>
        <v>#NUM!</v>
      </c>
      <c r="EG53" s="10" t="e">
        <f t="shared" si="342"/>
        <v>#NUM!</v>
      </c>
      <c r="EH53" s="9" t="e">
        <f t="shared" si="343"/>
        <v>#NUM!</v>
      </c>
      <c r="EI53" s="5" t="e">
        <f t="shared" si="344"/>
        <v>#NUM!</v>
      </c>
      <c r="EJ53" s="6" t="e">
        <f t="shared" si="345"/>
        <v>#NUM!</v>
      </c>
      <c r="EK53" s="236" t="e">
        <f t="shared" si="200"/>
        <v>#NUM!</v>
      </c>
      <c r="EL53" s="238" t="e">
        <f t="shared" si="201"/>
        <v>#NUM!</v>
      </c>
      <c r="EM53" s="4" t="e">
        <f t="shared" si="346"/>
        <v>#NUM!</v>
      </c>
      <c r="EN53" s="5" t="e">
        <f t="shared" si="347"/>
        <v>#NUM!</v>
      </c>
      <c r="EO53" s="10" t="e">
        <f t="shared" si="348"/>
        <v>#NUM!</v>
      </c>
      <c r="EP53" s="9" t="e">
        <f t="shared" si="349"/>
        <v>#NUM!</v>
      </c>
      <c r="EQ53" s="5" t="e">
        <f t="shared" si="350"/>
        <v>#NUM!</v>
      </c>
      <c r="ER53" s="7" t="e">
        <f t="shared" si="351"/>
        <v>#NUM!</v>
      </c>
      <c r="ES53" s="21">
        <f t="shared" si="352"/>
        <v>-0.91653027611670834</v>
      </c>
      <c r="ET53" s="5">
        <f t="shared" si="353"/>
        <v>0.3004777697130086</v>
      </c>
      <c r="EU53" s="10">
        <f t="shared" si="354"/>
        <v>-0.26397985315119549</v>
      </c>
      <c r="EV53" s="174" t="e">
        <f t="shared" si="355"/>
        <v>#NUM!</v>
      </c>
      <c r="EW53" s="9" t="e">
        <f t="shared" si="356"/>
        <v>#NUM!</v>
      </c>
      <c r="EX53" s="5" t="e">
        <f t="shared" si="357"/>
        <v>#NUM!</v>
      </c>
      <c r="EY53" s="6">
        <f t="shared" si="358"/>
        <v>-0.26397985315119549</v>
      </c>
      <c r="EZ53" s="51" t="e">
        <f t="shared" si="209"/>
        <v>#NUM!</v>
      </c>
      <c r="FA53" s="266" t="e">
        <f t="shared" si="134"/>
        <v>#NUM!</v>
      </c>
      <c r="FB53" s="267" t="e">
        <f t="shared" si="135"/>
        <v>#NUM!</v>
      </c>
      <c r="FC53" s="269" t="e">
        <f t="shared" si="48"/>
        <v>#NUM!</v>
      </c>
      <c r="FD53" s="4" t="e">
        <f t="shared" si="359"/>
        <v>#NUM!</v>
      </c>
      <c r="FE53" s="5" t="e">
        <f t="shared" si="360"/>
        <v>#NUM!</v>
      </c>
      <c r="FF53" s="7" t="e">
        <f t="shared" si="361"/>
        <v>#NUM!</v>
      </c>
      <c r="FG53" s="173" t="e">
        <f t="shared" si="362"/>
        <v>#NUM!</v>
      </c>
      <c r="FH53" s="5" t="e">
        <f t="shared" si="363"/>
        <v>#NUM!</v>
      </c>
      <c r="FI53" s="10" t="e">
        <f t="shared" si="364"/>
        <v>#NUM!</v>
      </c>
      <c r="FJ53" s="279" t="e">
        <f t="shared" si="365"/>
        <v>#NUM!</v>
      </c>
      <c r="FK53" s="4">
        <f t="shared" si="366"/>
        <v>0.9645281940566971</v>
      </c>
      <c r="FL53" s="5" t="e">
        <f t="shared" si="367"/>
        <v>#NUM!</v>
      </c>
      <c r="FM53" s="8" t="e">
        <f t="shared" si="368"/>
        <v>#NUM!</v>
      </c>
      <c r="FN53" s="9" t="e">
        <f t="shared" si="369"/>
        <v>#NUM!</v>
      </c>
      <c r="FO53" s="10" t="e">
        <f t="shared" si="370"/>
        <v>#NUM!</v>
      </c>
      <c r="FP53" s="277" t="e">
        <f t="shared" si="371"/>
        <v>#NUM!</v>
      </c>
      <c r="FQ53" s="173" t="e">
        <f t="shared" si="372"/>
        <v>#NUM!</v>
      </c>
      <c r="FR53" s="10" t="e">
        <f t="shared" si="373"/>
        <v>#NUM!</v>
      </c>
      <c r="FS53" s="9" t="e">
        <f t="shared" si="374"/>
        <v>#NUM!</v>
      </c>
      <c r="FT53" s="6" t="e">
        <f t="shared" si="375"/>
        <v>#NUM!</v>
      </c>
      <c r="FU53" s="4" t="e">
        <f t="shared" si="376"/>
        <v>#NUM!</v>
      </c>
      <c r="FV53" s="5" t="e">
        <f t="shared" si="377"/>
        <v>#NUM!</v>
      </c>
      <c r="FW53" s="8" t="e">
        <f t="shared" si="378"/>
        <v>#NUM!</v>
      </c>
      <c r="FX53" s="9" t="e">
        <f t="shared" si="379"/>
        <v>#NUM!</v>
      </c>
      <c r="FY53" s="10" t="e">
        <f t="shared" si="380"/>
        <v>#NUM!</v>
      </c>
      <c r="FZ53" s="277" t="e">
        <f t="shared" si="381"/>
        <v>#NUM!</v>
      </c>
      <c r="GA53" s="177" t="e">
        <f t="shared" si="382"/>
        <v>#NUM!</v>
      </c>
      <c r="GB53" s="4" t="e">
        <f t="shared" si="383"/>
        <v>#NUM!</v>
      </c>
      <c r="GC53" s="5" t="e">
        <f t="shared" si="384"/>
        <v>#NUM!</v>
      </c>
      <c r="GD53" s="10" t="e">
        <f t="shared" si="385"/>
        <v>#NUM!</v>
      </c>
      <c r="GE53" s="311" t="e">
        <f t="shared" si="386"/>
        <v>#NUM!</v>
      </c>
      <c r="GF53" s="341" t="e">
        <f t="shared" si="387"/>
        <v>#NUM!</v>
      </c>
      <c r="GG53" s="285" t="e">
        <f t="shared" si="388"/>
        <v>#NUM!</v>
      </c>
      <c r="GH53" s="286" t="e">
        <f t="shared" si="389"/>
        <v>#NUM!</v>
      </c>
      <c r="GI53" s="281" t="e">
        <f t="shared" si="390"/>
        <v>#NUM!</v>
      </c>
      <c r="GJ53" s="167">
        <f t="shared" si="391"/>
        <v>3.5615000000000001</v>
      </c>
      <c r="GK53" s="174">
        <f t="shared" si="59"/>
        <v>1.8648487603534447</v>
      </c>
      <c r="GL53" s="174">
        <f t="shared" si="392"/>
        <v>3.0099999999999998E-2</v>
      </c>
      <c r="GM53" s="177">
        <f t="shared" si="393"/>
        <v>0.67358337223966425</v>
      </c>
      <c r="GN53" s="280">
        <f t="shared" si="394"/>
        <v>3.5202936537129026E-2</v>
      </c>
      <c r="GO53" s="4" t="e">
        <f t="shared" si="395"/>
        <v>#NUM!</v>
      </c>
      <c r="GP53" s="8" t="e">
        <f t="shared" si="396"/>
        <v>#NUM!</v>
      </c>
      <c r="GQ53" s="177" t="e">
        <f t="shared" si="397"/>
        <v>#NUM!</v>
      </c>
      <c r="GR53" s="371" t="e">
        <f t="shared" si="398"/>
        <v>#NUM!</v>
      </c>
      <c r="GS53" s="342" t="e">
        <f t="shared" si="399"/>
        <v>#NUM!</v>
      </c>
      <c r="GT53" s="343" t="e">
        <f t="shared" si="400"/>
        <v>#NUM!</v>
      </c>
      <c r="GU53" s="344">
        <f t="shared" si="63"/>
        <v>1655.8924567558411</v>
      </c>
      <c r="GV53" s="343">
        <f t="shared" si="401"/>
        <v>887.94999999999993</v>
      </c>
      <c r="GW53" s="345">
        <f t="shared" si="64"/>
        <v>29500</v>
      </c>
      <c r="GX53" s="346">
        <f t="shared" si="65"/>
        <v>263.53616041666663</v>
      </c>
      <c r="GY53" s="344" t="e">
        <f t="shared" si="402"/>
        <v>#NUM!</v>
      </c>
      <c r="GZ53" s="345" t="e">
        <f t="shared" si="403"/>
        <v>#NUM!</v>
      </c>
      <c r="HA53" s="342" t="e">
        <f t="shared" si="68"/>
        <v>#NUM!</v>
      </c>
      <c r="HB53" s="5" t="e">
        <f t="shared" si="231"/>
        <v>#NUM!</v>
      </c>
      <c r="HC53" s="343" t="e">
        <f t="shared" si="404"/>
        <v>#NUM!</v>
      </c>
      <c r="HD53" s="345" t="e">
        <f t="shared" si="405"/>
        <v>#NUM!</v>
      </c>
      <c r="HE53" s="344" t="e">
        <f t="shared" si="69"/>
        <v>#NUM!</v>
      </c>
      <c r="HF53" s="5" t="e">
        <f t="shared" si="70"/>
        <v>#NUM!</v>
      </c>
      <c r="HG53" s="343" t="e">
        <f t="shared" si="406"/>
        <v>#NUM!</v>
      </c>
      <c r="HH53" s="349" t="e">
        <f t="shared" si="407"/>
        <v>#NUM!</v>
      </c>
      <c r="HI53" s="317">
        <f t="shared" si="408"/>
        <v>4.12</v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4.12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>
        <v>1.06211855203767E-2</v>
      </c>
      <c r="IP53" s="5" t="str">
        <f t="shared" si="428"/>
        <v/>
      </c>
      <c r="IQ53" s="714">
        <v>480</v>
      </c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-0.62577053438659691</v>
      </c>
      <c r="C54" s="572">
        <f t="shared" si="258"/>
        <v>-4.0052221916360677</v>
      </c>
      <c r="D54" s="576">
        <f t="shared" si="259"/>
        <v>-1.0431031459990878</v>
      </c>
      <c r="E54" s="580">
        <f t="shared" si="260"/>
        <v>0.87673553351268263</v>
      </c>
      <c r="F54" s="572">
        <f t="shared" si="261"/>
        <v>-0.41168245909339674</v>
      </c>
      <c r="G54" s="579">
        <f t="shared" si="262"/>
        <v>0.24870134127311311</v>
      </c>
      <c r="H54" s="580">
        <f t="shared" si="263"/>
        <v>0.3125</v>
      </c>
      <c r="I54" s="572">
        <f t="shared" si="264"/>
        <v>0.52</v>
      </c>
      <c r="J54" s="483">
        <f t="shared" si="265"/>
        <v>4.1260000000000003</v>
      </c>
      <c r="K54" s="806">
        <f t="shared" si="266"/>
        <v>1613</v>
      </c>
      <c r="L54" s="309"/>
      <c r="M54" s="164">
        <f t="shared" si="267"/>
        <v>4.1260000000000003</v>
      </c>
      <c r="N54" s="575">
        <f t="shared" si="268"/>
        <v>-0.62577053438659691</v>
      </c>
      <c r="O54" s="572">
        <f t="shared" si="269"/>
        <v>-4.0052221916360677</v>
      </c>
      <c r="P54" s="576">
        <f t="shared" si="270"/>
        <v>-1.0431031459990878</v>
      </c>
      <c r="Q54" s="528">
        <f t="shared" si="140"/>
        <v>261.1199752933324</v>
      </c>
      <c r="R54" s="572">
        <f t="shared" si="464"/>
        <v>4.0538122262976746</v>
      </c>
      <c r="S54" s="577">
        <f t="shared" si="465"/>
        <v>-1.0431031459990878</v>
      </c>
      <c r="T54" s="578">
        <f t="shared" si="466"/>
        <v>-4.0062002079043735</v>
      </c>
      <c r="U54" s="572">
        <f t="shared" si="467"/>
        <v>0.61947837756249824</v>
      </c>
      <c r="V54" s="579">
        <f t="shared" si="468"/>
        <v>-1.0431031459990878</v>
      </c>
      <c r="W54" s="528">
        <f t="shared" si="253"/>
        <v>171.20997528033803</v>
      </c>
      <c r="X54" s="572">
        <f t="shared" si="469"/>
        <v>4.0538122262976746</v>
      </c>
      <c r="Y54" s="573">
        <f t="shared" si="255"/>
        <v>-1.0431031459990878</v>
      </c>
      <c r="Z54" s="575">
        <f t="shared" si="271"/>
        <v>-0.87673553351268263</v>
      </c>
      <c r="AA54" s="572">
        <f t="shared" si="272"/>
        <v>0.41168245909339674</v>
      </c>
      <c r="AB54" s="572">
        <f t="shared" si="273"/>
        <v>-0.24870134127311311</v>
      </c>
      <c r="AC54" s="579">
        <f t="shared" si="470"/>
        <v>1</v>
      </c>
      <c r="AD54" s="580">
        <f t="shared" si="471"/>
        <v>-0.87673553351268263</v>
      </c>
      <c r="AE54" s="572">
        <f t="shared" si="472"/>
        <v>0.41168245909339674</v>
      </c>
      <c r="AF54" s="576">
        <f t="shared" si="473"/>
        <v>-0.24870134127311311</v>
      </c>
      <c r="AG54" s="545">
        <f t="shared" si="474"/>
        <v>58.863421373485139</v>
      </c>
      <c r="AH54" s="546">
        <f t="shared" si="475"/>
        <v>151.25104563679562</v>
      </c>
      <c r="AI54" s="528">
        <f t="shared" si="476"/>
        <v>-75.599322440153855</v>
      </c>
      <c r="AJ54" s="529">
        <f t="shared" si="477"/>
        <v>-115.15300724814361</v>
      </c>
      <c r="AK54" s="578">
        <f t="shared" si="478"/>
        <v>0.92977650592555483</v>
      </c>
      <c r="AL54" s="572">
        <f t="shared" si="479"/>
        <v>-0.27140982273643144</v>
      </c>
      <c r="AM54" s="577">
        <f t="shared" si="480"/>
        <v>-0.24870134127311311</v>
      </c>
      <c r="AN54" s="524">
        <f t="shared" si="481"/>
        <v>-47.499993141849522</v>
      </c>
      <c r="AO54" s="525">
        <f t="shared" si="116"/>
        <v>21.599996881346296</v>
      </c>
      <c r="AP54" s="528">
        <f t="shared" si="482"/>
        <v>-16.272982541476008</v>
      </c>
      <c r="AQ54" s="529">
        <f t="shared" si="274"/>
        <v>0.37490539257681382</v>
      </c>
      <c r="AS54" s="932">
        <f t="shared" si="461"/>
        <v>-188.79002471966197</v>
      </c>
      <c r="AT54" s="928">
        <f t="shared" si="275"/>
        <v>-0.95565869011637139</v>
      </c>
      <c r="AU54" s="418"/>
      <c r="AV54" s="164">
        <f t="shared" si="276"/>
        <v>4.1260000000000003</v>
      </c>
      <c r="AW54" s="797">
        <f>IFERROR(INDEX(MassProp!C$9:C$150,MATCH($M54,MassProp!$B$9:$B$150,0)),"")</f>
        <v>4.1936</v>
      </c>
      <c r="AX54" s="744">
        <f>IFERROR(INDEX(MassProp!D$9:D$150,MATCH($M54,MassProp!$B$9:$B$150,0)),"")</f>
        <v>-0.4632</v>
      </c>
      <c r="AY54" s="731">
        <f>IFERROR(INDEX(MassProp!E$9:E$150,MATCH($M54,MassProp!$B$9:$B$150,0)),"")</f>
        <v>2.3E-2</v>
      </c>
      <c r="AZ54" s="297">
        <f t="shared" si="144"/>
        <v>0.60604293918765451</v>
      </c>
      <c r="BA54" s="296">
        <f t="shared" si="278"/>
        <v>3.1673126158178425E-2</v>
      </c>
      <c r="BB54" s="177">
        <f t="shared" si="145"/>
        <v>0.32579202344970476</v>
      </c>
      <c r="BC54" s="9"/>
      <c r="BD54" s="5">
        <f t="shared" si="146"/>
        <v>4.1936</v>
      </c>
      <c r="BE54" s="6">
        <f t="shared" si="280"/>
        <v>-0.71731112254938312</v>
      </c>
      <c r="BF54" s="4">
        <f t="shared" si="281"/>
        <v>-0.62577053438659691</v>
      </c>
      <c r="BG54" s="5">
        <f t="shared" si="282"/>
        <v>-4.0052221916360677</v>
      </c>
      <c r="BH54" s="10">
        <f t="shared" si="283"/>
        <v>-1.0431031459990878</v>
      </c>
      <c r="BI54" s="9">
        <f t="shared" si="147"/>
        <v>-0.62577053438659691</v>
      </c>
      <c r="BJ54" s="5">
        <f t="shared" si="285"/>
        <v>-3.4881423122055275</v>
      </c>
      <c r="BK54" s="8">
        <f t="shared" si="286"/>
        <v>-0.18716599977391202</v>
      </c>
      <c r="BL54" s="173">
        <f t="shared" si="287"/>
        <v>-0.14479776563951685</v>
      </c>
      <c r="BM54" s="5">
        <f t="shared" si="288"/>
        <v>-3.2547916810870152</v>
      </c>
      <c r="BN54" s="6">
        <f t="shared" si="289"/>
        <v>-1.4964454499602962</v>
      </c>
      <c r="BO54" s="4">
        <f t="shared" si="148"/>
        <v>-0.87673553351268252</v>
      </c>
      <c r="BP54" s="5">
        <f t="shared" si="239"/>
        <v>0.41168245909339729</v>
      </c>
      <c r="BQ54" s="5">
        <f t="shared" si="149"/>
        <v>-0.24870134127311316</v>
      </c>
      <c r="BR54" s="6">
        <f t="shared" si="150"/>
        <v>0.84082330625005541</v>
      </c>
      <c r="BS54" s="4">
        <f t="shared" ref="BS54:BT73" si="483">IF(ISNUMBER($AV54),0,"")</f>
        <v>0</v>
      </c>
      <c r="BT54" s="5">
        <f t="shared" si="483"/>
        <v>0</v>
      </c>
      <c r="BU54" s="10">
        <f t="shared" si="119"/>
        <v>-0.71731112254938312</v>
      </c>
      <c r="BV54" s="9">
        <f t="shared" si="120"/>
        <v>0</v>
      </c>
      <c r="BW54" s="5">
        <f t="shared" si="121"/>
        <v>1</v>
      </c>
      <c r="BX54" s="8">
        <f t="shared" si="122"/>
        <v>-0.71731112254938312</v>
      </c>
      <c r="BY54" s="173">
        <f t="shared" si="123"/>
        <v>1</v>
      </c>
      <c r="BZ54" s="5">
        <f t="shared" si="124"/>
        <v>0</v>
      </c>
      <c r="CA54" s="6">
        <f t="shared" si="125"/>
        <v>-0.71731112254938312</v>
      </c>
      <c r="CB54" s="4">
        <f t="shared" si="151"/>
        <v>0</v>
      </c>
      <c r="CC54" s="5">
        <f t="shared" si="152"/>
        <v>0</v>
      </c>
      <c r="CD54" s="5">
        <f t="shared" si="153"/>
        <v>-1</v>
      </c>
      <c r="CE54" s="6">
        <f t="shared" si="154"/>
        <v>-0.71731112254938312</v>
      </c>
      <c r="CF54" s="4">
        <f t="shared" si="155"/>
        <v>-0.41168245909339729</v>
      </c>
      <c r="CG54" s="5">
        <f t="shared" si="156"/>
        <v>-0.87673553351268252</v>
      </c>
      <c r="CH54" s="5">
        <f t="shared" si="157"/>
        <v>0</v>
      </c>
      <c r="CI54" s="4">
        <f t="shared" si="126"/>
        <v>0</v>
      </c>
      <c r="CJ54" s="5">
        <f t="shared" si="127"/>
        <v>-2.4757419754602221</v>
      </c>
      <c r="CK54" s="8">
        <f t="shared" si="128"/>
        <v>-0.71731112254938312</v>
      </c>
      <c r="CL54" s="173">
        <f t="shared" si="129"/>
        <v>-0.41168245909339729</v>
      </c>
      <c r="CM54" s="5">
        <f t="shared" si="130"/>
        <v>-3.3524775089729046</v>
      </c>
      <c r="CN54" s="6">
        <f t="shared" si="131"/>
        <v>-0.71731112254938312</v>
      </c>
      <c r="CO54" s="167">
        <f t="shared" si="305"/>
        <v>0.3125</v>
      </c>
      <c r="CP54" s="4">
        <f t="shared" si="240"/>
        <v>0.9381476428489548</v>
      </c>
      <c r="CQ54" s="5">
        <f t="shared" si="241"/>
        <v>-3.1971368115009731</v>
      </c>
      <c r="CR54" s="5">
        <f t="shared" si="158"/>
        <v>2.7393826859232533</v>
      </c>
      <c r="CS54" s="8">
        <f t="shared" si="159"/>
        <v>-5.809784718594635E-2</v>
      </c>
      <c r="CT54" s="9" t="e">
        <f t="shared" si="160"/>
        <v>#NUM!</v>
      </c>
      <c r="CU54" s="6" t="e">
        <f t="shared" si="161"/>
        <v>#NUM!</v>
      </c>
      <c r="CV54" s="4" t="e">
        <f t="shared" si="242"/>
        <v>#NUM!</v>
      </c>
      <c r="CW54" s="5" t="e">
        <f t="shared" si="162"/>
        <v>#NUM!</v>
      </c>
      <c r="CX54" s="8" t="e">
        <f t="shared" si="163"/>
        <v>#NUM!</v>
      </c>
      <c r="CY54" s="9" t="e">
        <f t="shared" si="164"/>
        <v>#NUM!</v>
      </c>
      <c r="CZ54" s="5" t="e">
        <f t="shared" si="165"/>
        <v>#NUM!</v>
      </c>
      <c r="DA54" s="6" t="e">
        <f t="shared" si="166"/>
        <v>#NUM!</v>
      </c>
      <c r="DB54" s="4">
        <f t="shared" ref="DB54:DC74" si="484">IF(ISNUMBER($AV54),0,"")</f>
        <v>0</v>
      </c>
      <c r="DC54" s="5">
        <f t="shared" si="484"/>
        <v>0</v>
      </c>
      <c r="DD54" s="10">
        <f t="shared" si="168"/>
        <v>-10</v>
      </c>
      <c r="DE54" s="9">
        <f t="shared" ref="DE54:DF74" si="485">IF(ISNUMBER($AV54),0,"")</f>
        <v>0</v>
      </c>
      <c r="DF54" s="5">
        <f t="shared" si="485"/>
        <v>0</v>
      </c>
      <c r="DG54" s="10">
        <f t="shared" si="170"/>
        <v>10</v>
      </c>
      <c r="DH54" s="70">
        <f t="shared" si="171"/>
        <v>4.1936</v>
      </c>
      <c r="DI54" s="4">
        <f t="shared" si="172"/>
        <v>0</v>
      </c>
      <c r="DJ54" s="5">
        <f t="shared" si="173"/>
        <v>0</v>
      </c>
      <c r="DK54" s="10">
        <f t="shared" si="174"/>
        <v>20</v>
      </c>
      <c r="DL54" s="9" t="e">
        <f t="shared" si="175"/>
        <v>#NUM!</v>
      </c>
      <c r="DM54" s="173" t="e">
        <f t="shared" si="176"/>
        <v>#NUM!</v>
      </c>
      <c r="DN54" s="178" t="e">
        <f t="shared" si="177"/>
        <v>#NUM!</v>
      </c>
      <c r="DO54" s="9" t="e">
        <f t="shared" si="178"/>
        <v>#NUM!</v>
      </c>
      <c r="DP54" s="173" t="e">
        <f t="shared" si="179"/>
        <v>#NUM!</v>
      </c>
      <c r="DQ54" s="11" t="e">
        <f t="shared" si="180"/>
        <v>#NUM!</v>
      </c>
      <c r="DR54" s="173" t="e">
        <f t="shared" si="181"/>
        <v>#NUM!</v>
      </c>
      <c r="DS54" s="5" t="e">
        <f t="shared" si="182"/>
        <v>#NUM!</v>
      </c>
      <c r="DT54" s="5">
        <f t="shared" si="183"/>
        <v>400</v>
      </c>
      <c r="DU54" s="5" t="e">
        <f t="shared" si="184"/>
        <v>#NUM!</v>
      </c>
      <c r="DV54" s="5" t="e">
        <f t="shared" si="185"/>
        <v>#NUM!</v>
      </c>
      <c r="DW54" s="5" t="e">
        <f t="shared" si="186"/>
        <v>#NUM!</v>
      </c>
      <c r="DX54" s="167" t="e">
        <f t="shared" si="187"/>
        <v>#NUM!</v>
      </c>
      <c r="DY54" s="9" t="e">
        <f t="shared" si="188"/>
        <v>#NUM!</v>
      </c>
      <c r="DZ54" s="5" t="e">
        <f t="shared" si="189"/>
        <v>#NUM!</v>
      </c>
      <c r="EA54" s="10" t="e">
        <f t="shared" si="190"/>
        <v>#NUM!</v>
      </c>
      <c r="EB54" s="6" t="e">
        <f t="shared" si="191"/>
        <v>#NUM!</v>
      </c>
      <c r="EC54" s="173" t="e">
        <f t="shared" si="192"/>
        <v>#NUM!</v>
      </c>
      <c r="ED54" s="5" t="e">
        <f t="shared" si="193"/>
        <v>#NUM!</v>
      </c>
      <c r="EE54" s="4" t="e">
        <f t="shared" si="194"/>
        <v>#NUM!</v>
      </c>
      <c r="EF54" s="5" t="e">
        <f t="shared" si="195"/>
        <v>#NUM!</v>
      </c>
      <c r="EG54" s="10" t="e">
        <f t="shared" si="196"/>
        <v>#NUM!</v>
      </c>
      <c r="EH54" s="9" t="e">
        <f t="shared" si="197"/>
        <v>#NUM!</v>
      </c>
      <c r="EI54" s="5" t="e">
        <f t="shared" si="198"/>
        <v>#NUM!</v>
      </c>
      <c r="EJ54" s="6" t="e">
        <f t="shared" si="199"/>
        <v>#NUM!</v>
      </c>
      <c r="EK54" s="236" t="e">
        <f t="shared" si="200"/>
        <v>#NUM!</v>
      </c>
      <c r="EL54" s="238" t="e">
        <f t="shared" si="201"/>
        <v>#NUM!</v>
      </c>
      <c r="EM54" s="4" t="e">
        <f t="shared" si="202"/>
        <v>#NUM!</v>
      </c>
      <c r="EN54" s="5" t="e">
        <f t="shared" si="203"/>
        <v>#NUM!</v>
      </c>
      <c r="EO54" s="10" t="e">
        <f t="shared" si="204"/>
        <v>#NUM!</v>
      </c>
      <c r="EP54" s="9" t="e">
        <f t="shared" si="205"/>
        <v>#NUM!</v>
      </c>
      <c r="EQ54" s="5" t="e">
        <f t="shared" si="206"/>
        <v>#NUM!</v>
      </c>
      <c r="ER54" s="7" t="e">
        <f t="shared" si="207"/>
        <v>#NUM!</v>
      </c>
      <c r="ES54" s="21">
        <f t="shared" si="352"/>
        <v>-0.87673553351268263</v>
      </c>
      <c r="ET54" s="5">
        <f t="shared" si="353"/>
        <v>0.41168245909339674</v>
      </c>
      <c r="EU54" s="10">
        <f t="shared" si="354"/>
        <v>-0.24870134127311311</v>
      </c>
      <c r="EV54" s="174" t="e">
        <f t="shared" ref="EV54:EV72" si="486">IF(ISNUMBER($AV54),IF(($EV$1-EP54)&lt;0,(360+($EV$1-EP54)),($EV$1-EP54)),"")</f>
        <v>#NUM!</v>
      </c>
      <c r="EW54" s="9" t="e">
        <f t="shared" ref="EW54:EW72" si="487">IF(ISNUMBER($AV54),(COS(RADIANS($EV54))*ES54)+(-SIN(RADIANS($EV54))*ET54),"")</f>
        <v>#NUM!</v>
      </c>
      <c r="EX54" s="5" t="e">
        <f t="shared" ref="EX54:EX72" si="488">IF(ISNUMBER($AV54),(SIN(RADIANS($EV54))*ES54)+(COS(RADIANS($EV54))*ET54),"")</f>
        <v>#NUM!</v>
      </c>
      <c r="EY54" s="6">
        <f t="shared" si="208"/>
        <v>-0.24870134127311311</v>
      </c>
      <c r="EZ54" s="51" t="e">
        <f t="shared" si="209"/>
        <v>#NUM!</v>
      </c>
      <c r="FA54" s="173" t="e">
        <f t="shared" ref="FA54:FA72" si="489">IF(ISNUMBER($AV54),SIN(RADIANS($EP54))*COS(RADIANS($EZ54)),"")</f>
        <v>#NUM!</v>
      </c>
      <c r="FB54" s="5" t="e">
        <f t="shared" ref="FB54:FB72" si="490">IF(ISNUMBER($AV54),-1*COS(RADIANS($EP54))*COS(RADIANS($EZ54)),"")</f>
        <v>#NUM!</v>
      </c>
      <c r="FC54" s="6" t="e">
        <f t="shared" ref="FC54:FC72" si="491">IF(ISNUMBER($AV54),-1*SIN(RADIANS($EZ54)),"")</f>
        <v>#NUM!</v>
      </c>
      <c r="FD54" s="4" t="e">
        <f t="shared" ref="FD54:FD72" si="492">IF(ISNUMBER($AV54),(COS(RADIANS($EV54))*FA54)+(-SIN(RADIANS($EV54))*FB54),"")</f>
        <v>#NUM!</v>
      </c>
      <c r="FE54" s="5" t="e">
        <f t="shared" ref="FE54:FE72" si="493">IF(ISNUMBER($AV54),(SIN(RADIANS($EV54))*FA54)+(COS(RADIANS($EV54))*FB54),"")</f>
        <v>#NUM!</v>
      </c>
      <c r="FF54" s="7" t="e">
        <f t="shared" si="210"/>
        <v>#NUM!</v>
      </c>
      <c r="FG54" s="173" t="e">
        <f t="shared" ref="FG54:FG72" si="494">IF(ISNUMBER($AV54),EW54-FD54,"")</f>
        <v>#NUM!</v>
      </c>
      <c r="FH54" s="5" t="e">
        <f t="shared" ref="FH54:FH72" si="495">IF(ISNUMBER($AV54),EX54-FE54,"")</f>
        <v>#NUM!</v>
      </c>
      <c r="FI54" s="10" t="e">
        <f t="shared" ref="FI54:FI72" si="496">IF(ISNUMBER($AV54),EY54-FF54,"")</f>
        <v>#NUM!</v>
      </c>
      <c r="FJ54" s="279" t="e">
        <f t="shared" si="212"/>
        <v>#NUM!</v>
      </c>
      <c r="FK54" s="4">
        <f t="shared" ref="FK54:FK72" si="497">IF(ISNUMBER($AV54),SQRT(ES54^2+ET54^2),"")</f>
        <v>0.96858022014129241</v>
      </c>
      <c r="FL54" s="5" t="e">
        <f t="shared" si="213"/>
        <v>#NUM!</v>
      </c>
      <c r="FM54" s="8" t="e">
        <f t="shared" si="214"/>
        <v>#NUM!</v>
      </c>
      <c r="FN54" s="9" t="e">
        <f t="shared" si="215"/>
        <v>#NUM!</v>
      </c>
      <c r="FO54" s="10" t="e">
        <f t="shared" ref="FO54:FO72" si="498">IF(ISNUMBER($AV54),IF(SQRT((EM54+(ES54/SQRT(ES54^2+(ET54/SQRT(ES54^2+ET54^2))^2)))^2+(EN54+ET54)^2)&gt;SQRT((EM54+(FA54/SQRT(FA54^2+FB54^2)))^2+(EN54+(FB54/SQRT(FA54^2+FB54^2)))^2),-1,1),"")</f>
        <v>#NUM!</v>
      </c>
      <c r="FP54" s="277" t="e">
        <f t="shared" ref="FP54:FP72" si="499">IF(ISNUMBER($AV54),FN54*FO54,"")</f>
        <v>#NUM!</v>
      </c>
      <c r="FQ54" s="173" t="e">
        <f t="shared" si="243"/>
        <v>#NUM!</v>
      </c>
      <c r="FR54" s="10" t="e">
        <f t="shared" si="216"/>
        <v>#NUM!</v>
      </c>
      <c r="FS54" s="9" t="e">
        <f t="shared" si="217"/>
        <v>#NUM!</v>
      </c>
      <c r="FT54" s="6" t="e">
        <f t="shared" si="218"/>
        <v>#NUM!</v>
      </c>
      <c r="FU54" s="4" t="e">
        <f t="shared" si="219"/>
        <v>#NUM!</v>
      </c>
      <c r="FV54" s="5" t="e">
        <f t="shared" si="220"/>
        <v>#NUM!</v>
      </c>
      <c r="FW54" s="8" t="e">
        <f t="shared" si="244"/>
        <v>#NUM!</v>
      </c>
      <c r="FX54" s="9" t="e">
        <f t="shared" si="245"/>
        <v>#NUM!</v>
      </c>
      <c r="FY54" s="10" t="e">
        <f t="shared" ref="FY54:FY72" si="500">IF(ISNUMBER($AV54),IF(EU54&lt;FC54,1,-1),"")</f>
        <v>#NUM!</v>
      </c>
      <c r="FZ54" s="277" t="e">
        <f t="shared" si="246"/>
        <v>#NUM!</v>
      </c>
      <c r="GA54" s="177" t="e">
        <f t="shared" si="221"/>
        <v>#NUM!</v>
      </c>
      <c r="GB54" s="4" t="e">
        <f t="shared" si="222"/>
        <v>#NUM!</v>
      </c>
      <c r="GC54" s="5" t="e">
        <f t="shared" si="223"/>
        <v>#NUM!</v>
      </c>
      <c r="GD54" s="10" t="e">
        <f t="shared" si="224"/>
        <v>#NUM!</v>
      </c>
      <c r="GE54" s="311" t="e">
        <f t="shared" si="225"/>
        <v>#NUM!</v>
      </c>
      <c r="GF54" s="341" t="e">
        <f t="shared" si="247"/>
        <v>#NUM!</v>
      </c>
      <c r="GG54" s="285" t="e">
        <f t="shared" ref="GG54:GG72" si="501">IF(ISNUMBER($AV54),ABS(GB54)/(ABS($GB54)+ABS($GC54)+ABS($GD54)),"")</f>
        <v>#NUM!</v>
      </c>
      <c r="GH54" s="286" t="e">
        <f t="shared" ref="GH54:GH72" si="502">IF(ISNUMBER($AV54),ABS(GC54)/(ABS($GB54)+ABS($GC54)+ABS($GD54)),"")</f>
        <v>#NUM!</v>
      </c>
      <c r="GI54" s="281" t="e">
        <f t="shared" ref="GI54:GI72" si="503">IF(ISNUMBER($AV54),ABS(GD54)/(ABS($GB54)+ABS($GC54)+ABS($GD54)),"")</f>
        <v>#NUM!</v>
      </c>
      <c r="GJ54" s="167">
        <f t="shared" si="226"/>
        <v>4.1936</v>
      </c>
      <c r="GK54" s="174">
        <f t="shared" ref="GK54:GK72" si="504">IF(ISNUMBER($AV54),SQRT((2*PI()*$GJ54)^2+$AS$5^2)/12,"")</f>
        <v>2.1958077506799074</v>
      </c>
      <c r="GL54" s="174">
        <f t="shared" si="227"/>
        <v>2.3E-2</v>
      </c>
      <c r="GM54" s="177">
        <f t="shared" si="248"/>
        <v>0.60604293918765451</v>
      </c>
      <c r="GN54" s="280">
        <f t="shared" si="228"/>
        <v>3.1673126158178425E-2</v>
      </c>
      <c r="GO54" s="4" t="e">
        <f t="shared" si="229"/>
        <v>#NUM!</v>
      </c>
      <c r="GP54" s="8" t="e">
        <f t="shared" si="249"/>
        <v>#NUM!</v>
      </c>
      <c r="GQ54" s="177" t="e">
        <f t="shared" si="230"/>
        <v>#NUM!</v>
      </c>
      <c r="GR54" s="371" t="e">
        <f t="shared" si="250"/>
        <v>#NUM!</v>
      </c>
      <c r="GS54" s="342" t="e">
        <f t="shared" ref="GS54:GS72" si="505">IF(ISNUMBER($AV54),GU54/GH54*GG54,"")</f>
        <v>#NUM!</v>
      </c>
      <c r="GT54" s="343" t="e">
        <f t="shared" ref="GT54:GT72" si="506">IF(ISNUMBER($AV54),GS54/$GK54,"")</f>
        <v>#NUM!</v>
      </c>
      <c r="GU54" s="344">
        <f t="shared" ref="GU54:GU72" si="507">IF(ISNUMBER($AV54),$GV54*$GK54,"")</f>
        <v>1489.8555588363172</v>
      </c>
      <c r="GV54" s="343">
        <f t="shared" si="252"/>
        <v>678.5</v>
      </c>
      <c r="GW54" s="345">
        <f t="shared" ref="GW54:GW72" si="508">IF(ISNUMBER($AV54),$GW$2,"")</f>
        <v>29500</v>
      </c>
      <c r="GX54" s="346">
        <f t="shared" ref="GX54:GX72" si="509">IF(ISNUMBER($AV54),($GJ54/12)*$GV54,"")</f>
        <v>237.11313333333331</v>
      </c>
      <c r="GY54" s="344" t="e">
        <f t="shared" ref="GY54:GY72" si="510">IF(ISNUMBER($AV54),GU54/GH54*GI54,"")</f>
        <v>#NUM!</v>
      </c>
      <c r="GZ54" s="345" t="e">
        <f t="shared" ref="GZ54:GZ72" si="511">IF(ISNUMBER($AV54),GY54/$GK54,"")</f>
        <v>#NUM!</v>
      </c>
      <c r="HA54" s="342" t="e">
        <f t="shared" ref="HA54:HA72" si="512">IF(ISNUMBER($AV54),$FO54*$GS54,"")</f>
        <v>#NUM!</v>
      </c>
      <c r="HB54" s="5" t="e">
        <f t="shared" si="231"/>
        <v>#NUM!</v>
      </c>
      <c r="HC54" s="343" t="e">
        <f t="shared" si="232"/>
        <v>#NUM!</v>
      </c>
      <c r="HD54" s="363" t="e">
        <f t="shared" si="233"/>
        <v>#NUM!</v>
      </c>
      <c r="HE54" s="344" t="e">
        <f t="shared" ref="HE54:HE72" si="513">IF(ISNUMBER($AV54),$FY54*$GV54,"")</f>
        <v>#NUM!</v>
      </c>
      <c r="HF54" s="5" t="e">
        <f t="shared" ref="HF54:HF72" si="514">IF(ISNUMBER($AV54),IF(($HB54+90)&lt;0,(360+($HB54+90)),($HB54+90)),"")</f>
        <v>#NUM!</v>
      </c>
      <c r="HG54" s="343" t="e">
        <f t="shared" si="234"/>
        <v>#NUM!</v>
      </c>
      <c r="HH54" s="349" t="e">
        <f t="shared" si="235"/>
        <v>#NUM!</v>
      </c>
      <c r="HI54" s="317">
        <f t="shared" si="408"/>
        <v>4.1260000000000003</v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4.1260000000000003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>
        <v>8.8817841970012507E-15</v>
      </c>
      <c r="IP54" s="5" t="str">
        <f t="shared" si="428"/>
        <v/>
      </c>
      <c r="IQ54" s="714">
        <v>0</v>
      </c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si="257"/>
        <v>-0.72932137506286898</v>
      </c>
      <c r="C55" s="572">
        <f t="shared" si="258"/>
        <v>-4.3723035283647542</v>
      </c>
      <c r="D55" s="576">
        <f t="shared" si="259"/>
        <v>-1.6875050895153505</v>
      </c>
      <c r="E55" s="580">
        <f t="shared" si="260"/>
        <v>0.83266219619252724</v>
      </c>
      <c r="F55" s="572">
        <f t="shared" si="261"/>
        <v>-0.51836923906919929</v>
      </c>
      <c r="G55" s="579">
        <f t="shared" si="262"/>
        <v>0.19485122277947586</v>
      </c>
      <c r="H55" s="580">
        <f t="shared" si="263"/>
        <v>0.3125</v>
      </c>
      <c r="I55" s="572">
        <f t="shared" si="264"/>
        <v>0.52</v>
      </c>
      <c r="J55" s="483">
        <f t="shared" si="265"/>
        <v>4.1319999999999997</v>
      </c>
      <c r="K55" s="806">
        <f t="shared" si="266"/>
        <v>1613</v>
      </c>
      <c r="L55" s="309"/>
      <c r="M55" s="164">
        <f t="shared" si="267"/>
        <v>4.1319999999999997</v>
      </c>
      <c r="N55" s="575">
        <f t="shared" si="268"/>
        <v>-0.72932137506286898</v>
      </c>
      <c r="O55" s="572">
        <f t="shared" si="269"/>
        <v>-4.3723035283647542</v>
      </c>
      <c r="P55" s="576">
        <f t="shared" si="270"/>
        <v>-1.6875050895153505</v>
      </c>
      <c r="Q55" s="528">
        <f t="shared" si="140"/>
        <v>260.52997537851786</v>
      </c>
      <c r="R55" s="572">
        <f t="shared" si="464"/>
        <v>4.4327133690635208</v>
      </c>
      <c r="S55" s="577">
        <f t="shared" si="465"/>
        <v>-1.6875050895153505</v>
      </c>
      <c r="T55" s="578">
        <f t="shared" si="466"/>
        <v>-4.3734437489546325</v>
      </c>
      <c r="U55" s="572">
        <f t="shared" si="467"/>
        <v>0.72245248079310787</v>
      </c>
      <c r="V55" s="579">
        <f t="shared" si="468"/>
        <v>-1.6875050895153505</v>
      </c>
      <c r="W55" s="528">
        <f t="shared" si="253"/>
        <v>170.61997536552349</v>
      </c>
      <c r="X55" s="572">
        <f t="shared" si="469"/>
        <v>4.4327133690635208</v>
      </c>
      <c r="Y55" s="573">
        <f t="shared" si="255"/>
        <v>-1.6875050895153505</v>
      </c>
      <c r="Z55" s="575">
        <f t="shared" si="271"/>
        <v>-0.83266219619252724</v>
      </c>
      <c r="AA55" s="572">
        <f t="shared" si="272"/>
        <v>0.51836923906919929</v>
      </c>
      <c r="AB55" s="572">
        <f t="shared" si="273"/>
        <v>-0.19485122277947586</v>
      </c>
      <c r="AC55" s="579">
        <f t="shared" si="470"/>
        <v>1</v>
      </c>
      <c r="AD55" s="580">
        <f t="shared" si="471"/>
        <v>-0.83266219619252724</v>
      </c>
      <c r="AE55" s="572">
        <f t="shared" si="472"/>
        <v>0.51836923906919929</v>
      </c>
      <c r="AF55" s="576">
        <f t="shared" si="473"/>
        <v>-0.19485122277947586</v>
      </c>
      <c r="AG55" s="545">
        <f t="shared" si="474"/>
        <v>69.399124955104355</v>
      </c>
      <c r="AH55" s="546">
        <f t="shared" si="475"/>
        <v>146.37318908598073</v>
      </c>
      <c r="AI55" s="528">
        <f t="shared" si="476"/>
        <v>-78.763967425305495</v>
      </c>
      <c r="AJ55" s="529">
        <f t="shared" si="477"/>
        <v>-121.90409979212681</v>
      </c>
      <c r="AK55" s="578">
        <f t="shared" si="478"/>
        <v>0.9066026358987852</v>
      </c>
      <c r="AL55" s="572">
        <f t="shared" si="479"/>
        <v>-0.37430557244411694</v>
      </c>
      <c r="AM55" s="577">
        <f t="shared" si="480"/>
        <v>-0.19485122277947586</v>
      </c>
      <c r="AN55" s="524">
        <f t="shared" si="481"/>
        <v>-62.499990976117807</v>
      </c>
      <c r="AO55" s="525">
        <f>IF(ROUND(IF(M55="",0,DEGREES(ACOS(AK55))),4)=90,0,IF(M55="","",DEGREES(ACOS(AK55))))</f>
        <v>24.959996396222365</v>
      </c>
      <c r="AP55" s="528">
        <f t="shared" si="482"/>
        <v>-22.434075170644686</v>
      </c>
      <c r="AQ55" s="529">
        <f t="shared" si="274"/>
        <v>0.34285988900578812</v>
      </c>
      <c r="AS55" s="932">
        <f t="shared" si="461"/>
        <v>-189.38002463447651</v>
      </c>
      <c r="AT55" s="928">
        <f t="shared" si="275"/>
        <v>-1.5997874855239236</v>
      </c>
      <c r="AU55" s="418"/>
      <c r="AV55" s="164">
        <f t="shared" si="276"/>
        <v>4.1319999999999997</v>
      </c>
      <c r="AW55" s="797">
        <f>IFERROR(INDEX(MassProp!C$9:C$150,MATCH($M55,MassProp!$B$9:$B$150,0)),"")</f>
        <v>4.6402000000000001</v>
      </c>
      <c r="AX55" s="744">
        <f>IFERROR(INDEX(MassProp!D$9:D$150,MATCH($M55,MassProp!$B$9:$B$150,0)),"")</f>
        <v>-1.1688000000000001</v>
      </c>
      <c r="AY55" s="731">
        <f>IFERROR(INDEX(MassProp!E$9:E$150,MATCH($M55,MassProp!$B$9:$B$150,0)),"")</f>
        <v>1.4500000000000001E-2</v>
      </c>
      <c r="AZ55" s="297">
        <f t="shared" si="144"/>
        <v>0.42275783611689416</v>
      </c>
      <c r="BA55" s="296">
        <f t="shared" si="278"/>
        <v>2.2094246813001518E-2</v>
      </c>
      <c r="BB55" s="177">
        <f t="shared" si="145"/>
        <v>0.26432081885725678</v>
      </c>
      <c r="BC55" s="9"/>
      <c r="BD55" s="5">
        <f t="shared" si="146"/>
        <v>4.6402000000000001</v>
      </c>
      <c r="BE55" s="6">
        <f t="shared" si="280"/>
        <v>-1.4231842706580937</v>
      </c>
      <c r="BF55" s="4">
        <f t="shared" si="281"/>
        <v>-0.72932137506286898</v>
      </c>
      <c r="BG55" s="5">
        <f t="shared" si="282"/>
        <v>-4.3723035283647542</v>
      </c>
      <c r="BH55" s="10">
        <f t="shared" si="283"/>
        <v>-1.6875050895153505</v>
      </c>
      <c r="BI55" s="9">
        <f t="shared" si="147"/>
        <v>-0.72932137506286898</v>
      </c>
      <c r="BJ55" s="5">
        <f t="shared" si="285"/>
        <v>-4.0204475841118299</v>
      </c>
      <c r="BK55" s="8">
        <f t="shared" si="286"/>
        <v>-0.75145092735704733</v>
      </c>
      <c r="BL55" s="173">
        <f t="shared" si="287"/>
        <v>-0.17554013031740334</v>
      </c>
      <c r="BM55" s="5">
        <f t="shared" si="288"/>
        <v>-3.5928866139468654</v>
      </c>
      <c r="BN55" s="6">
        <f t="shared" si="289"/>
        <v>-1.9804822328003862</v>
      </c>
      <c r="BO55" s="4">
        <f t="shared" si="148"/>
        <v>-0.83266219619252668</v>
      </c>
      <c r="BP55" s="5">
        <f t="shared" si="239"/>
        <v>0.51836923906919896</v>
      </c>
      <c r="BQ55" s="5">
        <f t="shared" si="149"/>
        <v>-0.19485122277947586</v>
      </c>
      <c r="BR55" s="6">
        <f t="shared" si="150"/>
        <v>1.3303768849493549</v>
      </c>
      <c r="BS55" s="4">
        <f t="shared" si="483"/>
        <v>0</v>
      </c>
      <c r="BT55" s="5">
        <f t="shared" si="483"/>
        <v>0</v>
      </c>
      <c r="BU55" s="10">
        <f t="shared" si="119"/>
        <v>-1.4231842706580937</v>
      </c>
      <c r="BV55" s="9">
        <f t="shared" si="120"/>
        <v>0</v>
      </c>
      <c r="BW55" s="5">
        <f t="shared" si="121"/>
        <v>1</v>
      </c>
      <c r="BX55" s="8">
        <f t="shared" si="122"/>
        <v>-1.4231842706580937</v>
      </c>
      <c r="BY55" s="173">
        <f t="shared" si="123"/>
        <v>1</v>
      </c>
      <c r="BZ55" s="5">
        <f t="shared" si="124"/>
        <v>0</v>
      </c>
      <c r="CA55" s="6">
        <f t="shared" si="125"/>
        <v>-1.4231842706580937</v>
      </c>
      <c r="CB55" s="4">
        <f t="shared" si="151"/>
        <v>0</v>
      </c>
      <c r="CC55" s="5">
        <f t="shared" si="152"/>
        <v>0</v>
      </c>
      <c r="CD55" s="5">
        <f t="shared" si="153"/>
        <v>-1</v>
      </c>
      <c r="CE55" s="6">
        <f t="shared" si="154"/>
        <v>-1.4231842706580937</v>
      </c>
      <c r="CF55" s="4">
        <f t="shared" si="155"/>
        <v>-0.51836923906919896</v>
      </c>
      <c r="CG55" s="5">
        <f t="shared" si="156"/>
        <v>-0.83266219619252668</v>
      </c>
      <c r="CH55" s="5">
        <f t="shared" si="157"/>
        <v>0</v>
      </c>
      <c r="CI55" s="4">
        <f t="shared" si="126"/>
        <v>0</v>
      </c>
      <c r="CJ55" s="5">
        <f t="shared" si="127"/>
        <v>-3.1014303302688555</v>
      </c>
      <c r="CK55" s="8">
        <f t="shared" si="128"/>
        <v>-1.4231842706580937</v>
      </c>
      <c r="CL55" s="173">
        <f t="shared" si="129"/>
        <v>-0.51836923906919896</v>
      </c>
      <c r="CM55" s="5">
        <f t="shared" si="130"/>
        <v>-3.9340925264613822</v>
      </c>
      <c r="CN55" s="6">
        <f t="shared" si="131"/>
        <v>-1.4231842706580937</v>
      </c>
      <c r="CO55" s="167">
        <f t="shared" si="305"/>
        <v>0.3125</v>
      </c>
      <c r="CP55" s="4">
        <f t="shared" si="240"/>
        <v>0.96203300098134215</v>
      </c>
      <c r="CQ55" s="5">
        <f t="shared" si="241"/>
        <v>-2.872531668873985</v>
      </c>
      <c r="CR55" s="5">
        <f t="shared" si="158"/>
        <v>2.1192375990434655</v>
      </c>
      <c r="CS55" s="8">
        <f t="shared" si="159"/>
        <v>9.6332159882843271E-2</v>
      </c>
      <c r="CT55" s="9">
        <f t="shared" si="160"/>
        <v>1.6542602442808572</v>
      </c>
      <c r="CU55" s="6">
        <f t="shared" si="161"/>
        <v>1.3316369816394575</v>
      </c>
      <c r="CV55" s="4">
        <f t="shared" si="242"/>
        <v>-0.85751762405029508</v>
      </c>
      <c r="CW55" s="5">
        <f t="shared" si="162"/>
        <v>-4.4788702983457398</v>
      </c>
      <c r="CX55" s="8">
        <f t="shared" si="163"/>
        <v>-1.4231842706580937</v>
      </c>
      <c r="CY55" s="9">
        <f t="shared" si="164"/>
        <v>-0.69027964888885052</v>
      </c>
      <c r="CZ55" s="5">
        <f t="shared" si="165"/>
        <v>-4.2102341039319535</v>
      </c>
      <c r="DA55" s="6">
        <f t="shared" si="166"/>
        <v>-1.4231842706580937</v>
      </c>
      <c r="DB55" s="4">
        <f t="shared" si="484"/>
        <v>0</v>
      </c>
      <c r="DC55" s="5">
        <f t="shared" si="484"/>
        <v>0</v>
      </c>
      <c r="DD55" s="10">
        <f t="shared" si="168"/>
        <v>-10</v>
      </c>
      <c r="DE55" s="9">
        <f t="shared" si="485"/>
        <v>0</v>
      </c>
      <c r="DF55" s="5">
        <f t="shared" si="485"/>
        <v>0</v>
      </c>
      <c r="DG55" s="10">
        <f t="shared" si="170"/>
        <v>10</v>
      </c>
      <c r="DH55" s="70">
        <f t="shared" si="171"/>
        <v>4.6402000000000001</v>
      </c>
      <c r="DI55" s="4">
        <f t="shared" si="172"/>
        <v>0</v>
      </c>
      <c r="DJ55" s="5">
        <f t="shared" si="173"/>
        <v>0</v>
      </c>
      <c r="DK55" s="10">
        <f t="shared" si="174"/>
        <v>20</v>
      </c>
      <c r="DL55" s="9">
        <f t="shared" si="175"/>
        <v>-0.85751762405029508</v>
      </c>
      <c r="DM55" s="173">
        <f t="shared" si="176"/>
        <v>-4.4788702983457398</v>
      </c>
      <c r="DN55" s="178">
        <f t="shared" si="177"/>
        <v>8.5768157293419058</v>
      </c>
      <c r="DO55" s="9">
        <f t="shared" si="178"/>
        <v>0.16723797516144456</v>
      </c>
      <c r="DP55" s="173">
        <f t="shared" si="179"/>
        <v>0.26863619441378628</v>
      </c>
      <c r="DQ55" s="11">
        <f t="shared" si="180"/>
        <v>0</v>
      </c>
      <c r="DR55" s="173">
        <f t="shared" si="181"/>
        <v>171.5363145868381</v>
      </c>
      <c r="DS55" s="5">
        <f t="shared" si="182"/>
        <v>0</v>
      </c>
      <c r="DT55" s="5">
        <f t="shared" si="183"/>
        <v>400</v>
      </c>
      <c r="DU55" s="5">
        <f t="shared" si="184"/>
        <v>0.10013394528522153</v>
      </c>
      <c r="DV55" s="5">
        <f t="shared" si="185"/>
        <v>-1.3465961833319633</v>
      </c>
      <c r="DW55" s="5">
        <f t="shared" si="186"/>
        <v>94.357383680047249</v>
      </c>
      <c r="DX55" s="167">
        <f t="shared" si="187"/>
        <v>72.82592764004724</v>
      </c>
      <c r="DY55" s="9">
        <f t="shared" si="188"/>
        <v>40.053578114088609</v>
      </c>
      <c r="DZ55" s="5">
        <f t="shared" si="189"/>
        <v>-538.63847333278534</v>
      </c>
      <c r="EA55" s="10">
        <f t="shared" si="190"/>
        <v>-294.33616601578979</v>
      </c>
      <c r="EB55" s="6">
        <f t="shared" si="191"/>
        <v>301920.6215715885</v>
      </c>
      <c r="EC55" s="173">
        <f t="shared" si="192"/>
        <v>27.166399719109549</v>
      </c>
      <c r="ED55" s="5">
        <f t="shared" si="193"/>
        <v>-0.27050183959788704</v>
      </c>
      <c r="EE55" s="4">
        <f t="shared" si="194"/>
        <v>3.6857360574000224</v>
      </c>
      <c r="EF55" s="5">
        <f t="shared" si="195"/>
        <v>2.8190079381196016</v>
      </c>
      <c r="EG55" s="10">
        <f t="shared" si="196"/>
        <v>-1.4231842706580937</v>
      </c>
      <c r="EH55" s="9">
        <f t="shared" si="197"/>
        <v>-0.90275580398209154</v>
      </c>
      <c r="EI55" s="5">
        <f t="shared" si="198"/>
        <v>-4.5515368831172447</v>
      </c>
      <c r="EJ55" s="6">
        <f t="shared" si="199"/>
        <v>-1.4231842706580937</v>
      </c>
      <c r="EK55" s="236" t="b">
        <f t="shared" si="200"/>
        <v>0</v>
      </c>
      <c r="EL55" s="238" t="b">
        <f t="shared" si="201"/>
        <v>0</v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e">
        <f t="shared" si="205"/>
        <v>#VALUE!</v>
      </c>
      <c r="EQ55" s="5" t="e">
        <f t="shared" si="206"/>
        <v>#VALUE!</v>
      </c>
      <c r="ER55" s="7" t="str">
        <f t="shared" si="207"/>
        <v/>
      </c>
      <c r="ES55" s="21">
        <f t="shared" si="352"/>
        <v>-0.83266219619252724</v>
      </c>
      <c r="ET55" s="5">
        <f t="shared" si="353"/>
        <v>0.51836923906919929</v>
      </c>
      <c r="EU55" s="10">
        <f t="shared" si="354"/>
        <v>-0.19485122277947586</v>
      </c>
      <c r="EV55" s="174" t="e">
        <f t="shared" si="486"/>
        <v>#VALUE!</v>
      </c>
      <c r="EW55" s="9" t="e">
        <f t="shared" si="487"/>
        <v>#VALUE!</v>
      </c>
      <c r="EX55" s="5" t="e">
        <f t="shared" si="488"/>
        <v>#VALUE!</v>
      </c>
      <c r="EY55" s="6">
        <f t="shared" si="208"/>
        <v>-0.19485122277947586</v>
      </c>
      <c r="EZ55" s="51" t="e">
        <f t="shared" si="209"/>
        <v>#VALUE!</v>
      </c>
      <c r="FA55" s="173" t="e">
        <f t="shared" si="489"/>
        <v>#VALUE!</v>
      </c>
      <c r="FB55" s="5" t="e">
        <f t="shared" si="490"/>
        <v>#VALUE!</v>
      </c>
      <c r="FC55" s="6" t="e">
        <f t="shared" si="491"/>
        <v>#VALUE!</v>
      </c>
      <c r="FD55" s="4" t="e">
        <f t="shared" si="492"/>
        <v>#VALUE!</v>
      </c>
      <c r="FE55" s="5" t="e">
        <f t="shared" si="493"/>
        <v>#VALUE!</v>
      </c>
      <c r="FF55" s="7" t="e">
        <f t="shared" si="210"/>
        <v>#VALUE!</v>
      </c>
      <c r="FG55" s="173" t="e">
        <f t="shared" si="494"/>
        <v>#VALUE!</v>
      </c>
      <c r="FH55" s="5" t="e">
        <f t="shared" si="495"/>
        <v>#VALUE!</v>
      </c>
      <c r="FI55" s="10" t="e">
        <f t="shared" si="496"/>
        <v>#VALUE!</v>
      </c>
      <c r="FJ55" s="279" t="e">
        <f t="shared" si="212"/>
        <v>#VALUE!</v>
      </c>
      <c r="FK55" s="4">
        <f t="shared" si="497"/>
        <v>0.98083280990255595</v>
      </c>
      <c r="FL55" s="5" t="e">
        <f t="shared" si="213"/>
        <v>#VALUE!</v>
      </c>
      <c r="FM55" s="8" t="e">
        <f t="shared" si="214"/>
        <v>#VALUE!</v>
      </c>
      <c r="FN55" s="9" t="e">
        <f t="shared" si="215"/>
        <v>#VALUE!</v>
      </c>
      <c r="FO55" s="10" t="e">
        <f t="shared" si="498"/>
        <v>#VALUE!</v>
      </c>
      <c r="FP55" s="277" t="e">
        <f t="shared" si="499"/>
        <v>#VALUE!</v>
      </c>
      <c r="FQ55" s="173" t="e">
        <f t="shared" si="243"/>
        <v>#VALUE!</v>
      </c>
      <c r="FR55" s="10" t="e">
        <f t="shared" si="216"/>
        <v>#VALUE!</v>
      </c>
      <c r="FS55" s="9" t="e">
        <f t="shared" si="217"/>
        <v>#VALUE!</v>
      </c>
      <c r="FT55" s="6" t="e">
        <f t="shared" si="218"/>
        <v>#VALUE!</v>
      </c>
      <c r="FU55" s="4" t="e">
        <f t="shared" si="219"/>
        <v>#VALUE!</v>
      </c>
      <c r="FV55" s="5" t="e">
        <f t="shared" si="220"/>
        <v>#VALUE!</v>
      </c>
      <c r="FW55" s="8" t="e">
        <f t="shared" si="244"/>
        <v>#VALUE!</v>
      </c>
      <c r="FX55" s="9" t="e">
        <f t="shared" si="245"/>
        <v>#VALUE!</v>
      </c>
      <c r="FY55" s="10" t="e">
        <f t="shared" si="500"/>
        <v>#VALUE!</v>
      </c>
      <c r="FZ55" s="277" t="e">
        <f t="shared" si="246"/>
        <v>#VALUE!</v>
      </c>
      <c r="GA55" s="177" t="e">
        <f t="shared" si="221"/>
        <v>#VALUE!</v>
      </c>
      <c r="GB55" s="4" t="e">
        <f t="shared" si="222"/>
        <v>#VALUE!</v>
      </c>
      <c r="GC55" s="5" t="e">
        <f t="shared" si="223"/>
        <v>#VALUE!</v>
      </c>
      <c r="GD55" s="10" t="e">
        <f t="shared" si="224"/>
        <v>#VALUE!</v>
      </c>
      <c r="GE55" s="311" t="e">
        <f t="shared" si="225"/>
        <v>#VALUE!</v>
      </c>
      <c r="GF55" s="341" t="e">
        <f t="shared" si="247"/>
        <v>#VALUE!</v>
      </c>
      <c r="GG55" s="285" t="e">
        <f t="shared" si="501"/>
        <v>#VALUE!</v>
      </c>
      <c r="GH55" s="286" t="e">
        <f t="shared" si="502"/>
        <v>#VALUE!</v>
      </c>
      <c r="GI55" s="281" t="e">
        <f t="shared" si="503"/>
        <v>#VALUE!</v>
      </c>
      <c r="GJ55" s="167">
        <f t="shared" si="226"/>
        <v>4.6402000000000001</v>
      </c>
      <c r="GK55" s="174">
        <f t="shared" si="504"/>
        <v>2.4296427363039892</v>
      </c>
      <c r="GL55" s="174">
        <f t="shared" si="227"/>
        <v>1.4500000000000001E-2</v>
      </c>
      <c r="GM55" s="177">
        <f t="shared" si="248"/>
        <v>0.42275783611689416</v>
      </c>
      <c r="GN55" s="280">
        <f t="shared" si="228"/>
        <v>2.2094246813001518E-2</v>
      </c>
      <c r="GO55" s="4" t="e">
        <f t="shared" si="229"/>
        <v>#VALUE!</v>
      </c>
      <c r="GP55" s="8" t="e">
        <f t="shared" si="249"/>
        <v>#VALUE!</v>
      </c>
      <c r="GQ55" s="177" t="e">
        <f t="shared" si="230"/>
        <v>#VALUE!</v>
      </c>
      <c r="GR55" s="371" t="e">
        <f t="shared" si="250"/>
        <v>#VALUE!</v>
      </c>
      <c r="GS55" s="342" t="e">
        <f t="shared" si="505"/>
        <v>#VALUE!</v>
      </c>
      <c r="GT55" s="343" t="e">
        <f t="shared" si="506"/>
        <v>#VALUE!</v>
      </c>
      <c r="GU55" s="344">
        <f t="shared" si="507"/>
        <v>1039.2796804540314</v>
      </c>
      <c r="GV55" s="343">
        <f t="shared" si="252"/>
        <v>427.75</v>
      </c>
      <c r="GW55" s="345">
        <f t="shared" si="508"/>
        <v>29500</v>
      </c>
      <c r="GX55" s="346">
        <f t="shared" si="509"/>
        <v>165.40379583333333</v>
      </c>
      <c r="GY55" s="344" t="e">
        <f t="shared" si="510"/>
        <v>#VALUE!</v>
      </c>
      <c r="GZ55" s="345" t="e">
        <f t="shared" si="511"/>
        <v>#VALUE!</v>
      </c>
      <c r="HA55" s="342" t="e">
        <f t="shared" si="512"/>
        <v>#VALUE!</v>
      </c>
      <c r="HB55" s="5" t="e">
        <f t="shared" si="231"/>
        <v>#VALUE!</v>
      </c>
      <c r="HC55" s="343" t="e">
        <f t="shared" si="232"/>
        <v>#VALUE!</v>
      </c>
      <c r="HD55" s="363" t="e">
        <f t="shared" si="233"/>
        <v>#VALUE!</v>
      </c>
      <c r="HE55" s="344" t="e">
        <f t="shared" si="513"/>
        <v>#VALUE!</v>
      </c>
      <c r="HF55" s="5" t="e">
        <f t="shared" si="514"/>
        <v>#VALUE!</v>
      </c>
      <c r="HG55" s="343" t="e">
        <f t="shared" si="234"/>
        <v>#VALUE!</v>
      </c>
      <c r="HH55" s="349" t="e">
        <f t="shared" si="235"/>
        <v>#VALUE!</v>
      </c>
      <c r="HI55" s="317">
        <f t="shared" si="408"/>
        <v>4.1319999999999997</v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4.1319999999999997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257"/>
        <v>-0.78463320732195785</v>
      </c>
      <c r="C56" s="572">
        <f t="shared" si="258"/>
        <v>-4.5567539029285511</v>
      </c>
      <c r="D56" s="576">
        <f t="shared" si="259"/>
        <v>-2.4105072700899273</v>
      </c>
      <c r="E56" s="580">
        <f t="shared" si="260"/>
        <v>0.78895070551630109</v>
      </c>
      <c r="F56" s="572">
        <f t="shared" si="261"/>
        <v>-0.60581680402407412</v>
      </c>
      <c r="G56" s="579">
        <f t="shared" si="262"/>
        <v>0.10267806108116544</v>
      </c>
      <c r="H56" s="580">
        <f t="shared" si="263"/>
        <v>0.3125</v>
      </c>
      <c r="I56" s="572">
        <f t="shared" si="264"/>
        <v>0.52</v>
      </c>
      <c r="J56" s="483">
        <f t="shared" si="265"/>
        <v>4.1379999999999999</v>
      </c>
      <c r="K56" s="806">
        <f t="shared" si="266"/>
        <v>1613</v>
      </c>
      <c r="L56" s="309"/>
      <c r="M56" s="164">
        <f t="shared" si="267"/>
        <v>4.1379999999999999</v>
      </c>
      <c r="N56" s="575">
        <f t="shared" si="268"/>
        <v>-0.78463320732195785</v>
      </c>
      <c r="O56" s="572">
        <f t="shared" si="269"/>
        <v>-4.5567539029285511</v>
      </c>
      <c r="P56" s="576">
        <f t="shared" si="270"/>
        <v>-2.4105072700899273</v>
      </c>
      <c r="Q56" s="528">
        <f t="shared" si="140"/>
        <v>260.22997542183248</v>
      </c>
      <c r="R56" s="572">
        <f t="shared" si="464"/>
        <v>4.6238139454228611</v>
      </c>
      <c r="S56" s="577">
        <f t="shared" si="465"/>
        <v>-2.4105072700899273</v>
      </c>
      <c r="T56" s="578">
        <f t="shared" si="466"/>
        <v>-4.5579807795366802</v>
      </c>
      <c r="U56" s="572">
        <f t="shared" si="467"/>
        <v>0.77747451100413334</v>
      </c>
      <c r="V56" s="579">
        <f t="shared" si="468"/>
        <v>-2.4105072700899273</v>
      </c>
      <c r="W56" s="528">
        <f t="shared" si="253"/>
        <v>170.3199754088381</v>
      </c>
      <c r="X56" s="572">
        <f t="shared" si="469"/>
        <v>4.6238139454228611</v>
      </c>
      <c r="Y56" s="573">
        <f t="shared" si="255"/>
        <v>-2.4105072700899273</v>
      </c>
      <c r="Z56" s="575">
        <f t="shared" si="271"/>
        <v>-0.78895070551630109</v>
      </c>
      <c r="AA56" s="572">
        <f t="shared" si="272"/>
        <v>0.60581680402407412</v>
      </c>
      <c r="AB56" s="572">
        <f t="shared" si="273"/>
        <v>-0.10267806108116544</v>
      </c>
      <c r="AC56" s="579">
        <f t="shared" si="470"/>
        <v>1</v>
      </c>
      <c r="AD56" s="580">
        <f t="shared" si="471"/>
        <v>-0.78895070551630109</v>
      </c>
      <c r="AE56" s="572">
        <f t="shared" si="472"/>
        <v>0.60581680402407412</v>
      </c>
      <c r="AF56" s="576">
        <f t="shared" si="473"/>
        <v>-0.10267806108116544</v>
      </c>
      <c r="AG56" s="545">
        <f t="shared" si="474"/>
        <v>80.380525312354791</v>
      </c>
      <c r="AH56" s="546">
        <f t="shared" si="475"/>
        <v>142.08756114158342</v>
      </c>
      <c r="AI56" s="528">
        <f t="shared" si="476"/>
        <v>-84.106593864734933</v>
      </c>
      <c r="AJ56" s="529">
        <f t="shared" si="477"/>
        <v>-127.51981598254248</v>
      </c>
      <c r="AK56" s="578">
        <f t="shared" si="478"/>
        <v>0.88031184572205712</v>
      </c>
      <c r="AL56" s="572">
        <f t="shared" si="479"/>
        <v>-0.46315037520662522</v>
      </c>
      <c r="AM56" s="577">
        <f t="shared" si="480"/>
        <v>-0.10267806108116544</v>
      </c>
      <c r="AN56" s="524">
        <f t="shared" si="481"/>
        <v>-77.499988810386057</v>
      </c>
      <c r="AO56" s="525">
        <f t="shared" ref="AO56:AO119" si="515">IF(ROUND(IF(M56="",0,DEGREES(ACOS(AK56))),4)=90,0,IF(M56="","",DEGREES(ACOS(AK56))))</f>
        <v>28.319995911098463</v>
      </c>
      <c r="AP56" s="528">
        <f t="shared" si="482"/>
        <v>-27.749791404374974</v>
      </c>
      <c r="AQ56" s="529">
        <f t="shared" si="274"/>
        <v>0.3286899300339679</v>
      </c>
      <c r="AS56" s="932">
        <f t="shared" si="461"/>
        <v>-189.6800245911619</v>
      </c>
      <c r="AT56" s="928">
        <f t="shared" si="275"/>
        <v>-2.3226507772296645</v>
      </c>
      <c r="AU56" s="418"/>
      <c r="AV56" s="164">
        <f t="shared" si="276"/>
        <v>4.1379999999999999</v>
      </c>
      <c r="AW56" s="797">
        <f>IFERROR(INDEX(MassProp!C$9:C$150,MATCH($M56,MassProp!$B$9:$B$150,0)),"")</f>
        <v>4.8780000000000001</v>
      </c>
      <c r="AX56" s="744">
        <f>IFERROR(INDEX(MassProp!D$9:D$150,MATCH($M56,MassProp!$B$9:$B$150,0)),"")</f>
        <v>-1.9872000000000001</v>
      </c>
      <c r="AY56" s="731">
        <f>IFERROR(INDEX(MassProp!E$9:E$150,MATCH($M56,MassProp!$B$9:$B$150,0)),"")</f>
        <v>5.3E-3</v>
      </c>
      <c r="AZ56" s="297">
        <f t="shared" si="144"/>
        <v>0.16244410471920032</v>
      </c>
      <c r="BA56" s="296">
        <f t="shared" si="278"/>
        <v>8.4896833041568556E-3</v>
      </c>
      <c r="BB56" s="177">
        <f t="shared" si="145"/>
        <v>0.16878411056299791</v>
      </c>
      <c r="BC56" s="9"/>
      <c r="BD56" s="5">
        <f t="shared" si="146"/>
        <v>4.8780000000000001</v>
      </c>
      <c r="BE56" s="6">
        <f t="shared" si="280"/>
        <v>-2.2417231595269294</v>
      </c>
      <c r="BF56" s="4">
        <f t="shared" si="281"/>
        <v>-0.78463320732195785</v>
      </c>
      <c r="BG56" s="5">
        <f t="shared" si="282"/>
        <v>-4.5567539029285511</v>
      </c>
      <c r="BH56" s="10">
        <f t="shared" si="283"/>
        <v>-2.4105072700899273</v>
      </c>
      <c r="BI56" s="9">
        <f t="shared" si="147"/>
        <v>-0.78463320732195785</v>
      </c>
      <c r="BJ56" s="5">
        <f t="shared" si="285"/>
        <v>-4.3896500283429862</v>
      </c>
      <c r="BK56" s="8">
        <f t="shared" si="286"/>
        <v>-1.4245679742412976</v>
      </c>
      <c r="BL56" s="173">
        <f t="shared" si="287"/>
        <v>-0.17017671230759923</v>
      </c>
      <c r="BM56" s="5">
        <f t="shared" si="288"/>
        <v>-3.7788963998725293</v>
      </c>
      <c r="BN56" s="6">
        <f t="shared" si="289"/>
        <v>-2.5423439898387166</v>
      </c>
      <c r="BO56" s="4">
        <f t="shared" si="148"/>
        <v>-0.78895070551630075</v>
      </c>
      <c r="BP56" s="5">
        <f t="shared" si="239"/>
        <v>0.60581680402407379</v>
      </c>
      <c r="BQ56" s="5">
        <f t="shared" si="149"/>
        <v>-0.10267806108116506</v>
      </c>
      <c r="BR56" s="6">
        <f t="shared" si="150"/>
        <v>1.8940149509933368</v>
      </c>
      <c r="BS56" s="4">
        <f t="shared" si="483"/>
        <v>0</v>
      </c>
      <c r="BT56" s="5">
        <f t="shared" si="483"/>
        <v>0</v>
      </c>
      <c r="BU56" s="10">
        <f t="shared" si="119"/>
        <v>-2.2417231595269294</v>
      </c>
      <c r="BV56" s="9">
        <f t="shared" si="120"/>
        <v>0</v>
      </c>
      <c r="BW56" s="5">
        <f t="shared" si="121"/>
        <v>1</v>
      </c>
      <c r="BX56" s="8">
        <f t="shared" si="122"/>
        <v>-2.2417231595269294</v>
      </c>
      <c r="BY56" s="173">
        <f t="shared" si="123"/>
        <v>1</v>
      </c>
      <c r="BZ56" s="5">
        <f t="shared" si="124"/>
        <v>0</v>
      </c>
      <c r="CA56" s="6">
        <f t="shared" si="125"/>
        <v>-2.2417231595269294</v>
      </c>
      <c r="CB56" s="4">
        <f t="shared" si="151"/>
        <v>0</v>
      </c>
      <c r="CC56" s="5">
        <f t="shared" si="152"/>
        <v>0</v>
      </c>
      <c r="CD56" s="5">
        <f t="shared" si="153"/>
        <v>-1</v>
      </c>
      <c r="CE56" s="6">
        <f t="shared" si="154"/>
        <v>-2.2417231595269294</v>
      </c>
      <c r="CF56" s="4">
        <f t="shared" si="155"/>
        <v>-0.60581680402407379</v>
      </c>
      <c r="CG56" s="5">
        <f t="shared" si="156"/>
        <v>-0.78895070551630075</v>
      </c>
      <c r="CH56" s="5">
        <f t="shared" si="157"/>
        <v>0</v>
      </c>
      <c r="CI56" s="4">
        <f t="shared" si="126"/>
        <v>0</v>
      </c>
      <c r="CJ56" s="5">
        <f t="shared" si="127"/>
        <v>-3.5063252197439785</v>
      </c>
      <c r="CK56" s="8">
        <f t="shared" si="128"/>
        <v>-2.2417231595269294</v>
      </c>
      <c r="CL56" s="173">
        <f t="shared" si="129"/>
        <v>-0.60581680402407379</v>
      </c>
      <c r="CM56" s="5">
        <f t="shared" si="130"/>
        <v>-4.2952759252602792</v>
      </c>
      <c r="CN56" s="6">
        <f t="shared" si="131"/>
        <v>-2.2417231595269294</v>
      </c>
      <c r="CO56" s="167">
        <f t="shared" si="305"/>
        <v>0.3125</v>
      </c>
      <c r="CP56" s="4">
        <f t="shared" si="240"/>
        <v>0.98945721577261181</v>
      </c>
      <c r="CQ56" s="5">
        <f t="shared" si="241"/>
        <v>-2.6081608653679487</v>
      </c>
      <c r="CR56" s="5">
        <f t="shared" si="158"/>
        <v>1.6498815144677579</v>
      </c>
      <c r="CS56" s="8">
        <f t="shared" si="159"/>
        <v>0.27255442099701543</v>
      </c>
      <c r="CT56" s="9">
        <f t="shared" si="160"/>
        <v>1.5817906343875667</v>
      </c>
      <c r="CU56" s="6">
        <f t="shared" si="161"/>
        <v>1.0541604949711512</v>
      </c>
      <c r="CV56" s="4">
        <f t="shared" si="242"/>
        <v>-0.9582753467598879</v>
      </c>
      <c r="CW56" s="5">
        <f t="shared" si="162"/>
        <v>-4.7542800567231263</v>
      </c>
      <c r="CX56" s="8">
        <f t="shared" si="163"/>
        <v>-2.2417231595269294</v>
      </c>
      <c r="CY56" s="9">
        <f t="shared" si="164"/>
        <v>-0.63862814199185847</v>
      </c>
      <c r="CZ56" s="5">
        <f t="shared" si="165"/>
        <v>-4.3380058859788813</v>
      </c>
      <c r="DA56" s="6">
        <f t="shared" si="166"/>
        <v>-2.2417231595269294</v>
      </c>
      <c r="DB56" s="4">
        <f t="shared" si="484"/>
        <v>0</v>
      </c>
      <c r="DC56" s="5">
        <f t="shared" si="484"/>
        <v>0</v>
      </c>
      <c r="DD56" s="10">
        <f t="shared" si="168"/>
        <v>-10</v>
      </c>
      <c r="DE56" s="9">
        <f t="shared" si="485"/>
        <v>0</v>
      </c>
      <c r="DF56" s="5">
        <f t="shared" si="485"/>
        <v>0</v>
      </c>
      <c r="DG56" s="10">
        <f t="shared" si="170"/>
        <v>10</v>
      </c>
      <c r="DH56" s="70">
        <f t="shared" si="171"/>
        <v>4.8780000000000001</v>
      </c>
      <c r="DI56" s="4">
        <f t="shared" si="172"/>
        <v>0</v>
      </c>
      <c r="DJ56" s="5">
        <f t="shared" si="173"/>
        <v>0</v>
      </c>
      <c r="DK56" s="10">
        <f t="shared" si="174"/>
        <v>20</v>
      </c>
      <c r="DL56" s="9">
        <f t="shared" si="175"/>
        <v>-0.9582753467598879</v>
      </c>
      <c r="DM56" s="173">
        <f t="shared" si="176"/>
        <v>-4.7542800567231263</v>
      </c>
      <c r="DN56" s="178">
        <f t="shared" si="177"/>
        <v>7.7582768404730711</v>
      </c>
      <c r="DO56" s="9">
        <f t="shared" si="178"/>
        <v>0.31964720476802944</v>
      </c>
      <c r="DP56" s="173">
        <f t="shared" si="179"/>
        <v>0.416274170744245</v>
      </c>
      <c r="DQ56" s="11">
        <f t="shared" si="180"/>
        <v>0</v>
      </c>
      <c r="DR56" s="173">
        <f t="shared" si="181"/>
        <v>155.16553680946143</v>
      </c>
      <c r="DS56" s="5">
        <f t="shared" si="182"/>
        <v>0</v>
      </c>
      <c r="DT56" s="5">
        <f t="shared" si="183"/>
        <v>400</v>
      </c>
      <c r="DU56" s="5">
        <f t="shared" si="184"/>
        <v>0.27545852074482335</v>
      </c>
      <c r="DV56" s="5">
        <f t="shared" si="185"/>
        <v>-2.2853940240882338</v>
      </c>
      <c r="DW56" s="5">
        <f t="shared" si="186"/>
        <v>83.712330031383857</v>
      </c>
      <c r="DX56" s="167">
        <f t="shared" si="187"/>
        <v>59.917446031383861</v>
      </c>
      <c r="DY56" s="9">
        <f t="shared" si="188"/>
        <v>110.18340829792935</v>
      </c>
      <c r="DZ56" s="5">
        <f t="shared" si="189"/>
        <v>-914.15760963529351</v>
      </c>
      <c r="EA56" s="10">
        <f t="shared" si="190"/>
        <v>-109.36540081478597</v>
      </c>
      <c r="EB56" s="6">
        <f t="shared" si="191"/>
        <v>847734.38786575594</v>
      </c>
      <c r="EC56" s="173">
        <f t="shared" si="192"/>
        <v>16.652983994320426</v>
      </c>
      <c r="ED56" s="5">
        <f t="shared" si="193"/>
        <v>-5.9603488909556648E-2</v>
      </c>
      <c r="EE56" s="4">
        <f t="shared" si="194"/>
        <v>4.3648044380713698</v>
      </c>
      <c r="EF56" s="5">
        <f t="shared" si="195"/>
        <v>2.1779270459297937</v>
      </c>
      <c r="EG56" s="10">
        <f t="shared" si="196"/>
        <v>-2.2417231595269294</v>
      </c>
      <c r="EH56" s="9">
        <f t="shared" si="197"/>
        <v>-0.97732743538424993</v>
      </c>
      <c r="EI56" s="5">
        <f t="shared" si="198"/>
        <v>-4.7790914496424159</v>
      </c>
      <c r="EJ56" s="6">
        <f t="shared" si="199"/>
        <v>-2.2417231595269294</v>
      </c>
      <c r="EK56" s="236" t="b">
        <f t="shared" si="200"/>
        <v>0</v>
      </c>
      <c r="EL56" s="238" t="b">
        <f t="shared" si="201"/>
        <v>0</v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e">
        <f t="shared" si="205"/>
        <v>#VALUE!</v>
      </c>
      <c r="EQ56" s="5" t="e">
        <f t="shared" si="206"/>
        <v>#VALUE!</v>
      </c>
      <c r="ER56" s="7" t="str">
        <f t="shared" si="207"/>
        <v/>
      </c>
      <c r="ES56" s="21">
        <f t="shared" si="352"/>
        <v>-0.78895070551630109</v>
      </c>
      <c r="ET56" s="5">
        <f t="shared" si="353"/>
        <v>0.60581680402407412</v>
      </c>
      <c r="EU56" s="10">
        <f t="shared" si="354"/>
        <v>-0.10267806108116544</v>
      </c>
      <c r="EV56" s="174" t="e">
        <f t="shared" si="486"/>
        <v>#VALUE!</v>
      </c>
      <c r="EW56" s="9" t="e">
        <f t="shared" si="487"/>
        <v>#VALUE!</v>
      </c>
      <c r="EX56" s="5" t="e">
        <f t="shared" si="488"/>
        <v>#VALUE!</v>
      </c>
      <c r="EY56" s="6">
        <f t="shared" si="208"/>
        <v>-0.10267806108116544</v>
      </c>
      <c r="EZ56" s="51" t="e">
        <f t="shared" si="209"/>
        <v>#VALUE!</v>
      </c>
      <c r="FA56" s="173" t="e">
        <f t="shared" si="489"/>
        <v>#VALUE!</v>
      </c>
      <c r="FB56" s="5" t="e">
        <f t="shared" si="490"/>
        <v>#VALUE!</v>
      </c>
      <c r="FC56" s="6" t="e">
        <f t="shared" si="491"/>
        <v>#VALUE!</v>
      </c>
      <c r="FD56" s="4" t="e">
        <f t="shared" si="492"/>
        <v>#VALUE!</v>
      </c>
      <c r="FE56" s="5" t="e">
        <f t="shared" si="493"/>
        <v>#VALUE!</v>
      </c>
      <c r="FF56" s="7" t="e">
        <f t="shared" si="210"/>
        <v>#VALUE!</v>
      </c>
      <c r="FG56" s="173" t="e">
        <f t="shared" si="494"/>
        <v>#VALUE!</v>
      </c>
      <c r="FH56" s="5" t="e">
        <f t="shared" si="495"/>
        <v>#VALUE!</v>
      </c>
      <c r="FI56" s="10" t="e">
        <f t="shared" si="496"/>
        <v>#VALUE!</v>
      </c>
      <c r="FJ56" s="279" t="e">
        <f t="shared" si="212"/>
        <v>#VALUE!</v>
      </c>
      <c r="FK56" s="4">
        <f t="shared" si="497"/>
        <v>0.99471464037311363</v>
      </c>
      <c r="FL56" s="5" t="e">
        <f t="shared" si="213"/>
        <v>#VALUE!</v>
      </c>
      <c r="FM56" s="8" t="e">
        <f t="shared" si="214"/>
        <v>#VALUE!</v>
      </c>
      <c r="FN56" s="9" t="e">
        <f t="shared" si="215"/>
        <v>#VALUE!</v>
      </c>
      <c r="FO56" s="10" t="e">
        <f t="shared" si="498"/>
        <v>#VALUE!</v>
      </c>
      <c r="FP56" s="277" t="e">
        <f t="shared" si="499"/>
        <v>#VALUE!</v>
      </c>
      <c r="FQ56" s="173" t="e">
        <f t="shared" si="243"/>
        <v>#VALUE!</v>
      </c>
      <c r="FR56" s="10" t="e">
        <f t="shared" si="216"/>
        <v>#VALUE!</v>
      </c>
      <c r="FS56" s="9" t="e">
        <f t="shared" si="217"/>
        <v>#VALUE!</v>
      </c>
      <c r="FT56" s="6" t="e">
        <f t="shared" si="218"/>
        <v>#VALUE!</v>
      </c>
      <c r="FU56" s="4" t="e">
        <f t="shared" si="219"/>
        <v>#VALUE!</v>
      </c>
      <c r="FV56" s="5" t="e">
        <f t="shared" si="220"/>
        <v>#VALUE!</v>
      </c>
      <c r="FW56" s="8" t="e">
        <f t="shared" si="244"/>
        <v>#VALUE!</v>
      </c>
      <c r="FX56" s="9" t="e">
        <f t="shared" si="245"/>
        <v>#VALUE!</v>
      </c>
      <c r="FY56" s="10" t="e">
        <f t="shared" si="500"/>
        <v>#VALUE!</v>
      </c>
      <c r="FZ56" s="277" t="e">
        <f t="shared" si="246"/>
        <v>#VALUE!</v>
      </c>
      <c r="GA56" s="177" t="e">
        <f t="shared" si="221"/>
        <v>#VALUE!</v>
      </c>
      <c r="GB56" s="4" t="e">
        <f t="shared" si="222"/>
        <v>#VALUE!</v>
      </c>
      <c r="GC56" s="5" t="e">
        <f t="shared" si="223"/>
        <v>#VALUE!</v>
      </c>
      <c r="GD56" s="10" t="e">
        <f t="shared" si="224"/>
        <v>#VALUE!</v>
      </c>
      <c r="GE56" s="311" t="e">
        <f t="shared" si="225"/>
        <v>#VALUE!</v>
      </c>
      <c r="GF56" s="341" t="e">
        <f t="shared" si="247"/>
        <v>#VALUE!</v>
      </c>
      <c r="GG56" s="285" t="e">
        <f t="shared" si="501"/>
        <v>#VALUE!</v>
      </c>
      <c r="GH56" s="286" t="e">
        <f t="shared" si="502"/>
        <v>#VALUE!</v>
      </c>
      <c r="GI56" s="281" t="e">
        <f t="shared" si="503"/>
        <v>#VALUE!</v>
      </c>
      <c r="GJ56" s="167">
        <f t="shared" si="226"/>
        <v>4.8780000000000001</v>
      </c>
      <c r="GK56" s="174">
        <f t="shared" si="504"/>
        <v>2.554152589924533</v>
      </c>
      <c r="GL56" s="174">
        <f t="shared" si="227"/>
        <v>5.3E-3</v>
      </c>
      <c r="GM56" s="177">
        <f t="shared" si="248"/>
        <v>0.16244410471920032</v>
      </c>
      <c r="GN56" s="280">
        <f t="shared" si="228"/>
        <v>8.4896833041568556E-3</v>
      </c>
      <c r="GO56" s="4" t="e">
        <f t="shared" si="229"/>
        <v>#VALUE!</v>
      </c>
      <c r="GP56" s="8" t="e">
        <f t="shared" si="249"/>
        <v>#VALUE!</v>
      </c>
      <c r="GQ56" s="177" t="e">
        <f t="shared" si="230"/>
        <v>#VALUE!</v>
      </c>
      <c r="GR56" s="371" t="e">
        <f t="shared" si="250"/>
        <v>#VALUE!</v>
      </c>
      <c r="GS56" s="342" t="e">
        <f t="shared" si="505"/>
        <v>#VALUE!</v>
      </c>
      <c r="GT56" s="343" t="e">
        <f t="shared" si="506"/>
        <v>#VALUE!</v>
      </c>
      <c r="GU56" s="344">
        <f t="shared" si="507"/>
        <v>399.3417574347007</v>
      </c>
      <c r="GV56" s="343">
        <f t="shared" si="252"/>
        <v>156.35</v>
      </c>
      <c r="GW56" s="345">
        <f t="shared" si="508"/>
        <v>29500</v>
      </c>
      <c r="GX56" s="346">
        <f t="shared" si="509"/>
        <v>63.556274999999999</v>
      </c>
      <c r="GY56" s="344" t="e">
        <f t="shared" si="510"/>
        <v>#VALUE!</v>
      </c>
      <c r="GZ56" s="345" t="e">
        <f t="shared" si="511"/>
        <v>#VALUE!</v>
      </c>
      <c r="HA56" s="342" t="e">
        <f t="shared" si="512"/>
        <v>#VALUE!</v>
      </c>
      <c r="HB56" s="5" t="e">
        <f t="shared" si="231"/>
        <v>#VALUE!</v>
      </c>
      <c r="HC56" s="343" t="e">
        <f t="shared" si="232"/>
        <v>#VALUE!</v>
      </c>
      <c r="HD56" s="363" t="e">
        <f t="shared" si="233"/>
        <v>#VALUE!</v>
      </c>
      <c r="HE56" s="344" t="e">
        <f t="shared" si="513"/>
        <v>#VALUE!</v>
      </c>
      <c r="HF56" s="5" t="e">
        <f t="shared" si="514"/>
        <v>#VALUE!</v>
      </c>
      <c r="HG56" s="343" t="e">
        <f t="shared" si="234"/>
        <v>#VALUE!</v>
      </c>
      <c r="HH56" s="349" t="e">
        <f t="shared" si="235"/>
        <v>#VALUE!</v>
      </c>
      <c r="HI56" s="317">
        <f t="shared" si="408"/>
        <v>4.1379999999999999</v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4.1379999999999999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</v>
      </c>
      <c r="B57" s="578">
        <f t="shared" si="257"/>
        <v>-0.80580314477058923</v>
      </c>
      <c r="C57" s="572">
        <f t="shared" si="258"/>
        <v>-4.6217947063708351</v>
      </c>
      <c r="D57" s="576">
        <f t="shared" si="259"/>
        <v>-3.2161096997868555</v>
      </c>
      <c r="E57" s="580">
        <f t="shared" si="260"/>
        <v>0.76760366407699554</v>
      </c>
      <c r="F57" s="572">
        <f t="shared" si="261"/>
        <v>-0.63944161204972905</v>
      </c>
      <c r="G57" s="579">
        <f t="shared" si="262"/>
        <v>4.3577972357774906E-2</v>
      </c>
      <c r="H57" s="580">
        <f t="shared" si="263"/>
        <v>0.3125</v>
      </c>
      <c r="I57" s="572">
        <f t="shared" si="264"/>
        <v>0.52</v>
      </c>
      <c r="J57" s="483">
        <f t="shared" si="265"/>
        <v>4.1440000000000001</v>
      </c>
      <c r="K57" s="806">
        <f t="shared" si="266"/>
        <v>1613</v>
      </c>
      <c r="L57" s="309"/>
      <c r="M57" s="164">
        <f t="shared" si="267"/>
        <v>4.1440000000000001</v>
      </c>
      <c r="N57" s="575">
        <f t="shared" si="268"/>
        <v>-0.80580314477058923</v>
      </c>
      <c r="O57" s="572">
        <f t="shared" si="269"/>
        <v>-4.6217947063708351</v>
      </c>
      <c r="P57" s="576">
        <f t="shared" si="270"/>
        <v>-3.2161096997868555</v>
      </c>
      <c r="Q57" s="528">
        <f t="shared" si="140"/>
        <v>260.10997543915835</v>
      </c>
      <c r="R57" s="572">
        <f t="shared" si="464"/>
        <v>4.6915141496066752</v>
      </c>
      <c r="S57" s="577">
        <f t="shared" si="465"/>
        <v>-3.2161096997868555</v>
      </c>
      <c r="T57" s="578">
        <f t="shared" si="466"/>
        <v>-4.623054756379636</v>
      </c>
      <c r="U57" s="572">
        <f t="shared" si="467"/>
        <v>0.79854225653703914</v>
      </c>
      <c r="V57" s="579">
        <f t="shared" si="468"/>
        <v>-3.2161096997868555</v>
      </c>
      <c r="W57" s="528">
        <f t="shared" si="253"/>
        <v>170.19997542616397</v>
      </c>
      <c r="X57" s="572">
        <f t="shared" si="469"/>
        <v>4.6915141496066752</v>
      </c>
      <c r="Y57" s="573">
        <f t="shared" si="255"/>
        <v>-3.2161096997868555</v>
      </c>
      <c r="Z57" s="575">
        <f t="shared" si="271"/>
        <v>-0.76760366407699554</v>
      </c>
      <c r="AA57" s="572">
        <f t="shared" si="272"/>
        <v>0.63944161204972905</v>
      </c>
      <c r="AB57" s="572">
        <f t="shared" si="273"/>
        <v>-4.3577972357774906E-2</v>
      </c>
      <c r="AC57" s="579">
        <f t="shared" si="470"/>
        <v>1</v>
      </c>
      <c r="AD57" s="580">
        <f t="shared" si="471"/>
        <v>-0.76760366407699554</v>
      </c>
      <c r="AE57" s="572">
        <f t="shared" si="472"/>
        <v>0.63944161204972905</v>
      </c>
      <c r="AF57" s="576">
        <f t="shared" si="473"/>
        <v>-4.3577972357774906E-2</v>
      </c>
      <c r="AG57" s="545">
        <f t="shared" si="474"/>
        <v>86.101318510176952</v>
      </c>
      <c r="AH57" s="546">
        <f t="shared" si="475"/>
        <v>140.13918496817001</v>
      </c>
      <c r="AI57" s="528">
        <f t="shared" si="476"/>
        <v>-87.502375163624507</v>
      </c>
      <c r="AJ57" s="529">
        <f t="shared" si="477"/>
        <v>-129.79552117989397</v>
      </c>
      <c r="AK57" s="578">
        <f t="shared" si="478"/>
        <v>0.86602544158358552</v>
      </c>
      <c r="AL57" s="572">
        <f t="shared" si="479"/>
        <v>-0.49809727449077734</v>
      </c>
      <c r="AM57" s="577">
        <f t="shared" si="480"/>
        <v>-4.3577972357774906E-2</v>
      </c>
      <c r="AN57" s="524">
        <f t="shared" si="481"/>
        <v>-84.999987727520178</v>
      </c>
      <c r="AO57" s="525">
        <f t="shared" si="515"/>
        <v>29.999995668536549</v>
      </c>
      <c r="AP57" s="528">
        <f t="shared" si="482"/>
        <v>-29.905496619052322</v>
      </c>
      <c r="AQ57" s="529">
        <f t="shared" si="274"/>
        <v>0.32394692021455668</v>
      </c>
      <c r="AS57" s="932">
        <f t="shared" si="461"/>
        <v>-189.80002457383603</v>
      </c>
      <c r="AT57" s="928">
        <f t="shared" si="275"/>
        <v>-3.1281976513790584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4.1440000000000001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</v>
      </c>
      <c r="B58" s="578">
        <f t="shared" si="257"/>
        <v>-1.3116575684967327</v>
      </c>
      <c r="C58" s="572">
        <f t="shared" si="258"/>
        <v>-3.2714744799997422</v>
      </c>
      <c r="D58" s="576">
        <f t="shared" si="259"/>
        <v>-0.51318490355343716</v>
      </c>
      <c r="E58" s="580">
        <f t="shared" si="260"/>
        <v>0.77396673816292227</v>
      </c>
      <c r="F58" s="572">
        <f t="shared" si="261"/>
        <v>-0.53872759995394481</v>
      </c>
      <c r="G58" s="579">
        <f t="shared" si="262"/>
        <v>0.33278831299387485</v>
      </c>
      <c r="H58" s="580">
        <f t="shared" si="263"/>
        <v>0.26450000000000001</v>
      </c>
      <c r="I58" s="572">
        <f t="shared" si="264"/>
        <v>0.52</v>
      </c>
      <c r="J58" s="483">
        <f t="shared" si="265"/>
        <v>4.22</v>
      </c>
      <c r="K58" s="806">
        <f t="shared" si="266"/>
        <v>1313</v>
      </c>
      <c r="L58" s="309"/>
      <c r="M58" s="164">
        <f t="shared" si="267"/>
        <v>4.22</v>
      </c>
      <c r="N58" s="575">
        <f t="shared" si="268"/>
        <v>-1.3116575684967327</v>
      </c>
      <c r="O58" s="572">
        <f t="shared" si="269"/>
        <v>-3.2714744799997422</v>
      </c>
      <c r="P58" s="576">
        <f t="shared" si="270"/>
        <v>-0.51318490355343716</v>
      </c>
      <c r="Q58" s="528">
        <f t="shared" si="140"/>
        <v>248.15228802667249</v>
      </c>
      <c r="R58" s="572">
        <f t="shared" si="464"/>
        <v>3.5246263419381556</v>
      </c>
      <c r="S58" s="577">
        <f t="shared" si="465"/>
        <v>-0.51318490355343716</v>
      </c>
      <c r="T58" s="578">
        <f t="shared" si="466"/>
        <v>-3.2735307897277184</v>
      </c>
      <c r="U58" s="572">
        <f t="shared" si="467"/>
        <v>1.3065171330636907</v>
      </c>
      <c r="V58" s="579">
        <f t="shared" si="468"/>
        <v>-0.51318490355343716</v>
      </c>
      <c r="W58" s="528">
        <f t="shared" si="253"/>
        <v>158.24228801367809</v>
      </c>
      <c r="X58" s="572">
        <f t="shared" si="469"/>
        <v>3.5246263419381556</v>
      </c>
      <c r="Y58" s="573">
        <f t="shared" si="255"/>
        <v>-0.51318490355343716</v>
      </c>
      <c r="Z58" s="575">
        <f t="shared" si="271"/>
        <v>-0.77396673816292227</v>
      </c>
      <c r="AA58" s="572">
        <f t="shared" si="272"/>
        <v>0.53872759995394481</v>
      </c>
      <c r="AB58" s="572">
        <f t="shared" si="273"/>
        <v>-0.33278831299387485</v>
      </c>
      <c r="AC58" s="579">
        <f t="shared" si="470"/>
        <v>1</v>
      </c>
      <c r="AD58" s="580">
        <f t="shared" si="471"/>
        <v>-0.77396673816292227</v>
      </c>
      <c r="AE58" s="572">
        <f t="shared" si="472"/>
        <v>0.53872759995394481</v>
      </c>
      <c r="AF58" s="576">
        <f t="shared" si="473"/>
        <v>-0.33278831299387485</v>
      </c>
      <c r="AG58" s="545">
        <f t="shared" si="474"/>
        <v>58.295121885060489</v>
      </c>
      <c r="AH58" s="546">
        <f t="shared" si="475"/>
        <v>140.71144718866796</v>
      </c>
      <c r="AI58" s="528">
        <f t="shared" si="476"/>
        <v>-70.561897605839704</v>
      </c>
      <c r="AJ58" s="529">
        <f t="shared" si="477"/>
        <v>-124.84024820074153</v>
      </c>
      <c r="AK58" s="578">
        <f t="shared" si="478"/>
        <v>0.91886011506269938</v>
      </c>
      <c r="AL58" s="572">
        <f t="shared" si="479"/>
        <v>-0.21200949903637323</v>
      </c>
      <c r="AM58" s="577">
        <f t="shared" si="480"/>
        <v>-0.33278831299387485</v>
      </c>
      <c r="AN58" s="524">
        <f t="shared" si="481"/>
        <v>-32.499995307581187</v>
      </c>
      <c r="AO58" s="525">
        <f t="shared" si="515"/>
        <v>23.239996644559596</v>
      </c>
      <c r="AP58" s="528">
        <f t="shared" si="482"/>
        <v>-12.99253622741398</v>
      </c>
      <c r="AQ58" s="529">
        <f t="shared" si="274"/>
        <v>0.43119154054348457</v>
      </c>
      <c r="AS58" s="932">
        <f t="shared" si="461"/>
        <v>-201.75771198632191</v>
      </c>
      <c r="AT58" s="928">
        <f t="shared" si="275"/>
        <v>-0.4197368887509707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4.22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4.12</v>
      </c>
      <c r="IK58" s="677" cm="1">
        <f t="array" ref="IK58">IFERROR(ROUND(VALUE(IF($IJ58&lt;1,$IJ58+LARGE((IF($M$9:$M$150="",0,$M$9:$M$150)-MOD(IF($M$9:$M$150="",0,$M$9:$M$150),1)),1),$IJ58)),4),"")</f>
        <v>4.12</v>
      </c>
      <c r="IL58" s="482">
        <f t="shared" si="426"/>
        <v>1613</v>
      </c>
      <c r="IM58" s="482">
        <f t="shared" si="237"/>
        <v>1313</v>
      </c>
      <c r="IN58" s="670">
        <f t="shared" si="427"/>
        <v>13.73768715548573</v>
      </c>
      <c r="IO58" s="702"/>
      <c r="IP58" s="5">
        <f t="shared" si="428"/>
        <v>0</v>
      </c>
      <c r="IQ58" s="714"/>
      <c r="IR58" s="9">
        <f t="shared" si="429"/>
        <v>-3.5056105729214884</v>
      </c>
      <c r="IS58" s="5">
        <f t="shared" si="430"/>
        <v>-0.53540161477127024</v>
      </c>
      <c r="IT58" s="5">
        <f t="shared" si="431"/>
        <v>0.3125</v>
      </c>
      <c r="IU58" s="5">
        <f t="shared" si="432"/>
        <v>0.29679805734957332</v>
      </c>
      <c r="IV58" s="670">
        <f t="shared" si="433"/>
        <v>32.499995307581308</v>
      </c>
      <c r="IW58" s="9">
        <f t="shared" si="434"/>
        <v>-3.5246263419381556</v>
      </c>
      <c r="IX58" s="5">
        <f t="shared" si="435"/>
        <v>-0.51318490355343716</v>
      </c>
      <c r="IY58" s="5">
        <f t="shared" si="436"/>
        <v>0.26450000000000001</v>
      </c>
      <c r="IZ58" s="5">
        <f t="shared" si="437"/>
        <v>0.24303850043408401</v>
      </c>
      <c r="JA58" s="705">
        <f t="shared" si="438"/>
        <v>32.499995307581187</v>
      </c>
    </row>
    <row r="59" spans="1:261" ht="15" customHeight="1" x14ac:dyDescent="0.25">
      <c r="A59" s="75">
        <f t="shared" si="256"/>
        <v>0</v>
      </c>
      <c r="B59" s="578">
        <f t="shared" si="257"/>
        <v>-1.4442589922699487</v>
      </c>
      <c r="C59" s="572">
        <f t="shared" si="258"/>
        <v>-3.8159226240781763</v>
      </c>
      <c r="D59" s="576">
        <f t="shared" si="259"/>
        <v>-1.0256060665364233</v>
      </c>
      <c r="E59" s="580">
        <f t="shared" si="260"/>
        <v>0.71940562764001514</v>
      </c>
      <c r="F59" s="572">
        <f t="shared" si="261"/>
        <v>-0.62525858024008674</v>
      </c>
      <c r="G59" s="579">
        <f t="shared" si="262"/>
        <v>0.30250165413767105</v>
      </c>
      <c r="H59" s="580">
        <f t="shared" si="263"/>
        <v>0.26450000000000001</v>
      </c>
      <c r="I59" s="572">
        <f t="shared" si="264"/>
        <v>0.52</v>
      </c>
      <c r="J59" s="483">
        <f t="shared" si="265"/>
        <v>4.226</v>
      </c>
      <c r="K59" s="806">
        <f t="shared" si="266"/>
        <v>1313</v>
      </c>
      <c r="L59" s="309"/>
      <c r="M59" s="164">
        <f t="shared" si="267"/>
        <v>4.226</v>
      </c>
      <c r="N59" s="575">
        <f t="shared" si="268"/>
        <v>-1.4442589922699487</v>
      </c>
      <c r="O59" s="572">
        <f t="shared" si="269"/>
        <v>-3.8159226240781763</v>
      </c>
      <c r="P59" s="576">
        <f t="shared" si="270"/>
        <v>-1.0256060665364233</v>
      </c>
      <c r="Q59" s="528">
        <f t="shared" si="140"/>
        <v>249.26923510621273</v>
      </c>
      <c r="R59" s="572">
        <f t="shared" si="101"/>
        <v>4.0800918506455561</v>
      </c>
      <c r="S59" s="577">
        <f t="shared" si="102"/>
        <v>-1.0256060665364233</v>
      </c>
      <c r="T59" s="578">
        <f t="shared" si="103"/>
        <v>-3.8181865518341711</v>
      </c>
      <c r="U59" s="572">
        <f t="shared" si="104"/>
        <v>1.438263176576861</v>
      </c>
      <c r="V59" s="579">
        <f t="shared" si="141"/>
        <v>-1.0256060665364233</v>
      </c>
      <c r="W59" s="528">
        <f t="shared" si="253"/>
        <v>159.35923509321833</v>
      </c>
      <c r="X59" s="572">
        <f t="shared" si="105"/>
        <v>4.0800918506455561</v>
      </c>
      <c r="Y59" s="573">
        <f t="shared" si="255"/>
        <v>-1.0256060665364233</v>
      </c>
      <c r="Z59" s="575">
        <f t="shared" si="271"/>
        <v>-0.71940562764001514</v>
      </c>
      <c r="AA59" s="572">
        <f t="shared" si="272"/>
        <v>0.62525858024008674</v>
      </c>
      <c r="AB59" s="572">
        <f t="shared" si="273"/>
        <v>-0.30250165413767105</v>
      </c>
      <c r="AC59" s="579">
        <f t="shared" si="106"/>
        <v>1</v>
      </c>
      <c r="AD59" s="580">
        <f t="shared" si="142"/>
        <v>-0.71940562764001514</v>
      </c>
      <c r="AE59" s="572">
        <f t="shared" si="107"/>
        <v>0.62525858024008674</v>
      </c>
      <c r="AF59" s="576">
        <f t="shared" si="108"/>
        <v>-0.30250165413767105</v>
      </c>
      <c r="AG59" s="545">
        <f t="shared" si="109"/>
        <v>64.182187547117863</v>
      </c>
      <c r="AH59" s="546">
        <f t="shared" si="110"/>
        <v>136.00542973608637</v>
      </c>
      <c r="AI59" s="528">
        <f t="shared" si="111"/>
        <v>-72.392079599818928</v>
      </c>
      <c r="AJ59" s="529">
        <f t="shared" si="112"/>
        <v>-130.99495557914778</v>
      </c>
      <c r="AK59" s="578">
        <f t="shared" si="238"/>
        <v>0.89415426685287835</v>
      </c>
      <c r="AL59" s="572">
        <f t="shared" si="113"/>
        <v>-0.33012254741650826</v>
      </c>
      <c r="AM59" s="577">
        <f t="shared" si="114"/>
        <v>-0.30250165413767105</v>
      </c>
      <c r="AN59" s="524">
        <f t="shared" si="115"/>
        <v>-47.49999314184948</v>
      </c>
      <c r="AO59" s="525">
        <f t="shared" si="515"/>
        <v>26.59999615943568</v>
      </c>
      <c r="AP59" s="528">
        <f t="shared" si="117"/>
        <v>-20.264190685360497</v>
      </c>
      <c r="AQ59" s="529">
        <f t="shared" si="274"/>
        <v>0.37249071792338845</v>
      </c>
      <c r="AS59" s="932">
        <f t="shared" si="461"/>
        <v>-200.64076490678167</v>
      </c>
      <c r="AT59" s="928">
        <f t="shared" si="275"/>
        <v>-0.93267515686337366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4.226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4.1260000000000003</v>
      </c>
      <c r="IK59" s="677" cm="1">
        <f t="array" ref="IK59">IFERROR(ROUND(VALUE(IF($IJ59&lt;1,$IJ59+LARGE((IF($M$9:$M$150="",0,$M$9:$M$150)-MOD(IF($M$9:$M$150="",0,$M$9:$M$150),1)),1),$IJ59)),4),"")</f>
        <v>4.1260000000000003</v>
      </c>
      <c r="IL59" s="482">
        <f t="shared" si="426"/>
        <v>1613</v>
      </c>
      <c r="IM59" s="482">
        <f t="shared" si="237"/>
        <v>1313</v>
      </c>
      <c r="IN59" s="670">
        <f t="shared" si="427"/>
        <v>11.850740187119698</v>
      </c>
      <c r="IO59" s="702"/>
      <c r="IP59" s="5">
        <f t="shared" si="428"/>
        <v>0</v>
      </c>
      <c r="IQ59" s="714"/>
      <c r="IR59" s="9">
        <f t="shared" si="429"/>
        <v>-4.0538122262976746</v>
      </c>
      <c r="IS59" s="5">
        <f t="shared" si="430"/>
        <v>-1.0431031459990878</v>
      </c>
      <c r="IT59" s="5">
        <f t="shared" si="431"/>
        <v>0.3125</v>
      </c>
      <c r="IU59" s="5">
        <f t="shared" si="432"/>
        <v>0.29055515810173588</v>
      </c>
      <c r="IV59" s="670">
        <f t="shared" si="433"/>
        <v>47.499993141849522</v>
      </c>
      <c r="IW59" s="9">
        <f t="shared" si="434"/>
        <v>-4.0800918506455561</v>
      </c>
      <c r="IX59" s="5">
        <f t="shared" si="435"/>
        <v>-1.0256060665364233</v>
      </c>
      <c r="IY59" s="5">
        <f t="shared" si="436"/>
        <v>0.26450000000000001</v>
      </c>
      <c r="IZ59" s="5">
        <f t="shared" si="437"/>
        <v>0.23650380358258632</v>
      </c>
      <c r="JA59" s="705">
        <f t="shared" si="438"/>
        <v>47.49999314184948</v>
      </c>
    </row>
    <row r="60" spans="1:261" ht="15" customHeight="1" x14ac:dyDescent="0.25">
      <c r="A60" s="75">
        <f t="shared" si="256"/>
        <v>0</v>
      </c>
      <c r="B60" s="578">
        <f t="shared" si="257"/>
        <v>-1.9864174135261352</v>
      </c>
      <c r="C60" s="572">
        <f t="shared" si="258"/>
        <v>-3.9725072655754246</v>
      </c>
      <c r="D60" s="576">
        <f t="shared" si="259"/>
        <v>-1.6971934254673446</v>
      </c>
      <c r="E60" s="580">
        <f t="shared" si="260"/>
        <v>-0.40563627016575521</v>
      </c>
      <c r="F60" s="572">
        <f t="shared" si="261"/>
        <v>-0.81120565065625216</v>
      </c>
      <c r="G60" s="579">
        <f t="shared" si="262"/>
        <v>0.42119426476316246</v>
      </c>
      <c r="H60" s="580">
        <f t="shared" si="263"/>
        <v>0.255</v>
      </c>
      <c r="I60" s="572">
        <f t="shared" si="264"/>
        <v>0.41499999999999992</v>
      </c>
      <c r="J60" s="483">
        <f t="shared" si="265"/>
        <v>4.2320000000000002</v>
      </c>
      <c r="K60" s="806" t="str">
        <f t="shared" si="266"/>
        <v>CPS-32193r1</v>
      </c>
      <c r="L60" s="309"/>
      <c r="M60" s="164">
        <f t="shared" si="267"/>
        <v>4.2320000000000002</v>
      </c>
      <c r="N60" s="575">
        <f t="shared" si="268"/>
        <v>-1.9864174135261352</v>
      </c>
      <c r="O60" s="572">
        <f t="shared" si="269"/>
        <v>-3.9725072655754246</v>
      </c>
      <c r="P60" s="576">
        <f t="shared" si="270"/>
        <v>-1.6971934254673446</v>
      </c>
      <c r="Q60" s="528">
        <f t="shared" si="140"/>
        <v>243.43305907628206</v>
      </c>
      <c r="R60" s="572">
        <f t="shared" si="101"/>
        <v>4.4414713908579211</v>
      </c>
      <c r="S60" s="577">
        <f t="shared" si="102"/>
        <v>-1.6971934254673446</v>
      </c>
      <c r="T60" s="578">
        <f t="shared" si="103"/>
        <v>-3.9756226201364351</v>
      </c>
      <c r="U60" s="572">
        <f t="shared" si="104"/>
        <v>1.9801749665291961</v>
      </c>
      <c r="V60" s="579">
        <f t="shared" si="141"/>
        <v>-1.6971934254673446</v>
      </c>
      <c r="W60" s="528">
        <f t="shared" si="253"/>
        <v>153.52305906328769</v>
      </c>
      <c r="X60" s="572">
        <f t="shared" si="105"/>
        <v>4.4414713908579211</v>
      </c>
      <c r="Y60" s="573">
        <f t="shared" si="255"/>
        <v>-1.6971934254673446</v>
      </c>
      <c r="Z60" s="575">
        <f t="shared" si="271"/>
        <v>0.40563627016575521</v>
      </c>
      <c r="AA60" s="572">
        <f t="shared" si="272"/>
        <v>0.81120565065625216</v>
      </c>
      <c r="AB60" s="572">
        <f t="shared" si="273"/>
        <v>-0.42119426476316246</v>
      </c>
      <c r="AC60" s="579">
        <f t="shared" si="106"/>
        <v>1</v>
      </c>
      <c r="AD60" s="580">
        <f t="shared" si="142"/>
        <v>0.40563627016575521</v>
      </c>
      <c r="AE60" s="572">
        <f t="shared" si="107"/>
        <v>0.81120565065625216</v>
      </c>
      <c r="AF60" s="576">
        <f t="shared" si="108"/>
        <v>-0.42119426476316246</v>
      </c>
      <c r="AG60" s="545">
        <f t="shared" si="109"/>
        <v>62.560754340453485</v>
      </c>
      <c r="AH60" s="546">
        <f t="shared" si="110"/>
        <v>66.068994752256557</v>
      </c>
      <c r="AI60" s="528">
        <f t="shared" si="111"/>
        <v>-65.089990602168086</v>
      </c>
      <c r="AJ60" s="529">
        <f t="shared" si="112"/>
        <v>153.43305907628203</v>
      </c>
      <c r="AK60" s="578">
        <f t="shared" si="238"/>
        <v>-4.4408920985006262E-16</v>
      </c>
      <c r="AL60" s="572">
        <f t="shared" si="113"/>
        <v>-0.90697044677906624</v>
      </c>
      <c r="AM60" s="577">
        <f t="shared" si="114"/>
        <v>-0.42119426476316246</v>
      </c>
      <c r="AN60" s="524">
        <f t="shared" si="115"/>
        <v>-65.089990602168101</v>
      </c>
      <c r="AO60" s="525">
        <f t="shared" si="515"/>
        <v>0</v>
      </c>
      <c r="AP60" s="528">
        <f t="shared" si="117"/>
        <v>-90.000000000000028</v>
      </c>
      <c r="AQ60" s="529">
        <f t="shared" si="274"/>
        <v>0.34218382860937163</v>
      </c>
      <c r="AS60" s="932">
        <f t="shared" si="461"/>
        <v>-206.47694093671231</v>
      </c>
      <c r="AT60" s="928">
        <f t="shared" si="275"/>
        <v>-1.6015605824471049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4.2320000000000002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4.1319999999999997</v>
      </c>
      <c r="IK60" s="677" cm="1">
        <f t="array" ref="IK60">IFERROR(ROUND(VALUE(IF($IJ60&lt;1,$IJ60+LARGE((IF($M$9:$M$150="",0,$M$9:$M$150)-MOD(IF($M$9:$M$150="",0,$M$9:$M$150),1)),1),$IJ60)),4),"")</f>
        <v>4.1319999999999997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17.096916302235798</v>
      </c>
      <c r="IO60" s="702"/>
      <c r="IP60" s="5">
        <f t="shared" si="428"/>
        <v>0</v>
      </c>
      <c r="IQ60" s="714"/>
      <c r="IR60" s="9">
        <f t="shared" si="429"/>
        <v>-4.4327133690635208</v>
      </c>
      <c r="IS60" s="5">
        <f t="shared" si="430"/>
        <v>-1.6875050895153505</v>
      </c>
      <c r="IT60" s="5">
        <f t="shared" si="431"/>
        <v>0.3125</v>
      </c>
      <c r="IU60" s="5">
        <f t="shared" si="432"/>
        <v>0.28331332371837042</v>
      </c>
      <c r="IV60" s="670">
        <f t="shared" si="433"/>
        <v>62.499990976117807</v>
      </c>
      <c r="IW60" s="9">
        <f t="shared" si="434"/>
        <v>-4.4414713908579211</v>
      </c>
      <c r="IX60" s="5">
        <f t="shared" si="435"/>
        <v>-1.6971934254673446</v>
      </c>
      <c r="IY60" s="5">
        <f t="shared" si="436"/>
        <v>0.255</v>
      </c>
      <c r="IZ60" s="5">
        <f t="shared" si="437"/>
        <v>0.255</v>
      </c>
      <c r="JA60" s="705">
        <f t="shared" si="438"/>
        <v>65.089990602168101</v>
      </c>
    </row>
    <row r="61" spans="1:261" ht="15" customHeight="1" x14ac:dyDescent="0.25">
      <c r="A61" s="75">
        <f t="shared" si="256"/>
        <v>0</v>
      </c>
      <c r="B61" s="578">
        <f t="shared" si="257"/>
        <v>-2.1515151953943721</v>
      </c>
      <c r="C61" s="572">
        <f t="shared" si="258"/>
        <v>-4.093426588687862</v>
      </c>
      <c r="D61" s="576">
        <f t="shared" si="259"/>
        <v>-2.4253391425536517</v>
      </c>
      <c r="E61" s="580">
        <f t="shared" si="260"/>
        <v>-0.46063325221811702</v>
      </c>
      <c r="F61" s="572">
        <f t="shared" si="261"/>
        <v>-0.87639092965726362</v>
      </c>
      <c r="G61" s="579">
        <f t="shared" si="262"/>
        <v>0.1405558442948498</v>
      </c>
      <c r="H61" s="580">
        <f t="shared" si="263"/>
        <v>0.255</v>
      </c>
      <c r="I61" s="572">
        <f t="shared" si="264"/>
        <v>0.41499999999999992</v>
      </c>
      <c r="J61" s="483">
        <f t="shared" si="265"/>
        <v>4.2380000000000004</v>
      </c>
      <c r="K61" s="806" t="str">
        <f t="shared" si="266"/>
        <v>CPS-32193r1</v>
      </c>
      <c r="L61" s="309"/>
      <c r="M61" s="164">
        <f t="shared" si="267"/>
        <v>4.2380000000000004</v>
      </c>
      <c r="N61" s="575">
        <f t="shared" si="268"/>
        <v>-2.1515151953943721</v>
      </c>
      <c r="O61" s="572">
        <f t="shared" si="269"/>
        <v>-4.093426588687862</v>
      </c>
      <c r="P61" s="576">
        <f t="shared" si="270"/>
        <v>-2.4253391425536517</v>
      </c>
      <c r="Q61" s="528">
        <f t="shared" si="140"/>
        <v>242.27347268717608</v>
      </c>
      <c r="R61" s="572">
        <f t="shared" si="101"/>
        <v>4.6244090295939042</v>
      </c>
      <c r="S61" s="577">
        <f t="shared" si="102"/>
        <v>-2.4253391425536517</v>
      </c>
      <c r="T61" s="578">
        <f t="shared" si="103"/>
        <v>-4.0968011289159403</v>
      </c>
      <c r="U61" s="572">
        <f t="shared" si="104"/>
        <v>2.1450826051932617</v>
      </c>
      <c r="V61" s="579">
        <f t="shared" si="141"/>
        <v>-2.4253391425536517</v>
      </c>
      <c r="W61" s="528">
        <f t="shared" si="253"/>
        <v>152.36347267418171</v>
      </c>
      <c r="X61" s="572">
        <f t="shared" si="105"/>
        <v>4.6244090295939042</v>
      </c>
      <c r="Y61" s="573">
        <f t="shared" si="255"/>
        <v>-2.4253391425536517</v>
      </c>
      <c r="Z61" s="575">
        <f t="shared" si="271"/>
        <v>0.46063325221811702</v>
      </c>
      <c r="AA61" s="572">
        <f t="shared" si="272"/>
        <v>0.87639092965726362</v>
      </c>
      <c r="AB61" s="572">
        <f t="shared" si="273"/>
        <v>-0.1405558442948498</v>
      </c>
      <c r="AC61" s="579">
        <f t="shared" si="106"/>
        <v>1</v>
      </c>
      <c r="AD61" s="580">
        <f t="shared" si="142"/>
        <v>0.46063325221811702</v>
      </c>
      <c r="AE61" s="572">
        <f t="shared" si="107"/>
        <v>0.87639092965726362</v>
      </c>
      <c r="AF61" s="576">
        <f t="shared" si="108"/>
        <v>-0.1405558442948498</v>
      </c>
      <c r="AG61" s="545">
        <f t="shared" si="109"/>
        <v>80.888478385418892</v>
      </c>
      <c r="AH61" s="546">
        <f t="shared" si="110"/>
        <v>62.572022337677879</v>
      </c>
      <c r="AI61" s="528">
        <f t="shared" si="111"/>
        <v>-81.919988172217103</v>
      </c>
      <c r="AJ61" s="529">
        <f t="shared" si="112"/>
        <v>152.27347268717611</v>
      </c>
      <c r="AK61" s="578">
        <f t="shared" si="238"/>
        <v>6.106226635438361E-16</v>
      </c>
      <c r="AL61" s="572">
        <f t="shared" si="113"/>
        <v>-0.99007275219276802</v>
      </c>
      <c r="AM61" s="577">
        <f t="shared" si="114"/>
        <v>-0.1405558442948498</v>
      </c>
      <c r="AN61" s="524">
        <f t="shared" si="115"/>
        <v>-81.919988172217103</v>
      </c>
      <c r="AO61" s="525">
        <f t="shared" si="515"/>
        <v>0</v>
      </c>
      <c r="AP61" s="528">
        <f t="shared" si="117"/>
        <v>-89.999999999999957</v>
      </c>
      <c r="AQ61" s="529">
        <f t="shared" si="274"/>
        <v>0.32864763405998965</v>
      </c>
      <c r="AS61" s="932">
        <f t="shared" si="461"/>
        <v>-207.63652732581829</v>
      </c>
      <c r="AT61" s="928">
        <f t="shared" si="275"/>
        <v>-2.3291694539829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4.2380000000000004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4.1379999999999999</v>
      </c>
      <c r="IK61" s="677" cm="1">
        <f t="array" ref="IK61">IFERROR(ROUND(VALUE(IF($IJ61&lt;1,$IJ61+LARGE((IF($M$9:$M$150="",0,$M$9:$M$150)-MOD(IF($M$9:$M$150="",0,$M$9:$M$150),1)),1),$IJ61)),4),"")</f>
        <v>4.1379999999999999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17.956502734656397</v>
      </c>
      <c r="IO61" s="702">
        <v>2.58887453140259E-2</v>
      </c>
      <c r="IP61" s="5">
        <f t="shared" si="428"/>
        <v>0.41111111111111109</v>
      </c>
      <c r="IQ61" s="714">
        <v>370</v>
      </c>
      <c r="IR61" s="9">
        <f t="shared" si="429"/>
        <v>-4.6238139454228611</v>
      </c>
      <c r="IS61" s="5">
        <f t="shared" si="430"/>
        <v>-2.4105072700899273</v>
      </c>
      <c r="IT61" s="5">
        <f t="shared" si="431"/>
        <v>0.3125</v>
      </c>
      <c r="IU61" s="5">
        <f t="shared" si="432"/>
        <v>0.27509745178814282</v>
      </c>
      <c r="IV61" s="670">
        <f t="shared" si="433"/>
        <v>77.499988810386057</v>
      </c>
      <c r="IW61" s="9">
        <f t="shared" si="434"/>
        <v>-4.6244090295939042</v>
      </c>
      <c r="IX61" s="5">
        <f t="shared" si="435"/>
        <v>-2.4253391425536517</v>
      </c>
      <c r="IY61" s="5">
        <f t="shared" si="436"/>
        <v>0.255</v>
      </c>
      <c r="IZ61" s="5">
        <f t="shared" si="437"/>
        <v>0.255</v>
      </c>
      <c r="JA61" s="705">
        <f t="shared" si="438"/>
        <v>81.919988172217103</v>
      </c>
    </row>
    <row r="62" spans="1:261" ht="15" customHeight="1" x14ac:dyDescent="0.25">
      <c r="A62" s="75">
        <f t="shared" si="256"/>
        <v>0</v>
      </c>
      <c r="B62" s="578">
        <f t="shared" si="257"/>
        <v>-2.283391845964247</v>
      </c>
      <c r="C62" s="572">
        <f t="shared" si="258"/>
        <v>-4.0933635515282045</v>
      </c>
      <c r="D62" s="576">
        <f t="shared" si="259"/>
        <v>-3.232543672831949</v>
      </c>
      <c r="E62" s="580">
        <f t="shared" si="260"/>
        <v>-0.48532691560572705</v>
      </c>
      <c r="F62" s="572">
        <f t="shared" si="261"/>
        <v>-0.87003004343179802</v>
      </c>
      <c r="G62" s="579">
        <f t="shared" si="262"/>
        <v>8.6634337965353317E-2</v>
      </c>
      <c r="H62" s="580">
        <f t="shared" si="263"/>
        <v>0.255</v>
      </c>
      <c r="I62" s="572">
        <f t="shared" si="264"/>
        <v>0.41499999999999992</v>
      </c>
      <c r="J62" s="483">
        <f t="shared" si="265"/>
        <v>4.2439999999999998</v>
      </c>
      <c r="K62" s="806" t="str">
        <f t="shared" si="266"/>
        <v>CPS-32193r1</v>
      </c>
      <c r="L62" s="309"/>
      <c r="M62" s="164">
        <f t="shared" si="267"/>
        <v>4.2439999999999998</v>
      </c>
      <c r="N62" s="575">
        <f t="shared" si="268"/>
        <v>-2.283391845964247</v>
      </c>
      <c r="O62" s="572">
        <f t="shared" si="269"/>
        <v>-4.0933635515282045</v>
      </c>
      <c r="P62" s="576">
        <f t="shared" si="270"/>
        <v>-3.232543672831949</v>
      </c>
      <c r="Q62" s="528">
        <f t="shared" si="140"/>
        <v>240.84600852975223</v>
      </c>
      <c r="R62" s="572">
        <f t="shared" si="101"/>
        <v>4.6871636932366254</v>
      </c>
      <c r="S62" s="577">
        <f t="shared" si="102"/>
        <v>-3.232543672831949</v>
      </c>
      <c r="T62" s="578">
        <f t="shared" si="103"/>
        <v>-4.0969452430772595</v>
      </c>
      <c r="U62" s="572">
        <f t="shared" si="104"/>
        <v>2.2769591920854038</v>
      </c>
      <c r="V62" s="579">
        <f t="shared" si="141"/>
        <v>-3.232543672831949</v>
      </c>
      <c r="W62" s="528">
        <f t="shared" si="253"/>
        <v>150.93600851675785</v>
      </c>
      <c r="X62" s="572">
        <f t="shared" si="105"/>
        <v>4.6871636932366254</v>
      </c>
      <c r="Y62" s="573">
        <f t="shared" si="255"/>
        <v>-3.232543672831949</v>
      </c>
      <c r="Z62" s="575">
        <f t="shared" si="271"/>
        <v>0.48532691560572705</v>
      </c>
      <c r="AA62" s="572">
        <f t="shared" si="272"/>
        <v>0.87003004343179802</v>
      </c>
      <c r="AB62" s="572">
        <f t="shared" si="273"/>
        <v>-8.6634337965353317E-2</v>
      </c>
      <c r="AC62" s="579">
        <f t="shared" si="106"/>
        <v>1</v>
      </c>
      <c r="AD62" s="580">
        <f t="shared" si="142"/>
        <v>0.48532691560572705</v>
      </c>
      <c r="AE62" s="572">
        <f t="shared" si="107"/>
        <v>0.87003004343179802</v>
      </c>
      <c r="AF62" s="576">
        <f t="shared" si="108"/>
        <v>-8.6634337965353317E-2</v>
      </c>
      <c r="AG62" s="545">
        <f t="shared" si="109"/>
        <v>84.3134459919645</v>
      </c>
      <c r="AH62" s="546">
        <f t="shared" si="110"/>
        <v>60.966106751952893</v>
      </c>
      <c r="AI62" s="528">
        <f t="shared" si="111"/>
        <v>-85.029987723188711</v>
      </c>
      <c r="AJ62" s="529">
        <f t="shared" si="112"/>
        <v>150.84600852975223</v>
      </c>
      <c r="AK62" s="578">
        <f t="shared" si="238"/>
        <v>2.7755575615628914E-16</v>
      </c>
      <c r="AL62" s="572">
        <f t="shared" si="113"/>
        <v>-0.99624017761045192</v>
      </c>
      <c r="AM62" s="577">
        <f t="shared" si="114"/>
        <v>-8.6634337965353317E-2</v>
      </c>
      <c r="AN62" s="524">
        <f t="shared" si="115"/>
        <v>-85.029987723188711</v>
      </c>
      <c r="AO62" s="525">
        <f t="shared" si="515"/>
        <v>0</v>
      </c>
      <c r="AP62" s="528">
        <f t="shared" si="117"/>
        <v>-89.999999999999986</v>
      </c>
      <c r="AQ62" s="529">
        <f t="shared" si="274"/>
        <v>0.32424758965107364</v>
      </c>
      <c r="AS62" s="932">
        <f t="shared" si="461"/>
        <v>-209.06399148324215</v>
      </c>
      <c r="AT62" s="928">
        <f t="shared" si="275"/>
        <v>-3.1357131212253528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4.2439999999999998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4.1440000000000001</v>
      </c>
      <c r="IK62" s="677" cm="1">
        <f t="array" ref="IK62">IFERROR(ROUND(VALUE(IF($IJ62&lt;1,$IJ62+LARGE((IF($M$9:$M$150="",0,$M$9:$M$150)-MOD(IF($M$9:$M$150="",0,$M$9:$M$150),1)),1),$IJ62)),4),"")</f>
        <v>4.1440000000000001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19.263966909406122</v>
      </c>
      <c r="IO62" s="702">
        <v>2.3750906408647299E-2</v>
      </c>
      <c r="IP62" s="5">
        <f t="shared" si="428"/>
        <v>0.48888888888888887</v>
      </c>
      <c r="IQ62" s="714">
        <v>440</v>
      </c>
      <c r="IR62" s="9">
        <f t="shared" si="429"/>
        <v>-4.6915141496066752</v>
      </c>
      <c r="IS62" s="5">
        <f t="shared" si="430"/>
        <v>-3.2161096997868555</v>
      </c>
      <c r="IT62" s="5">
        <f t="shared" si="431"/>
        <v>0.3125</v>
      </c>
      <c r="IU62" s="5">
        <f t="shared" si="432"/>
        <v>0.27063295049487046</v>
      </c>
      <c r="IV62" s="670">
        <f t="shared" si="433"/>
        <v>84.999987727520178</v>
      </c>
      <c r="IW62" s="9">
        <f t="shared" si="434"/>
        <v>-4.6871636932366254</v>
      </c>
      <c r="IX62" s="5">
        <f t="shared" si="435"/>
        <v>-3.232543672831949</v>
      </c>
      <c r="IY62" s="5">
        <f t="shared" si="436"/>
        <v>0.255</v>
      </c>
      <c r="IZ62" s="5">
        <f t="shared" si="437"/>
        <v>0.255</v>
      </c>
      <c r="JA62" s="705">
        <f t="shared" si="438"/>
        <v>85.029987723188711</v>
      </c>
    </row>
    <row r="63" spans="1:261" ht="15" customHeight="1" x14ac:dyDescent="0.25">
      <c r="A63" s="75">
        <f t="shared" si="256"/>
        <v>0</v>
      </c>
      <c r="B63" s="578">
        <f t="shared" si="257"/>
        <v>-0.49701356499650612</v>
      </c>
      <c r="C63" s="572">
        <f t="shared" si="258"/>
        <v>-0.28695071515030302</v>
      </c>
      <c r="D63" s="576">
        <f t="shared" si="259"/>
        <v>-0.51600155626069355</v>
      </c>
      <c r="E63" s="580">
        <f t="shared" si="260"/>
        <v>0.50223087557350676</v>
      </c>
      <c r="F63" s="572">
        <f t="shared" si="261"/>
        <v>-0.80182770696643058</v>
      </c>
      <c r="G63" s="579">
        <f t="shared" si="262"/>
        <v>0.32378461353440635</v>
      </c>
      <c r="H63" s="580">
        <f t="shared" si="263"/>
        <v>0.3125</v>
      </c>
      <c r="I63" s="572">
        <f t="shared" si="264"/>
        <v>0.52</v>
      </c>
      <c r="J63" s="483">
        <f t="shared" si="265"/>
        <v>5.1020000000000003</v>
      </c>
      <c r="K63" s="806">
        <f t="shared" si="266"/>
        <v>1613</v>
      </c>
      <c r="L63" s="309"/>
      <c r="M63" s="164">
        <f t="shared" si="267"/>
        <v>5.1020000000000003</v>
      </c>
      <c r="N63" s="575">
        <f t="shared" si="268"/>
        <v>-0.49701356499650612</v>
      </c>
      <c r="O63" s="572">
        <f t="shared" si="269"/>
        <v>-0.28695071515030302</v>
      </c>
      <c r="P63" s="576">
        <f t="shared" si="270"/>
        <v>-0.51600155626069355</v>
      </c>
      <c r="Q63" s="528">
        <f t="shared" si="140"/>
        <v>209.99998267414614</v>
      </c>
      <c r="R63" s="572">
        <f t="shared" si="101"/>
        <v>0.57390173088762031</v>
      </c>
      <c r="S63" s="577">
        <f t="shared" si="102"/>
        <v>-0.51600155626069355</v>
      </c>
      <c r="T63" s="578">
        <f t="shared" si="103"/>
        <v>-0.28773106778771396</v>
      </c>
      <c r="U63" s="572">
        <f t="shared" si="104"/>
        <v>0.49656221095201003</v>
      </c>
      <c r="V63" s="579">
        <f t="shared" si="141"/>
        <v>-0.51600155626069355</v>
      </c>
      <c r="W63" s="528">
        <f t="shared" si="253"/>
        <v>120.08998266115175</v>
      </c>
      <c r="X63" s="572">
        <f t="shared" si="105"/>
        <v>0.57390173088762031</v>
      </c>
      <c r="Y63" s="573">
        <f t="shared" si="255"/>
        <v>-0.51600155626069355</v>
      </c>
      <c r="Z63" s="575">
        <f t="shared" si="271"/>
        <v>-0.50223087557350676</v>
      </c>
      <c r="AA63" s="572">
        <f t="shared" si="272"/>
        <v>0.80182770696643058</v>
      </c>
      <c r="AB63" s="572">
        <f t="shared" si="273"/>
        <v>-0.32378461353440635</v>
      </c>
      <c r="AC63" s="579">
        <f t="shared" si="106"/>
        <v>1</v>
      </c>
      <c r="AD63" s="580">
        <f t="shared" si="142"/>
        <v>-0.50223087557350676</v>
      </c>
      <c r="AE63" s="572">
        <f t="shared" si="107"/>
        <v>0.80182770696643058</v>
      </c>
      <c r="AF63" s="576">
        <f t="shared" si="108"/>
        <v>-0.32378461353440635</v>
      </c>
      <c r="AG63" s="545">
        <f t="shared" si="109"/>
        <v>68.010739131807952</v>
      </c>
      <c r="AH63" s="546">
        <f t="shared" si="110"/>
        <v>120.14770362148273</v>
      </c>
      <c r="AI63" s="528">
        <f t="shared" si="111"/>
        <v>-71.108042576545301</v>
      </c>
      <c r="AJ63" s="529">
        <f t="shared" si="112"/>
        <v>-147.93871594891613</v>
      </c>
      <c r="AK63" s="578">
        <f t="shared" si="238"/>
        <v>0.94551859118716819</v>
      </c>
      <c r="AL63" s="572">
        <f t="shared" si="113"/>
        <v>3.4031129246732905E-2</v>
      </c>
      <c r="AM63" s="577">
        <f t="shared" si="114"/>
        <v>-0.32378461353440635</v>
      </c>
      <c r="AN63" s="524">
        <f t="shared" si="115"/>
        <v>5.9999991337073002</v>
      </c>
      <c r="AO63" s="525">
        <f t="shared" si="515"/>
        <v>18.999997256739807</v>
      </c>
      <c r="AP63" s="528">
        <f t="shared" si="117"/>
        <v>2.0613013769377462</v>
      </c>
      <c r="AQ63" s="529">
        <f t="shared" si="274"/>
        <v>2.6463361141047215</v>
      </c>
      <c r="AS63" s="932">
        <f t="shared" si="461"/>
        <v>-239.91001733884826</v>
      </c>
      <c r="AT63" s="928">
        <f t="shared" si="275"/>
        <v>-0.40489043712835382</v>
      </c>
      <c r="AU63" s="418"/>
      <c r="AV63" s="164">
        <f t="shared" si="276"/>
        <v>5.1020000000000003</v>
      </c>
      <c r="AW63" s="797">
        <f>IFERROR(INDEX(MassProp!C$9:C$150,MATCH($M63,MassProp!$B$9:$B$150,0)),"")</f>
        <v>0.46260000000000001</v>
      </c>
      <c r="AX63" s="744">
        <f>IFERROR(INDEX(MassProp!D$9:D$150,MATCH($M63,MassProp!$B$9:$B$150,0)),"")</f>
        <v>7.2700000000000001E-2</v>
      </c>
      <c r="AY63" s="731">
        <f>IFERROR(INDEX(MassProp!E$9:E$150,MATCH($M63,MassProp!$B$9:$B$150,0)),"")</f>
        <v>5.7200000000000001E-2</v>
      </c>
      <c r="AZ63" s="297">
        <f t="shared" si="144"/>
        <v>0.16653070698875905</v>
      </c>
      <c r="BA63" s="296">
        <f t="shared" si="278"/>
        <v>8.7032580541828667E-3</v>
      </c>
      <c r="BB63" s="177">
        <f t="shared" si="145"/>
        <v>0.31092377046168718</v>
      </c>
      <c r="BC63" s="9"/>
      <c r="BD63" s="5">
        <f t="shared" si="146"/>
        <v>0.46260000000000001</v>
      </c>
      <c r="BE63" s="6">
        <f t="shared" si="280"/>
        <v>-0.20507778579900637</v>
      </c>
      <c r="BF63" s="4">
        <f t="shared" si="281"/>
        <v>-0.49701356499650612</v>
      </c>
      <c r="BG63" s="5">
        <f t="shared" si="282"/>
        <v>-0.28695071515030302</v>
      </c>
      <c r="BH63" s="10">
        <f t="shared" si="283"/>
        <v>-0.51600155626069355</v>
      </c>
      <c r="BI63" s="9">
        <f t="shared" si="147"/>
        <v>-0.49701356499650612</v>
      </c>
      <c r="BJ63" s="5">
        <f t="shared" si="285"/>
        <v>8.7482086641376133E-2</v>
      </c>
      <c r="BK63" s="8">
        <f t="shared" si="286"/>
        <v>0.41125249573500045</v>
      </c>
      <c r="BL63" s="173">
        <f t="shared" si="287"/>
        <v>0.36772000531325616</v>
      </c>
      <c r="BM63" s="5">
        <f t="shared" si="288"/>
        <v>0.17874489926257647</v>
      </c>
      <c r="BN63" s="6">
        <f t="shared" si="289"/>
        <v>-0.70405327014796992</v>
      </c>
      <c r="BO63" s="4">
        <f t="shared" si="148"/>
        <v>-0.50223087557350699</v>
      </c>
      <c r="BP63" s="5">
        <f t="shared" si="239"/>
        <v>0.80182770696643035</v>
      </c>
      <c r="BQ63" s="5">
        <f t="shared" si="149"/>
        <v>-0.32378461353440624</v>
      </c>
      <c r="BR63" s="6">
        <f t="shared" si="150"/>
        <v>-0.18660388845578141</v>
      </c>
      <c r="BS63" s="4">
        <f t="shared" si="483"/>
        <v>0</v>
      </c>
      <c r="BT63" s="5">
        <f t="shared" si="483"/>
        <v>0</v>
      </c>
      <c r="BU63" s="10">
        <f t="shared" si="119"/>
        <v>-0.20507778579900637</v>
      </c>
      <c r="BV63" s="9">
        <f t="shared" si="120"/>
        <v>0</v>
      </c>
      <c r="BW63" s="5">
        <f t="shared" si="121"/>
        <v>1</v>
      </c>
      <c r="BX63" s="8">
        <f t="shared" si="122"/>
        <v>-0.20507778579900637</v>
      </c>
      <c r="BY63" s="173">
        <f t="shared" si="123"/>
        <v>1</v>
      </c>
      <c r="BZ63" s="5">
        <f t="shared" si="124"/>
        <v>0</v>
      </c>
      <c r="CA63" s="6">
        <f t="shared" si="125"/>
        <v>-0.20507778579900637</v>
      </c>
      <c r="CB63" s="4">
        <f t="shared" si="151"/>
        <v>0</v>
      </c>
      <c r="CC63" s="5">
        <f t="shared" si="152"/>
        <v>0</v>
      </c>
      <c r="CD63" s="5">
        <f t="shared" si="153"/>
        <v>-1</v>
      </c>
      <c r="CE63" s="6">
        <f t="shared" si="154"/>
        <v>-0.20507778579900637</v>
      </c>
      <c r="CF63" s="4">
        <f t="shared" si="155"/>
        <v>-0.80182770696643035</v>
      </c>
      <c r="CG63" s="5">
        <f t="shared" si="156"/>
        <v>-0.50223087557350699</v>
      </c>
      <c r="CH63" s="5">
        <f t="shared" si="157"/>
        <v>0</v>
      </c>
      <c r="CI63" s="4">
        <f t="shared" si="126"/>
        <v>0</v>
      </c>
      <c r="CJ63" s="5">
        <f t="shared" si="127"/>
        <v>0.14991107914083449</v>
      </c>
      <c r="CK63" s="8">
        <f t="shared" si="128"/>
        <v>-0.20507778579900635</v>
      </c>
      <c r="CL63" s="173">
        <f t="shared" si="129"/>
        <v>-0.80182770696643035</v>
      </c>
      <c r="CM63" s="5">
        <f t="shared" si="130"/>
        <v>-0.35231979643267253</v>
      </c>
      <c r="CN63" s="6">
        <f t="shared" si="131"/>
        <v>-0.20507778579900635</v>
      </c>
      <c r="CO63" s="167">
        <f t="shared" si="305"/>
        <v>0.3125</v>
      </c>
      <c r="CP63" s="4">
        <f t="shared" si="240"/>
        <v>0.89516352403837518</v>
      </c>
      <c r="CQ63" s="5">
        <f t="shared" si="241"/>
        <v>-1.2358494572076213</v>
      </c>
      <c r="CR63" s="5">
        <f t="shared" si="158"/>
        <v>0.43688805213992032</v>
      </c>
      <c r="CS63" s="8">
        <f t="shared" si="159"/>
        <v>-3.7021112574957771E-2</v>
      </c>
      <c r="CT63" s="9" t="e">
        <f t="shared" si="160"/>
        <v>#NUM!</v>
      </c>
      <c r="CU63" s="6" t="e">
        <f t="shared" si="161"/>
        <v>#NUM!</v>
      </c>
      <c r="CV63" s="4" t="e">
        <f t="shared" si="242"/>
        <v>#NUM!</v>
      </c>
      <c r="CW63" s="5" t="e">
        <f t="shared" si="162"/>
        <v>#NUM!</v>
      </c>
      <c r="CX63" s="8" t="e">
        <f t="shared" si="163"/>
        <v>#NUM!</v>
      </c>
      <c r="CY63" s="9" t="e">
        <f t="shared" si="164"/>
        <v>#NUM!</v>
      </c>
      <c r="CZ63" s="5" t="e">
        <f t="shared" si="165"/>
        <v>#NUM!</v>
      </c>
      <c r="DA63" s="6" t="e">
        <f t="shared" si="166"/>
        <v>#NUM!</v>
      </c>
      <c r="DB63" s="4">
        <f t="shared" si="484"/>
        <v>0</v>
      </c>
      <c r="DC63" s="5">
        <f t="shared" si="484"/>
        <v>0</v>
      </c>
      <c r="DD63" s="10">
        <f t="shared" si="168"/>
        <v>-10</v>
      </c>
      <c r="DE63" s="9">
        <f t="shared" si="485"/>
        <v>0</v>
      </c>
      <c r="DF63" s="5">
        <f t="shared" si="485"/>
        <v>0</v>
      </c>
      <c r="DG63" s="10">
        <f t="shared" si="170"/>
        <v>10</v>
      </c>
      <c r="DH63" s="70">
        <f t="shared" si="171"/>
        <v>0.46260000000000001</v>
      </c>
      <c r="DI63" s="4">
        <f t="shared" si="172"/>
        <v>0</v>
      </c>
      <c r="DJ63" s="5">
        <f t="shared" si="173"/>
        <v>0</v>
      </c>
      <c r="DK63" s="10">
        <f t="shared" si="174"/>
        <v>20</v>
      </c>
      <c r="DL63" s="9" t="e">
        <f t="shared" si="175"/>
        <v>#NUM!</v>
      </c>
      <c r="DM63" s="173" t="e">
        <f t="shared" si="176"/>
        <v>#NUM!</v>
      </c>
      <c r="DN63" s="178" t="e">
        <f t="shared" si="177"/>
        <v>#NUM!</v>
      </c>
      <c r="DO63" s="9" t="e">
        <f t="shared" si="178"/>
        <v>#NUM!</v>
      </c>
      <c r="DP63" s="173" t="e">
        <f t="shared" si="179"/>
        <v>#NUM!</v>
      </c>
      <c r="DQ63" s="11" t="e">
        <f t="shared" si="180"/>
        <v>#NUM!</v>
      </c>
      <c r="DR63" s="173" t="e">
        <f t="shared" si="181"/>
        <v>#NUM!</v>
      </c>
      <c r="DS63" s="5" t="e">
        <f t="shared" si="182"/>
        <v>#NUM!</v>
      </c>
      <c r="DT63" s="5">
        <f t="shared" si="183"/>
        <v>400</v>
      </c>
      <c r="DU63" s="5" t="e">
        <f t="shared" si="184"/>
        <v>#NUM!</v>
      </c>
      <c r="DV63" s="5" t="e">
        <f t="shared" si="185"/>
        <v>#NUM!</v>
      </c>
      <c r="DW63" s="5" t="e">
        <f t="shared" si="186"/>
        <v>#NUM!</v>
      </c>
      <c r="DX63" s="167" t="e">
        <f t="shared" si="187"/>
        <v>#NUM!</v>
      </c>
      <c r="DY63" s="9" t="e">
        <f t="shared" si="188"/>
        <v>#NUM!</v>
      </c>
      <c r="DZ63" s="5" t="e">
        <f t="shared" si="189"/>
        <v>#NUM!</v>
      </c>
      <c r="EA63" s="10" t="e">
        <f t="shared" si="190"/>
        <v>#NUM!</v>
      </c>
      <c r="EB63" s="6" t="e">
        <f t="shared" si="191"/>
        <v>#NUM!</v>
      </c>
      <c r="EC63" s="173" t="e">
        <f t="shared" si="192"/>
        <v>#NUM!</v>
      </c>
      <c r="ED63" s="5" t="e">
        <f t="shared" si="193"/>
        <v>#NUM!</v>
      </c>
      <c r="EE63" s="4" t="e">
        <f t="shared" si="194"/>
        <v>#NUM!</v>
      </c>
      <c r="EF63" s="5" t="e">
        <f t="shared" si="195"/>
        <v>#NUM!</v>
      </c>
      <c r="EG63" s="10" t="e">
        <f t="shared" si="196"/>
        <v>#NUM!</v>
      </c>
      <c r="EH63" s="9" t="e">
        <f t="shared" si="197"/>
        <v>#NUM!</v>
      </c>
      <c r="EI63" s="5" t="e">
        <f t="shared" si="198"/>
        <v>#NUM!</v>
      </c>
      <c r="EJ63" s="6" t="e">
        <f t="shared" si="199"/>
        <v>#NUM!</v>
      </c>
      <c r="EK63" s="236" t="e">
        <f t="shared" si="200"/>
        <v>#NUM!</v>
      </c>
      <c r="EL63" s="238" t="e">
        <f t="shared" si="201"/>
        <v>#NUM!</v>
      </c>
      <c r="EM63" s="4" t="e">
        <f t="shared" si="202"/>
        <v>#NUM!</v>
      </c>
      <c r="EN63" s="5" t="e">
        <f t="shared" si="203"/>
        <v>#NUM!</v>
      </c>
      <c r="EO63" s="10" t="e">
        <f t="shared" si="204"/>
        <v>#NUM!</v>
      </c>
      <c r="EP63" s="9" t="e">
        <f t="shared" si="205"/>
        <v>#NUM!</v>
      </c>
      <c r="EQ63" s="5" t="e">
        <f t="shared" si="206"/>
        <v>#NUM!</v>
      </c>
      <c r="ER63" s="7" t="e">
        <f t="shared" si="207"/>
        <v>#NUM!</v>
      </c>
      <c r="ES63" s="21">
        <f t="shared" si="352"/>
        <v>-0.50223087557350676</v>
      </c>
      <c r="ET63" s="5">
        <f t="shared" si="353"/>
        <v>0.80182770696643058</v>
      </c>
      <c r="EU63" s="10">
        <f t="shared" si="354"/>
        <v>-0.32378461353440635</v>
      </c>
      <c r="EV63" s="174" t="e">
        <f t="shared" si="486"/>
        <v>#NUM!</v>
      </c>
      <c r="EW63" s="9" t="e">
        <f t="shared" si="487"/>
        <v>#NUM!</v>
      </c>
      <c r="EX63" s="5" t="e">
        <f t="shared" si="488"/>
        <v>#NUM!</v>
      </c>
      <c r="EY63" s="6">
        <f t="shared" si="208"/>
        <v>-0.32378461353440635</v>
      </c>
      <c r="EZ63" s="51" t="e">
        <f t="shared" si="209"/>
        <v>#NUM!</v>
      </c>
      <c r="FA63" s="173" t="e">
        <f t="shared" si="489"/>
        <v>#NUM!</v>
      </c>
      <c r="FB63" s="5" t="e">
        <f t="shared" si="490"/>
        <v>#NUM!</v>
      </c>
      <c r="FC63" s="6" t="e">
        <f t="shared" si="491"/>
        <v>#NUM!</v>
      </c>
      <c r="FD63" s="4" t="e">
        <f t="shared" si="492"/>
        <v>#NUM!</v>
      </c>
      <c r="FE63" s="5" t="e">
        <f t="shared" si="493"/>
        <v>#NUM!</v>
      </c>
      <c r="FF63" s="7" t="e">
        <f t="shared" si="210"/>
        <v>#NUM!</v>
      </c>
      <c r="FG63" s="173" t="e">
        <f t="shared" si="494"/>
        <v>#NUM!</v>
      </c>
      <c r="FH63" s="5" t="e">
        <f t="shared" si="495"/>
        <v>#NUM!</v>
      </c>
      <c r="FI63" s="10" t="e">
        <f t="shared" si="496"/>
        <v>#NUM!</v>
      </c>
      <c r="FJ63" s="279" t="e">
        <f t="shared" si="212"/>
        <v>#NUM!</v>
      </c>
      <c r="FK63" s="4">
        <f t="shared" si="497"/>
        <v>0.94613081761370366</v>
      </c>
      <c r="FL63" s="5" t="e">
        <f t="shared" si="213"/>
        <v>#NUM!</v>
      </c>
      <c r="FM63" s="8" t="e">
        <f t="shared" si="214"/>
        <v>#NUM!</v>
      </c>
      <c r="FN63" s="9" t="e">
        <f t="shared" si="215"/>
        <v>#NUM!</v>
      </c>
      <c r="FO63" s="10" t="e">
        <f t="shared" si="498"/>
        <v>#NUM!</v>
      </c>
      <c r="FP63" s="277" t="e">
        <f t="shared" si="499"/>
        <v>#NUM!</v>
      </c>
      <c r="FQ63" s="173" t="e">
        <f t="shared" si="243"/>
        <v>#NUM!</v>
      </c>
      <c r="FR63" s="10" t="e">
        <f t="shared" si="216"/>
        <v>#NUM!</v>
      </c>
      <c r="FS63" s="9" t="e">
        <f t="shared" si="217"/>
        <v>#NUM!</v>
      </c>
      <c r="FT63" s="6" t="e">
        <f t="shared" si="218"/>
        <v>#NUM!</v>
      </c>
      <c r="FU63" s="4" t="e">
        <f t="shared" si="219"/>
        <v>#NUM!</v>
      </c>
      <c r="FV63" s="5" t="e">
        <f t="shared" si="220"/>
        <v>#NUM!</v>
      </c>
      <c r="FW63" s="8" t="e">
        <f t="shared" si="244"/>
        <v>#NUM!</v>
      </c>
      <c r="FX63" s="9" t="e">
        <f t="shared" si="245"/>
        <v>#NUM!</v>
      </c>
      <c r="FY63" s="10" t="e">
        <f t="shared" si="500"/>
        <v>#NUM!</v>
      </c>
      <c r="FZ63" s="277" t="e">
        <f t="shared" si="246"/>
        <v>#NUM!</v>
      </c>
      <c r="GA63" s="177" t="e">
        <f t="shared" si="221"/>
        <v>#NUM!</v>
      </c>
      <c r="GB63" s="4" t="e">
        <f t="shared" si="222"/>
        <v>#NUM!</v>
      </c>
      <c r="GC63" s="5" t="e">
        <f t="shared" si="223"/>
        <v>#NUM!</v>
      </c>
      <c r="GD63" s="10" t="e">
        <f t="shared" si="224"/>
        <v>#NUM!</v>
      </c>
      <c r="GE63" s="311" t="e">
        <f t="shared" si="225"/>
        <v>#NUM!</v>
      </c>
      <c r="GF63" s="341" t="e">
        <f t="shared" si="247"/>
        <v>#NUM!</v>
      </c>
      <c r="GG63" s="285" t="e">
        <f t="shared" si="501"/>
        <v>#NUM!</v>
      </c>
      <c r="GH63" s="286" t="e">
        <f t="shared" si="502"/>
        <v>#NUM!</v>
      </c>
      <c r="GI63" s="281" t="e">
        <f t="shared" si="503"/>
        <v>#NUM!</v>
      </c>
      <c r="GJ63" s="167">
        <f t="shared" si="226"/>
        <v>0.46260000000000001</v>
      </c>
      <c r="GK63" s="174">
        <f t="shared" si="504"/>
        <v>0.24261466635891471</v>
      </c>
      <c r="GL63" s="174">
        <f t="shared" si="227"/>
        <v>5.7200000000000001E-2</v>
      </c>
      <c r="GM63" s="177">
        <f t="shared" si="248"/>
        <v>0.16653070698875905</v>
      </c>
      <c r="GN63" s="280">
        <f t="shared" si="228"/>
        <v>8.7032580541828667E-3</v>
      </c>
      <c r="GO63" s="4" t="e">
        <f t="shared" si="229"/>
        <v>#NUM!</v>
      </c>
      <c r="GP63" s="8" t="e">
        <f t="shared" si="249"/>
        <v>#NUM!</v>
      </c>
      <c r="GQ63" s="177" t="e">
        <f t="shared" si="230"/>
        <v>#NUM!</v>
      </c>
      <c r="GR63" s="371" t="e">
        <f t="shared" si="250"/>
        <v>#NUM!</v>
      </c>
      <c r="GS63" s="342" t="e">
        <f t="shared" si="505"/>
        <v>#NUM!</v>
      </c>
      <c r="GT63" s="343" t="e">
        <f t="shared" si="506"/>
        <v>#NUM!</v>
      </c>
      <c r="GU63" s="344">
        <f t="shared" si="507"/>
        <v>409.38798801403271</v>
      </c>
      <c r="GV63" s="343">
        <f t="shared" si="252"/>
        <v>1687.4</v>
      </c>
      <c r="GW63" s="345">
        <f t="shared" si="508"/>
        <v>29500</v>
      </c>
      <c r="GX63" s="346">
        <f t="shared" si="509"/>
        <v>65.049270000000007</v>
      </c>
      <c r="GY63" s="344" t="e">
        <f t="shared" si="510"/>
        <v>#NUM!</v>
      </c>
      <c r="GZ63" s="345" t="e">
        <f t="shared" si="511"/>
        <v>#NUM!</v>
      </c>
      <c r="HA63" s="342" t="e">
        <f t="shared" si="512"/>
        <v>#NUM!</v>
      </c>
      <c r="HB63" s="5" t="e">
        <f t="shared" si="231"/>
        <v>#NUM!</v>
      </c>
      <c r="HC63" s="343" t="e">
        <f t="shared" si="232"/>
        <v>#NUM!</v>
      </c>
      <c r="HD63" s="363" t="e">
        <f t="shared" si="233"/>
        <v>#NUM!</v>
      </c>
      <c r="HE63" s="344" t="e">
        <f t="shared" si="513"/>
        <v>#NUM!</v>
      </c>
      <c r="HF63" s="5" t="e">
        <f t="shared" si="514"/>
        <v>#NUM!</v>
      </c>
      <c r="HG63" s="343" t="e">
        <f t="shared" si="234"/>
        <v>#NUM!</v>
      </c>
      <c r="HH63" s="349" t="e">
        <f t="shared" si="235"/>
        <v>#NUM!</v>
      </c>
      <c r="HI63" s="317">
        <f t="shared" si="408"/>
        <v>5.1020000000000003</v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5.1020000000000003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>
        <v>1.6033995323657999E-2</v>
      </c>
      <c r="IP63" s="5" t="str">
        <f t="shared" si="428"/>
        <v/>
      </c>
      <c r="IQ63" s="714">
        <v>330</v>
      </c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</v>
      </c>
      <c r="B64" s="578">
        <f t="shared" si="257"/>
        <v>-1.0993361550907212</v>
      </c>
      <c r="C64" s="572">
        <f t="shared" si="258"/>
        <v>-0.63470158182922942</v>
      </c>
      <c r="D64" s="576">
        <f t="shared" si="259"/>
        <v>-0.32970099437819922</v>
      </c>
      <c r="E64" s="580">
        <f t="shared" si="260"/>
        <v>0.48896142316726582</v>
      </c>
      <c r="F64" s="572">
        <f t="shared" si="261"/>
        <v>-0.8276674047259297</v>
      </c>
      <c r="G64" s="579">
        <f t="shared" si="262"/>
        <v>0.27546940630219946</v>
      </c>
      <c r="H64" s="580">
        <f t="shared" si="263"/>
        <v>0.3125</v>
      </c>
      <c r="I64" s="572">
        <f t="shared" si="264"/>
        <v>0.52</v>
      </c>
      <c r="J64" s="483">
        <f t="shared" si="265"/>
        <v>5.1050000000000004</v>
      </c>
      <c r="K64" s="806">
        <f t="shared" si="266"/>
        <v>1613</v>
      </c>
      <c r="L64" s="309"/>
      <c r="M64" s="164">
        <f t="shared" si="267"/>
        <v>5.1050000000000004</v>
      </c>
      <c r="N64" s="575">
        <f t="shared" si="268"/>
        <v>-1.0993361550907212</v>
      </c>
      <c r="O64" s="572">
        <f t="shared" si="269"/>
        <v>-0.63470158182922942</v>
      </c>
      <c r="P64" s="576">
        <f t="shared" si="270"/>
        <v>-0.32970099437819922</v>
      </c>
      <c r="Q64" s="528">
        <f t="shared" si="140"/>
        <v>209.99998267414614</v>
      </c>
      <c r="R64" s="572">
        <f t="shared" si="101"/>
        <v>1.2694038285219469</v>
      </c>
      <c r="S64" s="577">
        <f t="shared" si="102"/>
        <v>-0.32970099437819922</v>
      </c>
      <c r="T64" s="578">
        <f t="shared" si="103"/>
        <v>-0.63642763103280042</v>
      </c>
      <c r="U64" s="572">
        <f t="shared" si="104"/>
        <v>1.0983378124803653</v>
      </c>
      <c r="V64" s="579">
        <f t="shared" si="141"/>
        <v>-0.32970099437819922</v>
      </c>
      <c r="W64" s="528">
        <f t="shared" si="253"/>
        <v>120.08998266115175</v>
      </c>
      <c r="X64" s="572">
        <f t="shared" si="105"/>
        <v>1.2694038285219469</v>
      </c>
      <c r="Y64" s="573">
        <f t="shared" si="255"/>
        <v>-0.32970099437819922</v>
      </c>
      <c r="Z64" s="575">
        <f t="shared" si="271"/>
        <v>-0.48896142316726582</v>
      </c>
      <c r="AA64" s="572">
        <f t="shared" si="272"/>
        <v>0.8276674047259297</v>
      </c>
      <c r="AB64" s="572">
        <f t="shared" si="273"/>
        <v>-0.27546940630219946</v>
      </c>
      <c r="AC64" s="579">
        <f t="shared" si="106"/>
        <v>1</v>
      </c>
      <c r="AD64" s="580">
        <f t="shared" si="142"/>
        <v>-0.48896142316726582</v>
      </c>
      <c r="AE64" s="572">
        <f t="shared" si="107"/>
        <v>0.8276674047259297</v>
      </c>
      <c r="AF64" s="576">
        <f t="shared" si="108"/>
        <v>-0.27546940630219946</v>
      </c>
      <c r="AG64" s="545">
        <f t="shared" si="109"/>
        <v>71.591205525567077</v>
      </c>
      <c r="AH64" s="546">
        <f t="shared" si="110"/>
        <v>119.27234176743492</v>
      </c>
      <c r="AI64" s="528">
        <f t="shared" si="111"/>
        <v>-74.010010341015558</v>
      </c>
      <c r="AJ64" s="529">
        <f t="shared" si="112"/>
        <v>-149.42666231987104</v>
      </c>
      <c r="AK64" s="578">
        <f t="shared" si="238"/>
        <v>0.96126170705176628</v>
      </c>
      <c r="AL64" s="572">
        <f t="shared" si="113"/>
        <v>9.6196022494801636E-3</v>
      </c>
      <c r="AM64" s="577">
        <f t="shared" si="114"/>
        <v>-0.27546940630219946</v>
      </c>
      <c r="AN64" s="524">
        <f t="shared" si="115"/>
        <v>1.9999997112357779</v>
      </c>
      <c r="AO64" s="525">
        <f t="shared" si="515"/>
        <v>15.999997689886136</v>
      </c>
      <c r="AP64" s="528">
        <f t="shared" si="117"/>
        <v>0.57335500598282796</v>
      </c>
      <c r="AQ64" s="529">
        <f t="shared" si="274"/>
        <v>1.1970947042746962</v>
      </c>
      <c r="AS64" s="932">
        <f t="shared" si="461"/>
        <v>-239.91001733884826</v>
      </c>
      <c r="AT64" s="928">
        <f t="shared" si="275"/>
        <v>-0.21858987524585946</v>
      </c>
      <c r="AU64" s="418"/>
      <c r="AV64" s="164">
        <f t="shared" si="276"/>
        <v>5.1050000000000004</v>
      </c>
      <c r="AW64" s="797">
        <f>IFERROR(INDEX(MassProp!C$9:C$150,MATCH($M64,MassProp!$B$9:$B$150,0)),"")</f>
        <v>1.161</v>
      </c>
      <c r="AX64" s="744">
        <f>IFERROR(INDEX(MassProp!D$9:D$150,MATCH($M64,MassProp!$B$9:$B$150,0)),"")</f>
        <v>0.2661</v>
      </c>
      <c r="AY64" s="731">
        <f>IFERROR(INDEX(MassProp!E$9:E$150,MATCH($M64,MassProp!$B$9:$B$150,0)),"")</f>
        <v>5.6800000000000003E-2</v>
      </c>
      <c r="AZ64" s="297">
        <f t="shared" si="144"/>
        <v>0.41445152866486568</v>
      </c>
      <c r="BA64" s="296">
        <f t="shared" si="278"/>
        <v>2.1660141064340607E-2</v>
      </c>
      <c r="BB64" s="177">
        <f t="shared" si="145"/>
        <v>0.31802320857919281</v>
      </c>
      <c r="BC64" s="9"/>
      <c r="BD64" s="5">
        <f t="shared" si="146"/>
        <v>1.161</v>
      </c>
      <c r="BE64" s="6">
        <f t="shared" si="280"/>
        <v>-1.1677785799006413E-2</v>
      </c>
      <c r="BF64" s="4">
        <f t="shared" si="281"/>
        <v>-1.0993361550907212</v>
      </c>
      <c r="BG64" s="5">
        <f t="shared" si="282"/>
        <v>-0.63470158182922942</v>
      </c>
      <c r="BH64" s="10">
        <f t="shared" si="283"/>
        <v>-0.32970099437819922</v>
      </c>
      <c r="BI64" s="9">
        <f t="shared" si="147"/>
        <v>-1.0993361550907212</v>
      </c>
      <c r="BJ64" s="5">
        <f t="shared" si="285"/>
        <v>-0.31890690321676451</v>
      </c>
      <c r="BK64" s="8">
        <f t="shared" si="286"/>
        <v>0.61912655631794811</v>
      </c>
      <c r="BL64" s="173">
        <f t="shared" si="287"/>
        <v>-0.22703074604281093</v>
      </c>
      <c r="BM64" s="5">
        <f t="shared" si="288"/>
        <v>-0.17076151230053033</v>
      </c>
      <c r="BN64" s="6">
        <f t="shared" si="289"/>
        <v>-0.4841124098611993</v>
      </c>
      <c r="BO64" s="4">
        <f t="shared" si="148"/>
        <v>-0.48896142316726571</v>
      </c>
      <c r="BP64" s="5">
        <f t="shared" si="239"/>
        <v>0.82766740472592981</v>
      </c>
      <c r="BQ64" s="5">
        <f t="shared" si="149"/>
        <v>-0.27546940630219963</v>
      </c>
      <c r="BR64" s="6">
        <f t="shared" si="150"/>
        <v>-0.10303369710295565</v>
      </c>
      <c r="BS64" s="4">
        <f t="shared" si="483"/>
        <v>0</v>
      </c>
      <c r="BT64" s="5">
        <f t="shared" si="483"/>
        <v>0</v>
      </c>
      <c r="BU64" s="10">
        <f t="shared" si="119"/>
        <v>-1.1677785799006413E-2</v>
      </c>
      <c r="BV64" s="9">
        <f t="shared" si="120"/>
        <v>0</v>
      </c>
      <c r="BW64" s="5">
        <f t="shared" si="121"/>
        <v>1</v>
      </c>
      <c r="BX64" s="8">
        <f t="shared" si="122"/>
        <v>-1.1677785799006413E-2</v>
      </c>
      <c r="BY64" s="173">
        <f t="shared" si="123"/>
        <v>1</v>
      </c>
      <c r="BZ64" s="5">
        <f t="shared" si="124"/>
        <v>0</v>
      </c>
      <c r="CA64" s="6">
        <f t="shared" si="125"/>
        <v>-1.1677785799006413E-2</v>
      </c>
      <c r="CB64" s="4">
        <f t="shared" si="151"/>
        <v>0</v>
      </c>
      <c r="CC64" s="5">
        <f t="shared" si="152"/>
        <v>0</v>
      </c>
      <c r="CD64" s="5">
        <f t="shared" si="153"/>
        <v>-1</v>
      </c>
      <c r="CE64" s="6">
        <f t="shared" si="154"/>
        <v>-1.1677785799006413E-2</v>
      </c>
      <c r="CF64" s="4">
        <f t="shared" si="155"/>
        <v>-0.82766740472592981</v>
      </c>
      <c r="CG64" s="5">
        <f t="shared" si="156"/>
        <v>-0.48896142316726571</v>
      </c>
      <c r="CH64" s="5">
        <f t="shared" si="157"/>
        <v>0</v>
      </c>
      <c r="CI64" s="4">
        <f t="shared" si="126"/>
        <v>0</v>
      </c>
      <c r="CJ64" s="5">
        <f t="shared" si="127"/>
        <v>0.12060016355849124</v>
      </c>
      <c r="CK64" s="8">
        <f t="shared" si="128"/>
        <v>-1.1677785799006413E-2</v>
      </c>
      <c r="CL64" s="173">
        <f t="shared" si="129"/>
        <v>-0.82766740472592981</v>
      </c>
      <c r="CM64" s="5">
        <f t="shared" si="130"/>
        <v>-0.36836125960877447</v>
      </c>
      <c r="CN64" s="6">
        <f t="shared" si="131"/>
        <v>-1.1677785799006413E-2</v>
      </c>
      <c r="CO64" s="167">
        <f t="shared" si="305"/>
        <v>0.3125</v>
      </c>
      <c r="CP64" s="4">
        <f t="shared" si="240"/>
        <v>0.92411660619151392</v>
      </c>
      <c r="CQ64" s="5">
        <f t="shared" si="241"/>
        <v>-2.558396237501638</v>
      </c>
      <c r="CR64" s="5">
        <f t="shared" si="158"/>
        <v>1.7825032196703923</v>
      </c>
      <c r="CS64" s="8">
        <f t="shared" si="159"/>
        <v>-4.3571995486460402E-2</v>
      </c>
      <c r="CT64" s="9" t="e">
        <f t="shared" si="160"/>
        <v>#NUM!</v>
      </c>
      <c r="CU64" s="6" t="e">
        <f t="shared" si="161"/>
        <v>#NUM!</v>
      </c>
      <c r="CV64" s="4" t="e">
        <f t="shared" si="242"/>
        <v>#NUM!</v>
      </c>
      <c r="CW64" s="5" t="e">
        <f t="shared" si="162"/>
        <v>#NUM!</v>
      </c>
      <c r="CX64" s="8" t="e">
        <f t="shared" si="163"/>
        <v>#NUM!</v>
      </c>
      <c r="CY64" s="9" t="e">
        <f t="shared" si="164"/>
        <v>#NUM!</v>
      </c>
      <c r="CZ64" s="5" t="e">
        <f t="shared" si="165"/>
        <v>#NUM!</v>
      </c>
      <c r="DA64" s="6" t="e">
        <f t="shared" si="166"/>
        <v>#NUM!</v>
      </c>
      <c r="DB64" s="4">
        <f t="shared" si="484"/>
        <v>0</v>
      </c>
      <c r="DC64" s="5">
        <f t="shared" si="484"/>
        <v>0</v>
      </c>
      <c r="DD64" s="10">
        <f t="shared" si="168"/>
        <v>-10</v>
      </c>
      <c r="DE64" s="9">
        <f t="shared" si="485"/>
        <v>0</v>
      </c>
      <c r="DF64" s="5">
        <f t="shared" si="485"/>
        <v>0</v>
      </c>
      <c r="DG64" s="10">
        <f t="shared" si="170"/>
        <v>10</v>
      </c>
      <c r="DH64" s="70">
        <f t="shared" si="171"/>
        <v>1.161</v>
      </c>
      <c r="DI64" s="4">
        <f t="shared" si="172"/>
        <v>0</v>
      </c>
      <c r="DJ64" s="5">
        <f t="shared" si="173"/>
        <v>0</v>
      </c>
      <c r="DK64" s="10">
        <f t="shared" si="174"/>
        <v>20</v>
      </c>
      <c r="DL64" s="9" t="e">
        <f t="shared" si="175"/>
        <v>#NUM!</v>
      </c>
      <c r="DM64" s="173" t="e">
        <f t="shared" si="176"/>
        <v>#NUM!</v>
      </c>
      <c r="DN64" s="178" t="e">
        <f t="shared" si="177"/>
        <v>#NUM!</v>
      </c>
      <c r="DO64" s="9" t="e">
        <f t="shared" si="178"/>
        <v>#NUM!</v>
      </c>
      <c r="DP64" s="173" t="e">
        <f t="shared" si="179"/>
        <v>#NUM!</v>
      </c>
      <c r="DQ64" s="11" t="e">
        <f t="shared" si="180"/>
        <v>#NUM!</v>
      </c>
      <c r="DR64" s="173" t="e">
        <f t="shared" si="181"/>
        <v>#NUM!</v>
      </c>
      <c r="DS64" s="5" t="e">
        <f t="shared" si="182"/>
        <v>#NUM!</v>
      </c>
      <c r="DT64" s="5">
        <f t="shared" si="183"/>
        <v>400</v>
      </c>
      <c r="DU64" s="5" t="e">
        <f t="shared" si="184"/>
        <v>#NUM!</v>
      </c>
      <c r="DV64" s="5" t="e">
        <f t="shared" si="185"/>
        <v>#NUM!</v>
      </c>
      <c r="DW64" s="5" t="e">
        <f t="shared" si="186"/>
        <v>#NUM!</v>
      </c>
      <c r="DX64" s="167" t="e">
        <f t="shared" si="187"/>
        <v>#NUM!</v>
      </c>
      <c r="DY64" s="9" t="e">
        <f t="shared" si="188"/>
        <v>#NUM!</v>
      </c>
      <c r="DZ64" s="5" t="e">
        <f t="shared" si="189"/>
        <v>#NUM!</v>
      </c>
      <c r="EA64" s="10" t="e">
        <f t="shared" si="190"/>
        <v>#NUM!</v>
      </c>
      <c r="EB64" s="6" t="e">
        <f t="shared" si="191"/>
        <v>#NUM!</v>
      </c>
      <c r="EC64" s="173" t="e">
        <f t="shared" si="192"/>
        <v>#NUM!</v>
      </c>
      <c r="ED64" s="5" t="e">
        <f t="shared" si="193"/>
        <v>#NUM!</v>
      </c>
      <c r="EE64" s="4" t="e">
        <f t="shared" si="194"/>
        <v>#NUM!</v>
      </c>
      <c r="EF64" s="5" t="e">
        <f t="shared" si="195"/>
        <v>#NUM!</v>
      </c>
      <c r="EG64" s="10" t="e">
        <f t="shared" si="196"/>
        <v>#NUM!</v>
      </c>
      <c r="EH64" s="9" t="e">
        <f t="shared" si="197"/>
        <v>#NUM!</v>
      </c>
      <c r="EI64" s="5" t="e">
        <f t="shared" si="198"/>
        <v>#NUM!</v>
      </c>
      <c r="EJ64" s="6" t="e">
        <f t="shared" si="199"/>
        <v>#NUM!</v>
      </c>
      <c r="EK64" s="236" t="e">
        <f t="shared" si="200"/>
        <v>#NUM!</v>
      </c>
      <c r="EL64" s="238" t="e">
        <f t="shared" si="201"/>
        <v>#NUM!</v>
      </c>
      <c r="EM64" s="4" t="e">
        <f t="shared" si="202"/>
        <v>#NUM!</v>
      </c>
      <c r="EN64" s="5" t="e">
        <f t="shared" si="203"/>
        <v>#NUM!</v>
      </c>
      <c r="EO64" s="10" t="e">
        <f t="shared" si="204"/>
        <v>#NUM!</v>
      </c>
      <c r="EP64" s="9" t="e">
        <f t="shared" si="205"/>
        <v>#NUM!</v>
      </c>
      <c r="EQ64" s="5" t="e">
        <f t="shared" si="206"/>
        <v>#NUM!</v>
      </c>
      <c r="ER64" s="7" t="e">
        <f t="shared" si="207"/>
        <v>#NUM!</v>
      </c>
      <c r="ES64" s="21">
        <f t="shared" si="352"/>
        <v>-0.48896142316726582</v>
      </c>
      <c r="ET64" s="5">
        <f t="shared" si="353"/>
        <v>0.8276674047259297</v>
      </c>
      <c r="EU64" s="10">
        <f t="shared" si="354"/>
        <v>-0.27546940630219946</v>
      </c>
      <c r="EV64" s="174" t="e">
        <f t="shared" si="486"/>
        <v>#NUM!</v>
      </c>
      <c r="EW64" s="9" t="e">
        <f t="shared" si="487"/>
        <v>#NUM!</v>
      </c>
      <c r="EX64" s="5" t="e">
        <f t="shared" si="488"/>
        <v>#NUM!</v>
      </c>
      <c r="EY64" s="6">
        <f t="shared" si="208"/>
        <v>-0.27546940630219946</v>
      </c>
      <c r="EZ64" s="51" t="e">
        <f t="shared" si="209"/>
        <v>#NUM!</v>
      </c>
      <c r="FA64" s="173" t="e">
        <f t="shared" si="489"/>
        <v>#NUM!</v>
      </c>
      <c r="FB64" s="5" t="e">
        <f t="shared" si="490"/>
        <v>#NUM!</v>
      </c>
      <c r="FC64" s="6" t="e">
        <f t="shared" si="491"/>
        <v>#NUM!</v>
      </c>
      <c r="FD64" s="4" t="e">
        <f t="shared" si="492"/>
        <v>#NUM!</v>
      </c>
      <c r="FE64" s="5" t="e">
        <f t="shared" si="493"/>
        <v>#NUM!</v>
      </c>
      <c r="FF64" s="7" t="e">
        <f t="shared" si="210"/>
        <v>#NUM!</v>
      </c>
      <c r="FG64" s="173" t="e">
        <f t="shared" si="494"/>
        <v>#NUM!</v>
      </c>
      <c r="FH64" s="5" t="e">
        <f t="shared" si="495"/>
        <v>#NUM!</v>
      </c>
      <c r="FI64" s="10" t="e">
        <f t="shared" si="496"/>
        <v>#NUM!</v>
      </c>
      <c r="FJ64" s="279" t="e">
        <f t="shared" si="212"/>
        <v>#NUM!</v>
      </c>
      <c r="FK64" s="4">
        <f t="shared" si="497"/>
        <v>0.96130983880927479</v>
      </c>
      <c r="FL64" s="5" t="e">
        <f t="shared" si="213"/>
        <v>#NUM!</v>
      </c>
      <c r="FM64" s="8" t="e">
        <f t="shared" si="214"/>
        <v>#NUM!</v>
      </c>
      <c r="FN64" s="9" t="e">
        <f t="shared" si="215"/>
        <v>#NUM!</v>
      </c>
      <c r="FO64" s="10" t="e">
        <f t="shared" si="498"/>
        <v>#NUM!</v>
      </c>
      <c r="FP64" s="277" t="e">
        <f t="shared" si="499"/>
        <v>#NUM!</v>
      </c>
      <c r="FQ64" s="173" t="e">
        <f t="shared" si="243"/>
        <v>#NUM!</v>
      </c>
      <c r="FR64" s="10" t="e">
        <f t="shared" si="216"/>
        <v>#NUM!</v>
      </c>
      <c r="FS64" s="9" t="e">
        <f t="shared" si="217"/>
        <v>#NUM!</v>
      </c>
      <c r="FT64" s="6" t="e">
        <f t="shared" si="218"/>
        <v>#NUM!</v>
      </c>
      <c r="FU64" s="4" t="e">
        <f t="shared" si="219"/>
        <v>#NUM!</v>
      </c>
      <c r="FV64" s="5" t="e">
        <f t="shared" si="220"/>
        <v>#NUM!</v>
      </c>
      <c r="FW64" s="8" t="e">
        <f t="shared" si="244"/>
        <v>#NUM!</v>
      </c>
      <c r="FX64" s="9" t="e">
        <f t="shared" si="245"/>
        <v>#NUM!</v>
      </c>
      <c r="FY64" s="10" t="e">
        <f t="shared" si="500"/>
        <v>#NUM!</v>
      </c>
      <c r="FZ64" s="277" t="e">
        <f t="shared" si="246"/>
        <v>#NUM!</v>
      </c>
      <c r="GA64" s="177" t="e">
        <f t="shared" si="221"/>
        <v>#NUM!</v>
      </c>
      <c r="GB64" s="4" t="e">
        <f t="shared" si="222"/>
        <v>#NUM!</v>
      </c>
      <c r="GC64" s="5" t="e">
        <f t="shared" si="223"/>
        <v>#NUM!</v>
      </c>
      <c r="GD64" s="10" t="e">
        <f t="shared" si="224"/>
        <v>#NUM!</v>
      </c>
      <c r="GE64" s="311" t="e">
        <f t="shared" si="225"/>
        <v>#NUM!</v>
      </c>
      <c r="GF64" s="341" t="e">
        <f t="shared" si="247"/>
        <v>#NUM!</v>
      </c>
      <c r="GG64" s="285" t="e">
        <f t="shared" si="501"/>
        <v>#NUM!</v>
      </c>
      <c r="GH64" s="286" t="e">
        <f t="shared" si="502"/>
        <v>#NUM!</v>
      </c>
      <c r="GI64" s="281" t="e">
        <f t="shared" si="503"/>
        <v>#NUM!</v>
      </c>
      <c r="GJ64" s="167">
        <f t="shared" si="226"/>
        <v>1.161</v>
      </c>
      <c r="GK64" s="174">
        <f t="shared" si="504"/>
        <v>0.60805682022427476</v>
      </c>
      <c r="GL64" s="174">
        <f t="shared" si="227"/>
        <v>5.6800000000000003E-2</v>
      </c>
      <c r="GM64" s="177">
        <f t="shared" si="248"/>
        <v>0.41445152866486568</v>
      </c>
      <c r="GN64" s="280">
        <f t="shared" si="228"/>
        <v>2.1660141064340607E-2</v>
      </c>
      <c r="GO64" s="4" t="e">
        <f t="shared" si="229"/>
        <v>#NUM!</v>
      </c>
      <c r="GP64" s="8" t="e">
        <f t="shared" si="249"/>
        <v>#NUM!</v>
      </c>
      <c r="GQ64" s="177" t="e">
        <f t="shared" si="230"/>
        <v>#NUM!</v>
      </c>
      <c r="GR64" s="371" t="e">
        <f t="shared" si="250"/>
        <v>#NUM!</v>
      </c>
      <c r="GS64" s="342" t="e">
        <f t="shared" si="505"/>
        <v>#NUM!</v>
      </c>
      <c r="GT64" s="343" t="e">
        <f t="shared" si="506"/>
        <v>#NUM!</v>
      </c>
      <c r="GU64" s="344">
        <f t="shared" si="507"/>
        <v>1018.8600079677949</v>
      </c>
      <c r="GV64" s="343">
        <f t="shared" si="252"/>
        <v>1675.6000000000001</v>
      </c>
      <c r="GW64" s="345">
        <f t="shared" si="508"/>
        <v>29500</v>
      </c>
      <c r="GX64" s="346">
        <f t="shared" si="509"/>
        <v>162.11430000000001</v>
      </c>
      <c r="GY64" s="344" t="e">
        <f t="shared" si="510"/>
        <v>#NUM!</v>
      </c>
      <c r="GZ64" s="345" t="e">
        <f t="shared" si="511"/>
        <v>#NUM!</v>
      </c>
      <c r="HA64" s="342" t="e">
        <f t="shared" si="512"/>
        <v>#NUM!</v>
      </c>
      <c r="HB64" s="5" t="e">
        <f t="shared" si="231"/>
        <v>#NUM!</v>
      </c>
      <c r="HC64" s="343" t="e">
        <f t="shared" si="232"/>
        <v>#NUM!</v>
      </c>
      <c r="HD64" s="363" t="e">
        <f t="shared" si="233"/>
        <v>#NUM!</v>
      </c>
      <c r="HE64" s="344" t="e">
        <f t="shared" si="513"/>
        <v>#NUM!</v>
      </c>
      <c r="HF64" s="5" t="e">
        <f t="shared" si="514"/>
        <v>#NUM!</v>
      </c>
      <c r="HG64" s="343" t="e">
        <f t="shared" si="234"/>
        <v>#NUM!</v>
      </c>
      <c r="HH64" s="349" t="e">
        <f t="shared" si="235"/>
        <v>#NUM!</v>
      </c>
      <c r="HI64" s="317">
        <f t="shared" si="408"/>
        <v>5.1050000000000004</v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5.1050000000000004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>
        <v>1.26061250569537E-2</v>
      </c>
      <c r="IP64" s="5" t="str">
        <f t="shared" si="428"/>
        <v/>
      </c>
      <c r="IQ64" s="714">
        <v>420</v>
      </c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</v>
      </c>
      <c r="B65" s="578">
        <f t="shared" si="257"/>
        <v>-1.705642474752777</v>
      </c>
      <c r="C65" s="572">
        <f t="shared" si="258"/>
        <v>-0.98475245424032409</v>
      </c>
      <c r="D65" s="576">
        <f t="shared" si="259"/>
        <v>-0.16390049432389092</v>
      </c>
      <c r="E65" s="580">
        <f t="shared" si="260"/>
        <v>0.47021826467810257</v>
      </c>
      <c r="F65" s="572">
        <f t="shared" si="261"/>
        <v>-0.83848876476804168</v>
      </c>
      <c r="G65" s="579">
        <f t="shared" si="262"/>
        <v>0.27537497148593132</v>
      </c>
      <c r="H65" s="580">
        <f t="shared" si="263"/>
        <v>0.3125</v>
      </c>
      <c r="I65" s="572">
        <f t="shared" si="264"/>
        <v>0.52</v>
      </c>
      <c r="J65" s="483">
        <f t="shared" si="265"/>
        <v>5.1079999999999997</v>
      </c>
      <c r="K65" s="806">
        <f t="shared" si="266"/>
        <v>1613</v>
      </c>
      <c r="L65" s="309"/>
      <c r="M65" s="164">
        <f t="shared" si="267"/>
        <v>5.1079999999999997</v>
      </c>
      <c r="N65" s="575">
        <f t="shared" si="268"/>
        <v>-1.705642474752777</v>
      </c>
      <c r="O65" s="572">
        <f t="shared" si="269"/>
        <v>-0.98475245424032409</v>
      </c>
      <c r="P65" s="576">
        <f t="shared" si="270"/>
        <v>-0.16390049432389092</v>
      </c>
      <c r="Q65" s="528">
        <f t="shared" si="140"/>
        <v>209.99998267414614</v>
      </c>
      <c r="R65" s="572">
        <f t="shared" si="101"/>
        <v>1.9695059400299149</v>
      </c>
      <c r="S65" s="577">
        <f t="shared" si="102"/>
        <v>-0.16390049432389092</v>
      </c>
      <c r="T65" s="578">
        <f t="shared" si="103"/>
        <v>-0.98743045479683333</v>
      </c>
      <c r="U65" s="572">
        <f t="shared" si="104"/>
        <v>1.7040935258232857</v>
      </c>
      <c r="V65" s="579">
        <f t="shared" si="141"/>
        <v>-0.16390049432389092</v>
      </c>
      <c r="W65" s="528">
        <f t="shared" si="253"/>
        <v>120.08998266115175</v>
      </c>
      <c r="X65" s="572">
        <f t="shared" si="105"/>
        <v>1.9695059400299149</v>
      </c>
      <c r="Y65" s="573">
        <f t="shared" si="255"/>
        <v>-0.16390049432389092</v>
      </c>
      <c r="Z65" s="575">
        <f t="shared" si="271"/>
        <v>-0.47021826467810257</v>
      </c>
      <c r="AA65" s="572">
        <f t="shared" si="272"/>
        <v>0.83848876476804168</v>
      </c>
      <c r="AB65" s="572">
        <f t="shared" si="273"/>
        <v>-0.27537497148593132</v>
      </c>
      <c r="AC65" s="579">
        <f t="shared" si="106"/>
        <v>1</v>
      </c>
      <c r="AD65" s="580">
        <f t="shared" si="142"/>
        <v>-0.47021826467810257</v>
      </c>
      <c r="AE65" s="572">
        <f t="shared" si="107"/>
        <v>0.83848876476804168</v>
      </c>
      <c r="AF65" s="576">
        <f t="shared" si="108"/>
        <v>-0.27537497148593132</v>
      </c>
      <c r="AG65" s="545">
        <f t="shared" si="109"/>
        <v>71.818878514253868</v>
      </c>
      <c r="AH65" s="546">
        <f t="shared" si="110"/>
        <v>118.04846549861247</v>
      </c>
      <c r="AI65" s="528">
        <f t="shared" si="111"/>
        <v>-74.01563874514477</v>
      </c>
      <c r="AJ65" s="529">
        <f t="shared" si="112"/>
        <v>-150.71661576463751</v>
      </c>
      <c r="AK65" s="578">
        <f t="shared" si="238"/>
        <v>0.96126170705176617</v>
      </c>
      <c r="AL65" s="572">
        <f t="shared" si="113"/>
        <v>-1.2023129170350144E-2</v>
      </c>
      <c r="AM65" s="577">
        <f t="shared" si="114"/>
        <v>-0.27537497148593132</v>
      </c>
      <c r="AN65" s="524">
        <f t="shared" si="115"/>
        <v>-2.4999996390447317</v>
      </c>
      <c r="AO65" s="525">
        <f t="shared" si="515"/>
        <v>15.99999768988615</v>
      </c>
      <c r="AP65" s="528">
        <f t="shared" si="117"/>
        <v>-0.71659843878365403</v>
      </c>
      <c r="AQ65" s="529">
        <f t="shared" si="274"/>
        <v>0.77162796944110834</v>
      </c>
      <c r="AS65" s="932">
        <f t="shared" si="461"/>
        <v>-239.91001733884826</v>
      </c>
      <c r="AT65" s="928">
        <f t="shared" si="275"/>
        <v>-5.2789375191551163E-2</v>
      </c>
      <c r="AU65" s="418"/>
      <c r="AV65" s="164">
        <f t="shared" si="276"/>
        <v>5.1079999999999997</v>
      </c>
      <c r="AW65" s="797">
        <f>IFERROR(INDEX(MassProp!C$9:C$150,MATCH($M65,MassProp!$B$9:$B$150,0)),"")</f>
        <v>1.8936999999999999</v>
      </c>
      <c r="AX65" s="744">
        <f>IFERROR(INDEX(MassProp!D$9:D$150,MATCH($M65,MassProp!$B$9:$B$150,0)),"")</f>
        <v>0.43959999999999999</v>
      </c>
      <c r="AY65" s="731">
        <f>IFERROR(INDEX(MassProp!E$9:E$150,MATCH($M65,MassProp!$B$9:$B$150,0)),"")</f>
        <v>6.4399999999999999E-2</v>
      </c>
      <c r="AZ65" s="297">
        <f t="shared" si="144"/>
        <v>0.76633650963298272</v>
      </c>
      <c r="BA65" s="296">
        <f t="shared" si="278"/>
        <v>4.0050417849531179E-2</v>
      </c>
      <c r="BB65" s="177">
        <f t="shared" si="145"/>
        <v>0.3257227085248845</v>
      </c>
      <c r="BC65" s="9"/>
      <c r="BD65" s="5">
        <f t="shared" si="146"/>
        <v>1.8936999999999999</v>
      </c>
      <c r="BE65" s="6">
        <f t="shared" si="280"/>
        <v>0.16182221420099357</v>
      </c>
      <c r="BF65" s="4">
        <f t="shared" si="281"/>
        <v>-1.705642474752777</v>
      </c>
      <c r="BG65" s="5">
        <f t="shared" si="282"/>
        <v>-0.98475245424032409</v>
      </c>
      <c r="BH65" s="10">
        <f t="shared" si="283"/>
        <v>-0.16390049432389092</v>
      </c>
      <c r="BI65" s="9">
        <f t="shared" si="147"/>
        <v>-1.705642474752777</v>
      </c>
      <c r="BJ65" s="5">
        <f t="shared" si="285"/>
        <v>-0.67273056108799678</v>
      </c>
      <c r="BK65" s="8">
        <f t="shared" si="286"/>
        <v>0.78617441756129169</v>
      </c>
      <c r="BL65" s="173">
        <f t="shared" si="287"/>
        <v>-0.82309231551925566</v>
      </c>
      <c r="BM65" s="5">
        <f t="shared" si="288"/>
        <v>-0.5380098778594723</v>
      </c>
      <c r="BN65" s="6">
        <f t="shared" si="289"/>
        <v>-0.31061888746355459</v>
      </c>
      <c r="BO65" s="4">
        <f t="shared" si="148"/>
        <v>-0.4702182646781024</v>
      </c>
      <c r="BP65" s="5">
        <f t="shared" si="239"/>
        <v>0.83848876476804135</v>
      </c>
      <c r="BQ65" s="5">
        <f t="shared" si="149"/>
        <v>-0.27537497148593126</v>
      </c>
      <c r="BR65" s="6">
        <f t="shared" si="150"/>
        <v>-2.1454469632219801E-2</v>
      </c>
      <c r="BS65" s="4">
        <f t="shared" si="483"/>
        <v>0</v>
      </c>
      <c r="BT65" s="5">
        <f t="shared" si="483"/>
        <v>0</v>
      </c>
      <c r="BU65" s="10">
        <f t="shared" si="119"/>
        <v>0.16182221420099357</v>
      </c>
      <c r="BV65" s="9">
        <f t="shared" si="120"/>
        <v>0</v>
      </c>
      <c r="BW65" s="5">
        <f t="shared" si="121"/>
        <v>1</v>
      </c>
      <c r="BX65" s="8">
        <f t="shared" si="122"/>
        <v>0.16182221420099357</v>
      </c>
      <c r="BY65" s="173">
        <f t="shared" si="123"/>
        <v>1</v>
      </c>
      <c r="BZ65" s="5">
        <f t="shared" si="124"/>
        <v>0</v>
      </c>
      <c r="CA65" s="6">
        <f t="shared" si="125"/>
        <v>0.16182221420099357</v>
      </c>
      <c r="CB65" s="4">
        <f t="shared" si="151"/>
        <v>0</v>
      </c>
      <c r="CC65" s="5">
        <f t="shared" si="152"/>
        <v>0</v>
      </c>
      <c r="CD65" s="5">
        <f t="shared" si="153"/>
        <v>-1</v>
      </c>
      <c r="CE65" s="6">
        <f t="shared" si="154"/>
        <v>0.16182221420099357</v>
      </c>
      <c r="CF65" s="4">
        <f t="shared" si="155"/>
        <v>-0.83848876476804135</v>
      </c>
      <c r="CG65" s="5">
        <f t="shared" si="156"/>
        <v>-0.4702182646781024</v>
      </c>
      <c r="CH65" s="5">
        <f t="shared" si="157"/>
        <v>0</v>
      </c>
      <c r="CI65" s="4">
        <f t="shared" si="126"/>
        <v>0</v>
      </c>
      <c r="CJ65" s="5">
        <f t="shared" si="127"/>
        <v>7.8732429136210716E-2</v>
      </c>
      <c r="CK65" s="8">
        <f t="shared" si="128"/>
        <v>0.16182221420099357</v>
      </c>
      <c r="CL65" s="173">
        <f t="shared" si="129"/>
        <v>-0.83848876476804135</v>
      </c>
      <c r="CM65" s="5">
        <f t="shared" si="130"/>
        <v>-0.3914858355418917</v>
      </c>
      <c r="CN65" s="6">
        <f t="shared" si="131"/>
        <v>0.16182221420099357</v>
      </c>
      <c r="CO65" s="167">
        <f t="shared" si="305"/>
        <v>0.3125</v>
      </c>
      <c r="CP65" s="4">
        <f t="shared" si="240"/>
        <v>0.92416862507912179</v>
      </c>
      <c r="CQ65" s="5">
        <f t="shared" si="241"/>
        <v>-3.8604641363281389</v>
      </c>
      <c r="CR65" s="5">
        <f t="shared" si="158"/>
        <v>4.048655381699966</v>
      </c>
      <c r="CS65" s="8">
        <f t="shared" si="159"/>
        <v>-6.3377762223614909E-2</v>
      </c>
      <c r="CT65" s="9" t="e">
        <f t="shared" si="160"/>
        <v>#NUM!</v>
      </c>
      <c r="CU65" s="6" t="e">
        <f t="shared" si="161"/>
        <v>#NUM!</v>
      </c>
      <c r="CV65" s="4" t="e">
        <f t="shared" si="242"/>
        <v>#NUM!</v>
      </c>
      <c r="CW65" s="5" t="e">
        <f t="shared" si="162"/>
        <v>#NUM!</v>
      </c>
      <c r="CX65" s="8" t="e">
        <f t="shared" si="163"/>
        <v>#NUM!</v>
      </c>
      <c r="CY65" s="9" t="e">
        <f t="shared" si="164"/>
        <v>#NUM!</v>
      </c>
      <c r="CZ65" s="5" t="e">
        <f t="shared" si="165"/>
        <v>#NUM!</v>
      </c>
      <c r="DA65" s="6" t="e">
        <f t="shared" si="166"/>
        <v>#NUM!</v>
      </c>
      <c r="DB65" s="4">
        <f t="shared" si="484"/>
        <v>0</v>
      </c>
      <c r="DC65" s="5">
        <f t="shared" si="484"/>
        <v>0</v>
      </c>
      <c r="DD65" s="10">
        <f t="shared" si="168"/>
        <v>-10</v>
      </c>
      <c r="DE65" s="9">
        <f t="shared" si="485"/>
        <v>0</v>
      </c>
      <c r="DF65" s="5">
        <f t="shared" si="485"/>
        <v>0</v>
      </c>
      <c r="DG65" s="10">
        <f t="shared" si="170"/>
        <v>10</v>
      </c>
      <c r="DH65" s="70">
        <f t="shared" si="171"/>
        <v>1.8936999999999999</v>
      </c>
      <c r="DI65" s="4">
        <f t="shared" si="172"/>
        <v>0</v>
      </c>
      <c r="DJ65" s="5">
        <f t="shared" si="173"/>
        <v>0</v>
      </c>
      <c r="DK65" s="10">
        <f t="shared" si="174"/>
        <v>20</v>
      </c>
      <c r="DL65" s="9" t="e">
        <f t="shared" si="175"/>
        <v>#NUM!</v>
      </c>
      <c r="DM65" s="173" t="e">
        <f t="shared" si="176"/>
        <v>#NUM!</v>
      </c>
      <c r="DN65" s="178" t="e">
        <f t="shared" si="177"/>
        <v>#NUM!</v>
      </c>
      <c r="DO65" s="9" t="e">
        <f t="shared" si="178"/>
        <v>#NUM!</v>
      </c>
      <c r="DP65" s="173" t="e">
        <f t="shared" si="179"/>
        <v>#NUM!</v>
      </c>
      <c r="DQ65" s="11" t="e">
        <f t="shared" si="180"/>
        <v>#NUM!</v>
      </c>
      <c r="DR65" s="173" t="e">
        <f t="shared" si="181"/>
        <v>#NUM!</v>
      </c>
      <c r="DS65" s="5" t="e">
        <f t="shared" si="182"/>
        <v>#NUM!</v>
      </c>
      <c r="DT65" s="5">
        <f t="shared" si="183"/>
        <v>400</v>
      </c>
      <c r="DU65" s="5" t="e">
        <f t="shared" si="184"/>
        <v>#NUM!</v>
      </c>
      <c r="DV65" s="5" t="e">
        <f t="shared" si="185"/>
        <v>#NUM!</v>
      </c>
      <c r="DW65" s="5" t="e">
        <f t="shared" si="186"/>
        <v>#NUM!</v>
      </c>
      <c r="DX65" s="167" t="e">
        <f t="shared" si="187"/>
        <v>#NUM!</v>
      </c>
      <c r="DY65" s="9" t="e">
        <f t="shared" si="188"/>
        <v>#NUM!</v>
      </c>
      <c r="DZ65" s="5" t="e">
        <f t="shared" si="189"/>
        <v>#NUM!</v>
      </c>
      <c r="EA65" s="10" t="e">
        <f t="shared" si="190"/>
        <v>#NUM!</v>
      </c>
      <c r="EB65" s="6" t="e">
        <f t="shared" si="191"/>
        <v>#NUM!</v>
      </c>
      <c r="EC65" s="173" t="e">
        <f t="shared" si="192"/>
        <v>#NUM!</v>
      </c>
      <c r="ED65" s="5" t="e">
        <f t="shared" si="193"/>
        <v>#NUM!</v>
      </c>
      <c r="EE65" s="4" t="e">
        <f t="shared" si="194"/>
        <v>#NUM!</v>
      </c>
      <c r="EF65" s="5" t="e">
        <f t="shared" si="195"/>
        <v>#NUM!</v>
      </c>
      <c r="EG65" s="10" t="e">
        <f t="shared" si="196"/>
        <v>#NUM!</v>
      </c>
      <c r="EH65" s="9" t="e">
        <f t="shared" si="197"/>
        <v>#NUM!</v>
      </c>
      <c r="EI65" s="5" t="e">
        <f t="shared" si="198"/>
        <v>#NUM!</v>
      </c>
      <c r="EJ65" s="6" t="e">
        <f t="shared" si="199"/>
        <v>#NUM!</v>
      </c>
      <c r="EK65" s="236" t="e">
        <f t="shared" si="200"/>
        <v>#NUM!</v>
      </c>
      <c r="EL65" s="238" t="e">
        <f t="shared" si="201"/>
        <v>#NUM!</v>
      </c>
      <c r="EM65" s="4" t="e">
        <f t="shared" si="202"/>
        <v>#NUM!</v>
      </c>
      <c r="EN65" s="5" t="e">
        <f t="shared" si="203"/>
        <v>#NUM!</v>
      </c>
      <c r="EO65" s="10" t="e">
        <f t="shared" si="204"/>
        <v>#NUM!</v>
      </c>
      <c r="EP65" s="9" t="e">
        <f t="shared" si="205"/>
        <v>#NUM!</v>
      </c>
      <c r="EQ65" s="5" t="e">
        <f t="shared" si="206"/>
        <v>#NUM!</v>
      </c>
      <c r="ER65" s="7" t="e">
        <f t="shared" si="207"/>
        <v>#NUM!</v>
      </c>
      <c r="ES65" s="21">
        <f t="shared" si="352"/>
        <v>-0.47021826467810257</v>
      </c>
      <c r="ET65" s="5">
        <f t="shared" si="353"/>
        <v>0.83848876476804168</v>
      </c>
      <c r="EU65" s="10">
        <f t="shared" si="354"/>
        <v>-0.27537497148593132</v>
      </c>
      <c r="EV65" s="174" t="e">
        <f t="shared" si="486"/>
        <v>#NUM!</v>
      </c>
      <c r="EW65" s="9" t="e">
        <f t="shared" si="487"/>
        <v>#NUM!</v>
      </c>
      <c r="EX65" s="5" t="e">
        <f t="shared" si="488"/>
        <v>#NUM!</v>
      </c>
      <c r="EY65" s="6">
        <f t="shared" si="208"/>
        <v>-0.27537497148593132</v>
      </c>
      <c r="EZ65" s="51" t="e">
        <f t="shared" si="209"/>
        <v>#NUM!</v>
      </c>
      <c r="FA65" s="173" t="e">
        <f t="shared" si="489"/>
        <v>#NUM!</v>
      </c>
      <c r="FB65" s="5" t="e">
        <f t="shared" si="490"/>
        <v>#NUM!</v>
      </c>
      <c r="FC65" s="6" t="e">
        <f t="shared" si="491"/>
        <v>#NUM!</v>
      </c>
      <c r="FD65" s="4" t="e">
        <f t="shared" si="492"/>
        <v>#NUM!</v>
      </c>
      <c r="FE65" s="5" t="e">
        <f t="shared" si="493"/>
        <v>#NUM!</v>
      </c>
      <c r="FF65" s="7" t="e">
        <f t="shared" si="210"/>
        <v>#NUM!</v>
      </c>
      <c r="FG65" s="173" t="e">
        <f t="shared" si="494"/>
        <v>#NUM!</v>
      </c>
      <c r="FH65" s="5" t="e">
        <f t="shared" si="495"/>
        <v>#NUM!</v>
      </c>
      <c r="FI65" s="10" t="e">
        <f t="shared" si="496"/>
        <v>#NUM!</v>
      </c>
      <c r="FJ65" s="279" t="e">
        <f t="shared" si="212"/>
        <v>#NUM!</v>
      </c>
      <c r="FK65" s="4">
        <f t="shared" si="497"/>
        <v>0.96133689468319194</v>
      </c>
      <c r="FL65" s="5" t="e">
        <f t="shared" si="213"/>
        <v>#NUM!</v>
      </c>
      <c r="FM65" s="8" t="e">
        <f t="shared" si="214"/>
        <v>#NUM!</v>
      </c>
      <c r="FN65" s="9" t="e">
        <f t="shared" si="215"/>
        <v>#NUM!</v>
      </c>
      <c r="FO65" s="10" t="e">
        <f t="shared" si="498"/>
        <v>#NUM!</v>
      </c>
      <c r="FP65" s="277" t="e">
        <f t="shared" si="499"/>
        <v>#NUM!</v>
      </c>
      <c r="FQ65" s="173" t="e">
        <f t="shared" si="243"/>
        <v>#NUM!</v>
      </c>
      <c r="FR65" s="10" t="e">
        <f t="shared" si="216"/>
        <v>#NUM!</v>
      </c>
      <c r="FS65" s="9" t="e">
        <f t="shared" si="217"/>
        <v>#NUM!</v>
      </c>
      <c r="FT65" s="6" t="e">
        <f t="shared" si="218"/>
        <v>#NUM!</v>
      </c>
      <c r="FU65" s="4" t="e">
        <f t="shared" si="219"/>
        <v>#NUM!</v>
      </c>
      <c r="FV65" s="5" t="e">
        <f t="shared" si="220"/>
        <v>#NUM!</v>
      </c>
      <c r="FW65" s="8" t="e">
        <f t="shared" si="244"/>
        <v>#NUM!</v>
      </c>
      <c r="FX65" s="9" t="e">
        <f t="shared" si="245"/>
        <v>#NUM!</v>
      </c>
      <c r="FY65" s="10" t="e">
        <f t="shared" si="500"/>
        <v>#NUM!</v>
      </c>
      <c r="FZ65" s="277" t="e">
        <f t="shared" si="246"/>
        <v>#NUM!</v>
      </c>
      <c r="GA65" s="177" t="e">
        <f t="shared" si="221"/>
        <v>#NUM!</v>
      </c>
      <c r="GB65" s="4" t="e">
        <f t="shared" si="222"/>
        <v>#NUM!</v>
      </c>
      <c r="GC65" s="5" t="e">
        <f t="shared" si="223"/>
        <v>#NUM!</v>
      </c>
      <c r="GD65" s="10" t="e">
        <f t="shared" si="224"/>
        <v>#NUM!</v>
      </c>
      <c r="GE65" s="311" t="e">
        <f t="shared" si="225"/>
        <v>#NUM!</v>
      </c>
      <c r="GF65" s="341" t="e">
        <f t="shared" si="247"/>
        <v>#NUM!</v>
      </c>
      <c r="GG65" s="285" t="e">
        <f t="shared" si="501"/>
        <v>#NUM!</v>
      </c>
      <c r="GH65" s="286" t="e">
        <f t="shared" si="502"/>
        <v>#NUM!</v>
      </c>
      <c r="GI65" s="281" t="e">
        <f t="shared" si="503"/>
        <v>#NUM!</v>
      </c>
      <c r="GJ65" s="167">
        <f t="shared" si="226"/>
        <v>1.8936999999999999</v>
      </c>
      <c r="GK65" s="174">
        <f t="shared" si="504"/>
        <v>0.9916362702290149</v>
      </c>
      <c r="GL65" s="174">
        <f t="shared" si="227"/>
        <v>6.4399999999999999E-2</v>
      </c>
      <c r="GM65" s="177">
        <f t="shared" si="248"/>
        <v>0.76633650963298272</v>
      </c>
      <c r="GN65" s="280">
        <f t="shared" si="228"/>
        <v>4.0050417849531179E-2</v>
      </c>
      <c r="GO65" s="4" t="e">
        <f t="shared" si="229"/>
        <v>#NUM!</v>
      </c>
      <c r="GP65" s="8" t="e">
        <f t="shared" si="249"/>
        <v>#NUM!</v>
      </c>
      <c r="GQ65" s="177" t="e">
        <f t="shared" si="230"/>
        <v>#NUM!</v>
      </c>
      <c r="GR65" s="371" t="e">
        <f t="shared" si="250"/>
        <v>#NUM!</v>
      </c>
      <c r="GS65" s="342" t="e">
        <f t="shared" si="505"/>
        <v>#NUM!</v>
      </c>
      <c r="GT65" s="343" t="e">
        <f t="shared" si="506"/>
        <v>#NUM!</v>
      </c>
      <c r="GU65" s="344">
        <f t="shared" si="507"/>
        <v>1883.9105861810824</v>
      </c>
      <c r="GV65" s="343">
        <f t="shared" si="252"/>
        <v>1899.8</v>
      </c>
      <c r="GW65" s="345">
        <f t="shared" si="508"/>
        <v>29500</v>
      </c>
      <c r="GX65" s="346">
        <f t="shared" si="509"/>
        <v>299.80427166666664</v>
      </c>
      <c r="GY65" s="344" t="e">
        <f t="shared" si="510"/>
        <v>#NUM!</v>
      </c>
      <c r="GZ65" s="345" t="e">
        <f t="shared" si="511"/>
        <v>#NUM!</v>
      </c>
      <c r="HA65" s="342" t="e">
        <f t="shared" si="512"/>
        <v>#NUM!</v>
      </c>
      <c r="HB65" s="5" t="e">
        <f t="shared" si="231"/>
        <v>#NUM!</v>
      </c>
      <c r="HC65" s="343" t="e">
        <f t="shared" si="232"/>
        <v>#NUM!</v>
      </c>
      <c r="HD65" s="363" t="e">
        <f t="shared" si="233"/>
        <v>#NUM!</v>
      </c>
      <c r="HE65" s="344" t="e">
        <f t="shared" si="513"/>
        <v>#NUM!</v>
      </c>
      <c r="HF65" s="5" t="e">
        <f t="shared" si="514"/>
        <v>#NUM!</v>
      </c>
      <c r="HG65" s="343" t="e">
        <f t="shared" si="234"/>
        <v>#NUM!</v>
      </c>
      <c r="HH65" s="349" t="e">
        <f t="shared" si="235"/>
        <v>#NUM!</v>
      </c>
      <c r="HI65" s="317">
        <f t="shared" si="408"/>
        <v>5.1079999999999997</v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5.1079999999999997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>
        <v>1.0638024943180399E-2</v>
      </c>
      <c r="IP65" s="5" t="str">
        <f t="shared" si="428"/>
        <v/>
      </c>
      <c r="IQ65" s="714">
        <v>480</v>
      </c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</v>
      </c>
      <c r="B66" s="578">
        <f t="shared" si="257"/>
        <v>-2.3492404885038742</v>
      </c>
      <c r="C66" s="572">
        <f t="shared" si="258"/>
        <v>-1.3421567133724324</v>
      </c>
      <c r="D66" s="576">
        <f t="shared" si="259"/>
        <v>-0.19420058570896676</v>
      </c>
      <c r="E66" s="580">
        <f t="shared" si="260"/>
        <v>0.41490435954480293</v>
      </c>
      <c r="F66" s="572">
        <f t="shared" si="261"/>
        <v>-0.87003900070516704</v>
      </c>
      <c r="G66" s="579">
        <f t="shared" si="262"/>
        <v>0.26624520593368706</v>
      </c>
      <c r="H66" s="580">
        <f t="shared" si="263"/>
        <v>0.3125</v>
      </c>
      <c r="I66" s="572">
        <f t="shared" si="264"/>
        <v>0.52</v>
      </c>
      <c r="J66" s="483">
        <f t="shared" si="265"/>
        <v>5.1130000000000004</v>
      </c>
      <c r="K66" s="806">
        <f t="shared" si="266"/>
        <v>1613</v>
      </c>
      <c r="L66" s="309"/>
      <c r="M66" s="164">
        <f t="shared" si="267"/>
        <v>5.1130000000000004</v>
      </c>
      <c r="N66" s="575">
        <f t="shared" si="268"/>
        <v>-2.3492404885038742</v>
      </c>
      <c r="O66" s="572">
        <f t="shared" si="269"/>
        <v>-1.3421567133724324</v>
      </c>
      <c r="P66" s="576">
        <f t="shared" si="270"/>
        <v>-0.19420058570896676</v>
      </c>
      <c r="Q66" s="528">
        <f t="shared" si="140"/>
        <v>209.73998271168549</v>
      </c>
      <c r="R66" s="572">
        <f t="shared" si="101"/>
        <v>2.7056081601142119</v>
      </c>
      <c r="S66" s="577">
        <f t="shared" si="102"/>
        <v>-0.19420058570896676</v>
      </c>
      <c r="T66" s="578">
        <f t="shared" si="103"/>
        <v>-1.3458452338335551</v>
      </c>
      <c r="U66" s="572">
        <f t="shared" si="104"/>
        <v>2.3471293365820545</v>
      </c>
      <c r="V66" s="579">
        <f t="shared" si="141"/>
        <v>-0.19420058570896676</v>
      </c>
      <c r="W66" s="528">
        <f t="shared" si="253"/>
        <v>119.8299826986911</v>
      </c>
      <c r="X66" s="572">
        <f t="shared" si="105"/>
        <v>2.7056081601142119</v>
      </c>
      <c r="Y66" s="573">
        <f t="shared" si="255"/>
        <v>-0.19420058570896676</v>
      </c>
      <c r="Z66" s="575">
        <f t="shared" si="271"/>
        <v>-0.41490435954480293</v>
      </c>
      <c r="AA66" s="572">
        <f t="shared" si="272"/>
        <v>0.87003900070516704</v>
      </c>
      <c r="AB66" s="572">
        <f t="shared" si="273"/>
        <v>-0.26624520593368706</v>
      </c>
      <c r="AC66" s="579">
        <f t="shared" si="106"/>
        <v>1</v>
      </c>
      <c r="AD66" s="580">
        <f t="shared" si="142"/>
        <v>-0.41490435954480293</v>
      </c>
      <c r="AE66" s="572">
        <f t="shared" si="107"/>
        <v>0.87003900070516704</v>
      </c>
      <c r="AF66" s="576">
        <f t="shared" si="108"/>
        <v>-0.26624520593368706</v>
      </c>
      <c r="AG66" s="545">
        <f t="shared" si="109"/>
        <v>72.985090127023611</v>
      </c>
      <c r="AH66" s="546">
        <f t="shared" si="110"/>
        <v>114.51329369362337</v>
      </c>
      <c r="AI66" s="528">
        <f t="shared" si="111"/>
        <v>-74.55904373138371</v>
      </c>
      <c r="AJ66" s="529">
        <f t="shared" si="112"/>
        <v>-154.50445067407605</v>
      </c>
      <c r="AK66" s="578">
        <f t="shared" si="238"/>
        <v>0.96126170705176628</v>
      </c>
      <c r="AL66" s="572">
        <f t="shared" si="113"/>
        <v>-7.1340177132195703E-2</v>
      </c>
      <c r="AM66" s="577">
        <f t="shared" si="114"/>
        <v>-0.26624520593368706</v>
      </c>
      <c r="AN66" s="524">
        <f t="shared" si="115"/>
        <v>-14.999997834268246</v>
      </c>
      <c r="AO66" s="525">
        <f t="shared" si="515"/>
        <v>15.999997689886136</v>
      </c>
      <c r="AP66" s="528">
        <f t="shared" si="117"/>
        <v>-4.2444333857615266</v>
      </c>
      <c r="AQ66" s="529">
        <f t="shared" si="274"/>
        <v>0.5617107035441582</v>
      </c>
      <c r="AS66" s="932">
        <f t="shared" si="461"/>
        <v>-240.17001730130892</v>
      </c>
      <c r="AT66" s="928">
        <f t="shared" si="275"/>
        <v>-8.2969096223635963E-2</v>
      </c>
      <c r="AU66" s="418"/>
      <c r="AV66" s="164">
        <f t="shared" si="276"/>
        <v>5.1130000000000004</v>
      </c>
      <c r="AW66" s="797">
        <f>IFERROR(INDEX(MassProp!C$9:C$150,MATCH($M66,MassProp!$B$9:$B$150,0)),"")</f>
        <v>2.6514000000000002</v>
      </c>
      <c r="AX66" s="744">
        <f>IFERROR(INDEX(MassProp!D$9:D$150,MATCH($M66,MassProp!$B$9:$B$150,0)),"")</f>
        <v>0.45669999999999999</v>
      </c>
      <c r="AY66" s="731">
        <f>IFERROR(INDEX(MassProp!E$9:E$150,MATCH($M66,MassProp!$B$9:$B$150,0)),"")</f>
        <v>3.27E-2</v>
      </c>
      <c r="AZ66" s="297">
        <f t="shared" si="144"/>
        <v>0.54478432848694802</v>
      </c>
      <c r="BA66" s="296">
        <f t="shared" si="278"/>
        <v>2.8471617519864868E-2</v>
      </c>
      <c r="BB66" s="177">
        <f t="shared" si="145"/>
        <v>0.37300242955696927</v>
      </c>
      <c r="BC66" s="9"/>
      <c r="BD66" s="5">
        <f t="shared" si="146"/>
        <v>2.6514000000000002</v>
      </c>
      <c r="BE66" s="6">
        <f t="shared" si="280"/>
        <v>0.17880184384800252</v>
      </c>
      <c r="BF66" s="4">
        <f t="shared" si="281"/>
        <v>-2.3492404885038742</v>
      </c>
      <c r="BG66" s="5">
        <f t="shared" si="282"/>
        <v>-1.3421567133724324</v>
      </c>
      <c r="BH66" s="10">
        <f t="shared" si="283"/>
        <v>-0.19420058570896676</v>
      </c>
      <c r="BI66" s="9">
        <f t="shared" si="147"/>
        <v>-2.3492404885038742</v>
      </c>
      <c r="BJ66" s="5">
        <f t="shared" si="285"/>
        <v>-1.0495361628323296</v>
      </c>
      <c r="BK66" s="8">
        <f t="shared" si="286"/>
        <v>0.76202805504679261</v>
      </c>
      <c r="BL66" s="173">
        <f t="shared" si="287"/>
        <v>-1.439375458716095</v>
      </c>
      <c r="BM66" s="5">
        <f t="shared" si="288"/>
        <v>-0.94541328160126636</v>
      </c>
      <c r="BN66" s="6">
        <f t="shared" si="289"/>
        <v>-0.31561012782045578</v>
      </c>
      <c r="BO66" s="4">
        <f t="shared" si="148"/>
        <v>-0.41490435954480315</v>
      </c>
      <c r="BP66" s="5">
        <f t="shared" si="239"/>
        <v>0.87003900070516638</v>
      </c>
      <c r="BQ66" s="5">
        <f t="shared" si="149"/>
        <v>-0.26624520593368661</v>
      </c>
      <c r="BR66" s="6">
        <f t="shared" si="150"/>
        <v>0.14131359045833497</v>
      </c>
      <c r="BS66" s="4">
        <f t="shared" si="483"/>
        <v>0</v>
      </c>
      <c r="BT66" s="5">
        <f t="shared" si="483"/>
        <v>0</v>
      </c>
      <c r="BU66" s="10">
        <f t="shared" si="119"/>
        <v>0.17880184384800252</v>
      </c>
      <c r="BV66" s="9">
        <f t="shared" si="120"/>
        <v>0</v>
      </c>
      <c r="BW66" s="5">
        <f t="shared" si="121"/>
        <v>1</v>
      </c>
      <c r="BX66" s="8">
        <f t="shared" si="122"/>
        <v>0.17880184384800252</v>
      </c>
      <c r="BY66" s="173">
        <f t="shared" si="123"/>
        <v>1</v>
      </c>
      <c r="BZ66" s="5">
        <f t="shared" si="124"/>
        <v>0</v>
      </c>
      <c r="CA66" s="6">
        <f t="shared" si="125"/>
        <v>0.17880184384800252</v>
      </c>
      <c r="CB66" s="4">
        <f t="shared" si="151"/>
        <v>0</v>
      </c>
      <c r="CC66" s="5">
        <f t="shared" si="152"/>
        <v>0</v>
      </c>
      <c r="CD66" s="5">
        <f t="shared" si="153"/>
        <v>-1</v>
      </c>
      <c r="CE66" s="6">
        <f t="shared" si="154"/>
        <v>0.17880184384800252</v>
      </c>
      <c r="CF66" s="4">
        <f t="shared" si="155"/>
        <v>-0.87003900070516638</v>
      </c>
      <c r="CG66" s="5">
        <f t="shared" si="156"/>
        <v>-0.41490435954480315</v>
      </c>
      <c r="CH66" s="5">
        <f t="shared" si="157"/>
        <v>0</v>
      </c>
      <c r="CI66" s="4">
        <f t="shared" si="126"/>
        <v>0</v>
      </c>
      <c r="CJ66" s="5">
        <f t="shared" si="127"/>
        <v>-0.10770604150589799</v>
      </c>
      <c r="CK66" s="8">
        <f t="shared" si="128"/>
        <v>0.17880184384800252</v>
      </c>
      <c r="CL66" s="173">
        <f t="shared" si="129"/>
        <v>-0.87003900070516638</v>
      </c>
      <c r="CM66" s="5">
        <f t="shared" si="130"/>
        <v>-0.52261040105070111</v>
      </c>
      <c r="CN66" s="6">
        <f t="shared" si="131"/>
        <v>0.17880184384800252</v>
      </c>
      <c r="CO66" s="167">
        <f t="shared" si="305"/>
        <v>0.3125</v>
      </c>
      <c r="CP66" s="4">
        <f t="shared" si="240"/>
        <v>0.92911349031732771</v>
      </c>
      <c r="CQ66" s="5">
        <f t="shared" si="241"/>
        <v>-5.1122196248689287</v>
      </c>
      <c r="CR66" s="5">
        <f t="shared" si="158"/>
        <v>7.0842738965530625</v>
      </c>
      <c r="CS66" s="8">
        <f t="shared" si="159"/>
        <v>-0.19358829266639432</v>
      </c>
      <c r="CT66" s="9" t="e">
        <f t="shared" si="160"/>
        <v>#NUM!</v>
      </c>
      <c r="CU66" s="6" t="e">
        <f t="shared" si="161"/>
        <v>#NUM!</v>
      </c>
      <c r="CV66" s="4" t="e">
        <f t="shared" si="242"/>
        <v>#NUM!</v>
      </c>
      <c r="CW66" s="5" t="e">
        <f t="shared" si="162"/>
        <v>#NUM!</v>
      </c>
      <c r="CX66" s="8" t="e">
        <f t="shared" si="163"/>
        <v>#NUM!</v>
      </c>
      <c r="CY66" s="9" t="e">
        <f t="shared" si="164"/>
        <v>#NUM!</v>
      </c>
      <c r="CZ66" s="5" t="e">
        <f t="shared" si="165"/>
        <v>#NUM!</v>
      </c>
      <c r="DA66" s="6" t="e">
        <f t="shared" si="166"/>
        <v>#NUM!</v>
      </c>
      <c r="DB66" s="4">
        <f t="shared" si="484"/>
        <v>0</v>
      </c>
      <c r="DC66" s="5">
        <f t="shared" si="484"/>
        <v>0</v>
      </c>
      <c r="DD66" s="10">
        <f t="shared" si="168"/>
        <v>-10</v>
      </c>
      <c r="DE66" s="9">
        <f t="shared" si="485"/>
        <v>0</v>
      </c>
      <c r="DF66" s="5">
        <f t="shared" si="485"/>
        <v>0</v>
      </c>
      <c r="DG66" s="10">
        <f t="shared" si="170"/>
        <v>10</v>
      </c>
      <c r="DH66" s="70">
        <f t="shared" si="171"/>
        <v>2.6514000000000002</v>
      </c>
      <c r="DI66" s="4">
        <f t="shared" si="172"/>
        <v>0</v>
      </c>
      <c r="DJ66" s="5">
        <f t="shared" si="173"/>
        <v>0</v>
      </c>
      <c r="DK66" s="10">
        <f t="shared" si="174"/>
        <v>20</v>
      </c>
      <c r="DL66" s="9" t="e">
        <f t="shared" si="175"/>
        <v>#NUM!</v>
      </c>
      <c r="DM66" s="173" t="e">
        <f t="shared" si="176"/>
        <v>#NUM!</v>
      </c>
      <c r="DN66" s="178" t="e">
        <f t="shared" si="177"/>
        <v>#NUM!</v>
      </c>
      <c r="DO66" s="9" t="e">
        <f t="shared" si="178"/>
        <v>#NUM!</v>
      </c>
      <c r="DP66" s="173" t="e">
        <f t="shared" si="179"/>
        <v>#NUM!</v>
      </c>
      <c r="DQ66" s="11" t="e">
        <f t="shared" si="180"/>
        <v>#NUM!</v>
      </c>
      <c r="DR66" s="173" t="e">
        <f t="shared" si="181"/>
        <v>#NUM!</v>
      </c>
      <c r="DS66" s="5" t="e">
        <f t="shared" si="182"/>
        <v>#NUM!</v>
      </c>
      <c r="DT66" s="5">
        <f t="shared" si="183"/>
        <v>400</v>
      </c>
      <c r="DU66" s="5" t="e">
        <f t="shared" si="184"/>
        <v>#NUM!</v>
      </c>
      <c r="DV66" s="5" t="e">
        <f t="shared" si="185"/>
        <v>#NUM!</v>
      </c>
      <c r="DW66" s="5" t="e">
        <f t="shared" si="186"/>
        <v>#NUM!</v>
      </c>
      <c r="DX66" s="167" t="e">
        <f t="shared" si="187"/>
        <v>#NUM!</v>
      </c>
      <c r="DY66" s="9" t="e">
        <f t="shared" si="188"/>
        <v>#NUM!</v>
      </c>
      <c r="DZ66" s="5" t="e">
        <f t="shared" si="189"/>
        <v>#NUM!</v>
      </c>
      <c r="EA66" s="10" t="e">
        <f t="shared" si="190"/>
        <v>#NUM!</v>
      </c>
      <c r="EB66" s="6" t="e">
        <f t="shared" si="191"/>
        <v>#NUM!</v>
      </c>
      <c r="EC66" s="173" t="e">
        <f t="shared" si="192"/>
        <v>#NUM!</v>
      </c>
      <c r="ED66" s="5" t="e">
        <f t="shared" si="193"/>
        <v>#NUM!</v>
      </c>
      <c r="EE66" s="4" t="e">
        <f t="shared" si="194"/>
        <v>#NUM!</v>
      </c>
      <c r="EF66" s="5" t="e">
        <f t="shared" si="195"/>
        <v>#NUM!</v>
      </c>
      <c r="EG66" s="10" t="e">
        <f t="shared" si="196"/>
        <v>#NUM!</v>
      </c>
      <c r="EH66" s="9" t="e">
        <f t="shared" si="197"/>
        <v>#NUM!</v>
      </c>
      <c r="EI66" s="5" t="e">
        <f t="shared" si="198"/>
        <v>#NUM!</v>
      </c>
      <c r="EJ66" s="6" t="e">
        <f t="shared" si="199"/>
        <v>#NUM!</v>
      </c>
      <c r="EK66" s="236" t="e">
        <f t="shared" si="200"/>
        <v>#NUM!</v>
      </c>
      <c r="EL66" s="238" t="e">
        <f t="shared" si="201"/>
        <v>#NUM!</v>
      </c>
      <c r="EM66" s="4" t="e">
        <f t="shared" si="202"/>
        <v>#NUM!</v>
      </c>
      <c r="EN66" s="5" t="e">
        <f t="shared" si="203"/>
        <v>#NUM!</v>
      </c>
      <c r="EO66" s="10" t="e">
        <f t="shared" si="204"/>
        <v>#NUM!</v>
      </c>
      <c r="EP66" s="9" t="e">
        <f t="shared" si="205"/>
        <v>#NUM!</v>
      </c>
      <c r="EQ66" s="5" t="e">
        <f t="shared" si="206"/>
        <v>#NUM!</v>
      </c>
      <c r="ER66" s="7" t="e">
        <f t="shared" si="207"/>
        <v>#NUM!</v>
      </c>
      <c r="ES66" s="21">
        <f t="shared" si="352"/>
        <v>-0.41490435954480293</v>
      </c>
      <c r="ET66" s="5">
        <f t="shared" si="353"/>
        <v>0.87003900070516704</v>
      </c>
      <c r="EU66" s="10">
        <f t="shared" si="354"/>
        <v>-0.26624520593368706</v>
      </c>
      <c r="EV66" s="174" t="e">
        <f t="shared" si="486"/>
        <v>#NUM!</v>
      </c>
      <c r="EW66" s="9" t="e">
        <f t="shared" si="487"/>
        <v>#NUM!</v>
      </c>
      <c r="EX66" s="5" t="e">
        <f t="shared" si="488"/>
        <v>#NUM!</v>
      </c>
      <c r="EY66" s="6">
        <f t="shared" si="208"/>
        <v>-0.26624520593368706</v>
      </c>
      <c r="EZ66" s="51" t="e">
        <f t="shared" si="209"/>
        <v>#NUM!</v>
      </c>
      <c r="FA66" s="173" t="e">
        <f t="shared" si="489"/>
        <v>#NUM!</v>
      </c>
      <c r="FB66" s="5" t="e">
        <f t="shared" si="490"/>
        <v>#NUM!</v>
      </c>
      <c r="FC66" s="6" t="e">
        <f t="shared" si="491"/>
        <v>#NUM!</v>
      </c>
      <c r="FD66" s="4" t="e">
        <f t="shared" si="492"/>
        <v>#NUM!</v>
      </c>
      <c r="FE66" s="5" t="e">
        <f t="shared" si="493"/>
        <v>#NUM!</v>
      </c>
      <c r="FF66" s="7" t="e">
        <f t="shared" si="210"/>
        <v>#NUM!</v>
      </c>
      <c r="FG66" s="173" t="e">
        <f t="shared" si="494"/>
        <v>#NUM!</v>
      </c>
      <c r="FH66" s="5" t="e">
        <f t="shared" si="495"/>
        <v>#NUM!</v>
      </c>
      <c r="FI66" s="10" t="e">
        <f t="shared" si="496"/>
        <v>#NUM!</v>
      </c>
      <c r="FJ66" s="279" t="e">
        <f t="shared" si="212"/>
        <v>#NUM!</v>
      </c>
      <c r="FK66" s="4">
        <f t="shared" si="497"/>
        <v>0.96390533265322731</v>
      </c>
      <c r="FL66" s="5" t="e">
        <f t="shared" si="213"/>
        <v>#NUM!</v>
      </c>
      <c r="FM66" s="8" t="e">
        <f t="shared" si="214"/>
        <v>#NUM!</v>
      </c>
      <c r="FN66" s="9" t="e">
        <f t="shared" si="215"/>
        <v>#NUM!</v>
      </c>
      <c r="FO66" s="10" t="e">
        <f t="shared" si="498"/>
        <v>#NUM!</v>
      </c>
      <c r="FP66" s="277" t="e">
        <f t="shared" si="499"/>
        <v>#NUM!</v>
      </c>
      <c r="FQ66" s="173" t="e">
        <f t="shared" si="243"/>
        <v>#NUM!</v>
      </c>
      <c r="FR66" s="10" t="e">
        <f t="shared" si="216"/>
        <v>#NUM!</v>
      </c>
      <c r="FS66" s="9" t="e">
        <f t="shared" si="217"/>
        <v>#NUM!</v>
      </c>
      <c r="FT66" s="6" t="e">
        <f t="shared" si="218"/>
        <v>#NUM!</v>
      </c>
      <c r="FU66" s="4" t="e">
        <f t="shared" si="219"/>
        <v>#NUM!</v>
      </c>
      <c r="FV66" s="5" t="e">
        <f t="shared" si="220"/>
        <v>#NUM!</v>
      </c>
      <c r="FW66" s="8" t="e">
        <f t="shared" si="244"/>
        <v>#NUM!</v>
      </c>
      <c r="FX66" s="9" t="e">
        <f t="shared" si="245"/>
        <v>#NUM!</v>
      </c>
      <c r="FY66" s="10" t="e">
        <f t="shared" si="500"/>
        <v>#NUM!</v>
      </c>
      <c r="FZ66" s="277" t="e">
        <f t="shared" si="246"/>
        <v>#NUM!</v>
      </c>
      <c r="GA66" s="177" t="e">
        <f t="shared" si="221"/>
        <v>#NUM!</v>
      </c>
      <c r="GB66" s="4" t="e">
        <f t="shared" si="222"/>
        <v>#NUM!</v>
      </c>
      <c r="GC66" s="5" t="e">
        <f t="shared" si="223"/>
        <v>#NUM!</v>
      </c>
      <c r="GD66" s="10" t="e">
        <f t="shared" si="224"/>
        <v>#NUM!</v>
      </c>
      <c r="GE66" s="311" t="e">
        <f t="shared" si="225"/>
        <v>#NUM!</v>
      </c>
      <c r="GF66" s="341" t="e">
        <f t="shared" si="247"/>
        <v>#NUM!</v>
      </c>
      <c r="GG66" s="285" t="e">
        <f t="shared" si="501"/>
        <v>#NUM!</v>
      </c>
      <c r="GH66" s="286" t="e">
        <f t="shared" si="502"/>
        <v>#NUM!</v>
      </c>
      <c r="GI66" s="281" t="e">
        <f t="shared" si="503"/>
        <v>#NUM!</v>
      </c>
      <c r="GJ66" s="167">
        <f t="shared" si="226"/>
        <v>2.6514000000000002</v>
      </c>
      <c r="GK66" s="174">
        <f t="shared" si="504"/>
        <v>1.3883392672959938</v>
      </c>
      <c r="GL66" s="174">
        <f t="shared" si="227"/>
        <v>3.27E-2</v>
      </c>
      <c r="GM66" s="177">
        <f t="shared" si="248"/>
        <v>0.54478432848694802</v>
      </c>
      <c r="GN66" s="280">
        <f t="shared" si="228"/>
        <v>2.8471617519864868E-2</v>
      </c>
      <c r="GO66" s="4" t="e">
        <f t="shared" si="229"/>
        <v>#NUM!</v>
      </c>
      <c r="GP66" s="8" t="e">
        <f t="shared" si="249"/>
        <v>#NUM!</v>
      </c>
      <c r="GQ66" s="177" t="e">
        <f t="shared" si="230"/>
        <v>#NUM!</v>
      </c>
      <c r="GR66" s="371" t="e">
        <f t="shared" si="250"/>
        <v>#NUM!</v>
      </c>
      <c r="GS66" s="342" t="e">
        <f t="shared" si="505"/>
        <v>#NUM!</v>
      </c>
      <c r="GT66" s="343" t="e">
        <f t="shared" si="506"/>
        <v>#NUM!</v>
      </c>
      <c r="GU66" s="344">
        <f t="shared" si="507"/>
        <v>1339.2614741970804</v>
      </c>
      <c r="GV66" s="343">
        <f t="shared" si="252"/>
        <v>964.65</v>
      </c>
      <c r="GW66" s="345">
        <f t="shared" si="508"/>
        <v>29500</v>
      </c>
      <c r="GX66" s="346">
        <f t="shared" si="509"/>
        <v>213.13941750000001</v>
      </c>
      <c r="GY66" s="344" t="e">
        <f t="shared" si="510"/>
        <v>#NUM!</v>
      </c>
      <c r="GZ66" s="345" t="e">
        <f t="shared" si="511"/>
        <v>#NUM!</v>
      </c>
      <c r="HA66" s="342" t="e">
        <f t="shared" si="512"/>
        <v>#NUM!</v>
      </c>
      <c r="HB66" s="5" t="e">
        <f t="shared" si="231"/>
        <v>#NUM!</v>
      </c>
      <c r="HC66" s="343" t="e">
        <f t="shared" si="232"/>
        <v>#NUM!</v>
      </c>
      <c r="HD66" s="363" t="e">
        <f t="shared" si="233"/>
        <v>#NUM!</v>
      </c>
      <c r="HE66" s="344" t="e">
        <f t="shared" si="513"/>
        <v>#NUM!</v>
      </c>
      <c r="HF66" s="5" t="e">
        <f t="shared" si="514"/>
        <v>#NUM!</v>
      </c>
      <c r="HG66" s="343" t="e">
        <f t="shared" si="234"/>
        <v>#NUM!</v>
      </c>
      <c r="HH66" s="349" t="e">
        <f t="shared" si="235"/>
        <v>#NUM!</v>
      </c>
      <c r="HI66" s="317">
        <f t="shared" si="408"/>
        <v>5.1130000000000004</v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5.1130000000000004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>
        <v>0</v>
      </c>
      <c r="IP66" s="5" t="str">
        <f t="shared" si="428"/>
        <v/>
      </c>
      <c r="IQ66" s="714">
        <v>0</v>
      </c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</v>
      </c>
      <c r="B67" s="578">
        <f t="shared" si="257"/>
        <v>-2.9732283464816804</v>
      </c>
      <c r="C67" s="572">
        <f t="shared" si="258"/>
        <v>-1.6494432224284403</v>
      </c>
      <c r="D67" s="576">
        <f t="shared" si="259"/>
        <v>-0.46830141239705997</v>
      </c>
      <c r="E67" s="580">
        <f t="shared" si="260"/>
        <v>0.32941598091156477</v>
      </c>
      <c r="F67" s="572">
        <f t="shared" si="261"/>
        <v>-0.90681289645129448</v>
      </c>
      <c r="G67" s="579">
        <f t="shared" si="262"/>
        <v>0.26301232356999088</v>
      </c>
      <c r="H67" s="580">
        <f t="shared" si="263"/>
        <v>0.3125</v>
      </c>
      <c r="I67" s="572">
        <f t="shared" si="264"/>
        <v>0.52</v>
      </c>
      <c r="J67" s="483">
        <f t="shared" si="265"/>
        <v>5.1189999999999998</v>
      </c>
      <c r="K67" s="806">
        <f t="shared" si="266"/>
        <v>1613</v>
      </c>
      <c r="L67" s="309"/>
      <c r="M67" s="164">
        <f t="shared" si="267"/>
        <v>5.1189999999999998</v>
      </c>
      <c r="N67" s="575">
        <f t="shared" si="268"/>
        <v>-2.9732283464816804</v>
      </c>
      <c r="O67" s="572">
        <f t="shared" si="269"/>
        <v>-1.6494432224284403</v>
      </c>
      <c r="P67" s="576">
        <f t="shared" si="270"/>
        <v>-0.46830141239705997</v>
      </c>
      <c r="Q67" s="528">
        <f t="shared" si="140"/>
        <v>209.01998281564062</v>
      </c>
      <c r="R67" s="572">
        <f>IF(M67="","",SQRT(N67^2+O67^2))</f>
        <v>3.4001102547325295</v>
      </c>
      <c r="S67" s="577">
        <f>IF(M67="","",P67)</f>
        <v>-0.46830141239705997</v>
      </c>
      <c r="T67" s="578">
        <f>IF(M67="","",X67*COS(RADIANS(W67)))</f>
        <v>-1.6541115210809008</v>
      </c>
      <c r="U67" s="572">
        <f>IF(M67="","",X67*SIN(RADIANS(W67)))</f>
        <v>2.9706337404945655</v>
      </c>
      <c r="V67" s="579">
        <f>IF(M67="","",Y67)</f>
        <v>-0.46830141239705997</v>
      </c>
      <c r="W67" s="528">
        <f t="shared" si="253"/>
        <v>119.10998280264623</v>
      </c>
      <c r="X67" s="572">
        <f>IF(M67="","",R67)</f>
        <v>3.4001102547325295</v>
      </c>
      <c r="Y67" s="573">
        <f t="shared" si="255"/>
        <v>-0.46830141239705997</v>
      </c>
      <c r="Z67" s="575">
        <f t="shared" si="271"/>
        <v>-0.32941598091156477</v>
      </c>
      <c r="AA67" s="572">
        <f t="shared" si="272"/>
        <v>0.90681289645129448</v>
      </c>
      <c r="AB67" s="572">
        <f t="shared" si="273"/>
        <v>-0.26301232356999088</v>
      </c>
      <c r="AC67" s="579">
        <f>IF(M67="","",SQRT(Z67^2+AA67^2+AB67^2))</f>
        <v>1</v>
      </c>
      <c r="AD67" s="580">
        <f>IF(M67="","",Z67*(1/SQRT(Z67^2+AA67^2+AB67^2)))</f>
        <v>-0.32941598091156477</v>
      </c>
      <c r="AE67" s="572">
        <f>IF(M67="","",AA67*(1/SQRT(Z67^2+AA67^2+AB67^2)))</f>
        <v>0.90681289645129448</v>
      </c>
      <c r="AF67" s="576">
        <f>IF(M67="","",AB67*(1/SQRT(Z67^2+AA67^2+AB67^2)))</f>
        <v>-0.26301232356999088</v>
      </c>
      <c r="AG67" s="545">
        <f>IF(M67="","",DEGREES(ATAN2(-AF67,AE67)))</f>
        <v>73.82570883624156</v>
      </c>
      <c r="AH67" s="546">
        <f>IF(M67="","",DEGREES(ACOS(AD67)))</f>
        <v>109.23333175299621</v>
      </c>
      <c r="AI67" s="528">
        <f>IF(M67="","",DEGREES(-ACOS(-AF67)))</f>
        <v>-74.751121869283651</v>
      </c>
      <c r="AJ67" s="529">
        <f>IF(M67="","",DEGREES(ATAN2(-AE67,AD67)))</f>
        <v>-160.03554352052674</v>
      </c>
      <c r="AK67" s="578">
        <f>IF(M67="","",(COS(RADIANS((90-$Q$8)-W67))*AD67)+(-SIN(RADIANS((90-$Q$8)-W67))*AE67))</f>
        <v>0.95276756430158183</v>
      </c>
      <c r="AL67" s="572">
        <f>IF(M67="","",(SIN(RADIANS((90-$Q$8)-W67))*AD67)+(COS(RADIANS((90-$Q$8)-W67))*AE67))</f>
        <v>-0.15185020930227844</v>
      </c>
      <c r="AM67" s="577">
        <f>IF(M67="","",AF67)</f>
        <v>-0.26301232356999088</v>
      </c>
      <c r="AN67" s="524">
        <f>IF(M67="","",DEGREES(ATAN2(-AM67,AL67)))</f>
        <v>-29.999995668536499</v>
      </c>
      <c r="AO67" s="525">
        <f t="shared" si="515"/>
        <v>17.679997447324173</v>
      </c>
      <c r="AP67" s="528">
        <f>IF(M67="","",DEGREES(ATAN2(AK67,AL67)))</f>
        <v>-9.0555263361673504</v>
      </c>
      <c r="AQ67" s="529">
        <f t="shared" si="274"/>
        <v>0.44698165896318348</v>
      </c>
      <c r="AS67" s="932">
        <f t="shared" si="461"/>
        <v>-240.89001719735376</v>
      </c>
      <c r="AT67" s="928">
        <f t="shared" si="275"/>
        <v>-0.35673658962652322</v>
      </c>
      <c r="AU67" s="418"/>
      <c r="AV67" s="164">
        <f t="shared" si="276"/>
        <v>5.1189999999999998</v>
      </c>
      <c r="AW67" s="797">
        <f>IFERROR(INDEX(MassProp!C$9:C$150,MATCH($M67,MassProp!$B$9:$B$150,0)),"")</f>
        <v>3.44</v>
      </c>
      <c r="AX67" s="744">
        <f>IFERROR(INDEX(MassProp!D$9:D$150,MATCH($M67,MassProp!$B$9:$B$150,0)),"")</f>
        <v>0.1875</v>
      </c>
      <c r="AY67" s="731">
        <f>IFERROR(INDEX(MassProp!E$9:E$150,MATCH($M67,MassProp!$B$9:$B$150,0)),"")</f>
        <v>2.9100000000000001E-2</v>
      </c>
      <c r="AZ67" s="297">
        <f t="shared" si="144"/>
        <v>0.62899068087556731</v>
      </c>
      <c r="BA67" s="296">
        <f t="shared" si="278"/>
        <v>3.2872425202072571E-2</v>
      </c>
      <c r="BB67" s="177">
        <f t="shared" si="145"/>
        <v>0.37756992295985659</v>
      </c>
      <c r="BC67" s="9"/>
      <c r="BD67" s="5">
        <f t="shared" si="146"/>
        <v>3.44</v>
      </c>
      <c r="BE67" s="6">
        <f t="shared" si="280"/>
        <v>-9.0731489437203383E-2</v>
      </c>
      <c r="BF67" s="4">
        <f t="shared" si="281"/>
        <v>-2.9732283464816804</v>
      </c>
      <c r="BG67" s="5">
        <f t="shared" si="282"/>
        <v>-1.6494432224284403</v>
      </c>
      <c r="BH67" s="10">
        <f t="shared" si="283"/>
        <v>-0.46830141239705997</v>
      </c>
      <c r="BI67" s="9">
        <f t="shared" si="147"/>
        <v>-2.9732283464816804</v>
      </c>
      <c r="BJ67" s="5">
        <f t="shared" si="285"/>
        <v>-1.3708830319236991</v>
      </c>
      <c r="BK67" s="8">
        <f t="shared" si="286"/>
        <v>0.49211736098565678</v>
      </c>
      <c r="BL67" s="173">
        <f t="shared" si="287"/>
        <v>-2.0290434538255484</v>
      </c>
      <c r="BM67" s="5">
        <f t="shared" si="288"/>
        <v>-1.3330659301086909</v>
      </c>
      <c r="BN67" s="6">
        <f t="shared" si="289"/>
        <v>-0.5600635907950916</v>
      </c>
      <c r="BO67" s="4">
        <f t="shared" si="148"/>
        <v>-0.32941598091156465</v>
      </c>
      <c r="BP67" s="5">
        <f t="shared" si="239"/>
        <v>0.9068128964512947</v>
      </c>
      <c r="BQ67" s="5">
        <f t="shared" si="149"/>
        <v>-0.26301232356999105</v>
      </c>
      <c r="BR67" s="6">
        <f t="shared" si="150"/>
        <v>0.39313841122629978</v>
      </c>
      <c r="BS67" s="4">
        <f t="shared" si="483"/>
        <v>0</v>
      </c>
      <c r="BT67" s="5">
        <f t="shared" si="483"/>
        <v>0</v>
      </c>
      <c r="BU67" s="10">
        <f t="shared" si="119"/>
        <v>-9.0731489437203383E-2</v>
      </c>
      <c r="BV67" s="9">
        <f t="shared" si="120"/>
        <v>0</v>
      </c>
      <c r="BW67" s="5">
        <f t="shared" si="121"/>
        <v>1</v>
      </c>
      <c r="BX67" s="8">
        <f t="shared" si="122"/>
        <v>-9.0731489437203383E-2</v>
      </c>
      <c r="BY67" s="173">
        <f t="shared" si="123"/>
        <v>1</v>
      </c>
      <c r="BZ67" s="5">
        <f t="shared" si="124"/>
        <v>0</v>
      </c>
      <c r="CA67" s="6">
        <f t="shared" si="125"/>
        <v>-9.0731489437203383E-2</v>
      </c>
      <c r="CB67" s="4">
        <f t="shared" si="151"/>
        <v>0</v>
      </c>
      <c r="CC67" s="5">
        <f t="shared" si="152"/>
        <v>0</v>
      </c>
      <c r="CD67" s="5">
        <f t="shared" si="153"/>
        <v>-1</v>
      </c>
      <c r="CE67" s="6">
        <f t="shared" si="154"/>
        <v>-9.0731489437203383E-2</v>
      </c>
      <c r="CF67" s="4">
        <f t="shared" si="155"/>
        <v>-0.9068128964512947</v>
      </c>
      <c r="CG67" s="5">
        <f t="shared" si="156"/>
        <v>-0.32941598091156465</v>
      </c>
      <c r="CH67" s="5">
        <f t="shared" si="157"/>
        <v>0</v>
      </c>
      <c r="CI67" s="4">
        <f t="shared" si="126"/>
        <v>0</v>
      </c>
      <c r="CJ67" s="5">
        <f t="shared" si="127"/>
        <v>-0.45985441177119618</v>
      </c>
      <c r="CK67" s="8">
        <f t="shared" si="128"/>
        <v>-9.0731489437203383E-2</v>
      </c>
      <c r="CL67" s="173">
        <f t="shared" si="129"/>
        <v>-0.9068128964512947</v>
      </c>
      <c r="CM67" s="5">
        <f t="shared" si="130"/>
        <v>-0.78927039268276089</v>
      </c>
      <c r="CN67" s="6">
        <f t="shared" si="131"/>
        <v>-9.0731489437203383E-2</v>
      </c>
      <c r="CO67" s="167">
        <f t="shared" si="305"/>
        <v>0.3125</v>
      </c>
      <c r="CP67" s="4">
        <f t="shared" si="240"/>
        <v>0.93082451765031493</v>
      </c>
      <c r="CQ67" s="5">
        <f t="shared" si="241"/>
        <v>-6.1760627472564478</v>
      </c>
      <c r="CR67" s="5">
        <f t="shared" si="158"/>
        <v>10.300111135487018</v>
      </c>
      <c r="CS67" s="8">
        <f t="shared" si="159"/>
        <v>-0.20663285968850431</v>
      </c>
      <c r="CT67" s="9" t="e">
        <f t="shared" si="160"/>
        <v>#NUM!</v>
      </c>
      <c r="CU67" s="6" t="e">
        <f t="shared" si="161"/>
        <v>#NUM!</v>
      </c>
      <c r="CV67" s="4" t="e">
        <f t="shared" si="242"/>
        <v>#NUM!</v>
      </c>
      <c r="CW67" s="5" t="e">
        <f t="shared" si="162"/>
        <v>#NUM!</v>
      </c>
      <c r="CX67" s="8" t="e">
        <f t="shared" si="163"/>
        <v>#NUM!</v>
      </c>
      <c r="CY67" s="9" t="e">
        <f t="shared" si="164"/>
        <v>#NUM!</v>
      </c>
      <c r="CZ67" s="5" t="e">
        <f t="shared" si="165"/>
        <v>#NUM!</v>
      </c>
      <c r="DA67" s="6" t="e">
        <f t="shared" si="166"/>
        <v>#NUM!</v>
      </c>
      <c r="DB67" s="4">
        <f t="shared" si="484"/>
        <v>0</v>
      </c>
      <c r="DC67" s="5">
        <f t="shared" si="484"/>
        <v>0</v>
      </c>
      <c r="DD67" s="10">
        <f t="shared" si="168"/>
        <v>-10</v>
      </c>
      <c r="DE67" s="9">
        <f t="shared" si="485"/>
        <v>0</v>
      </c>
      <c r="DF67" s="5">
        <f t="shared" si="485"/>
        <v>0</v>
      </c>
      <c r="DG67" s="10">
        <f t="shared" si="170"/>
        <v>10</v>
      </c>
      <c r="DH67" s="70">
        <f t="shared" si="171"/>
        <v>3.44</v>
      </c>
      <c r="DI67" s="4">
        <f t="shared" si="172"/>
        <v>0</v>
      </c>
      <c r="DJ67" s="5">
        <f t="shared" si="173"/>
        <v>0</v>
      </c>
      <c r="DK67" s="10">
        <f t="shared" si="174"/>
        <v>20</v>
      </c>
      <c r="DL67" s="9" t="e">
        <f t="shared" si="175"/>
        <v>#NUM!</v>
      </c>
      <c r="DM67" s="173" t="e">
        <f t="shared" si="176"/>
        <v>#NUM!</v>
      </c>
      <c r="DN67" s="178" t="e">
        <f t="shared" si="177"/>
        <v>#NUM!</v>
      </c>
      <c r="DO67" s="9" t="e">
        <f t="shared" si="178"/>
        <v>#NUM!</v>
      </c>
      <c r="DP67" s="173" t="e">
        <f t="shared" si="179"/>
        <v>#NUM!</v>
      </c>
      <c r="DQ67" s="11" t="e">
        <f t="shared" si="180"/>
        <v>#NUM!</v>
      </c>
      <c r="DR67" s="173" t="e">
        <f t="shared" si="181"/>
        <v>#NUM!</v>
      </c>
      <c r="DS67" s="5" t="e">
        <f t="shared" si="182"/>
        <v>#NUM!</v>
      </c>
      <c r="DT67" s="5">
        <f t="shared" si="183"/>
        <v>400</v>
      </c>
      <c r="DU67" s="5" t="e">
        <f t="shared" si="184"/>
        <v>#NUM!</v>
      </c>
      <c r="DV67" s="5" t="e">
        <f t="shared" si="185"/>
        <v>#NUM!</v>
      </c>
      <c r="DW67" s="5" t="e">
        <f t="shared" si="186"/>
        <v>#NUM!</v>
      </c>
      <c r="DX67" s="167" t="e">
        <f t="shared" si="187"/>
        <v>#NUM!</v>
      </c>
      <c r="DY67" s="9" t="e">
        <f t="shared" si="188"/>
        <v>#NUM!</v>
      </c>
      <c r="DZ67" s="5" t="e">
        <f t="shared" si="189"/>
        <v>#NUM!</v>
      </c>
      <c r="EA67" s="10" t="e">
        <f t="shared" si="190"/>
        <v>#NUM!</v>
      </c>
      <c r="EB67" s="6" t="e">
        <f t="shared" si="191"/>
        <v>#NUM!</v>
      </c>
      <c r="EC67" s="173" t="e">
        <f t="shared" si="192"/>
        <v>#NUM!</v>
      </c>
      <c r="ED67" s="5" t="e">
        <f t="shared" si="193"/>
        <v>#NUM!</v>
      </c>
      <c r="EE67" s="4" t="e">
        <f t="shared" si="194"/>
        <v>#NUM!</v>
      </c>
      <c r="EF67" s="5" t="e">
        <f t="shared" si="195"/>
        <v>#NUM!</v>
      </c>
      <c r="EG67" s="10" t="e">
        <f t="shared" si="196"/>
        <v>#NUM!</v>
      </c>
      <c r="EH67" s="9" t="e">
        <f t="shared" si="197"/>
        <v>#NUM!</v>
      </c>
      <c r="EI67" s="5" t="e">
        <f t="shared" si="198"/>
        <v>#NUM!</v>
      </c>
      <c r="EJ67" s="6" t="e">
        <f t="shared" si="199"/>
        <v>#NUM!</v>
      </c>
      <c r="EK67" s="236" t="e">
        <f t="shared" si="200"/>
        <v>#NUM!</v>
      </c>
      <c r="EL67" s="238" t="e">
        <f t="shared" si="201"/>
        <v>#NUM!</v>
      </c>
      <c r="EM67" s="4" t="e">
        <f t="shared" si="202"/>
        <v>#NUM!</v>
      </c>
      <c r="EN67" s="5" t="e">
        <f t="shared" si="203"/>
        <v>#NUM!</v>
      </c>
      <c r="EO67" s="10" t="e">
        <f t="shared" si="204"/>
        <v>#NUM!</v>
      </c>
      <c r="EP67" s="9" t="e">
        <f t="shared" si="205"/>
        <v>#NUM!</v>
      </c>
      <c r="EQ67" s="5" t="e">
        <f t="shared" si="206"/>
        <v>#NUM!</v>
      </c>
      <c r="ER67" s="7" t="e">
        <f t="shared" si="207"/>
        <v>#NUM!</v>
      </c>
      <c r="ES67" s="21">
        <f t="shared" si="352"/>
        <v>-0.32941598091156477</v>
      </c>
      <c r="ET67" s="5">
        <f t="shared" si="353"/>
        <v>0.90681289645129448</v>
      </c>
      <c r="EU67" s="10">
        <f t="shared" si="354"/>
        <v>-0.26301232356999088</v>
      </c>
      <c r="EV67" s="174" t="e">
        <f t="shared" si="486"/>
        <v>#NUM!</v>
      </c>
      <c r="EW67" s="9" t="e">
        <f t="shared" si="487"/>
        <v>#NUM!</v>
      </c>
      <c r="EX67" s="5" t="e">
        <f t="shared" si="488"/>
        <v>#NUM!</v>
      </c>
      <c r="EY67" s="6">
        <f t="shared" si="208"/>
        <v>-0.26301232356999088</v>
      </c>
      <c r="EZ67" s="51" t="e">
        <f t="shared" si="209"/>
        <v>#NUM!</v>
      </c>
      <c r="FA67" s="173" t="e">
        <f t="shared" si="489"/>
        <v>#NUM!</v>
      </c>
      <c r="FB67" s="5" t="e">
        <f t="shared" si="490"/>
        <v>#NUM!</v>
      </c>
      <c r="FC67" s="6" t="e">
        <f t="shared" si="491"/>
        <v>#NUM!</v>
      </c>
      <c r="FD67" s="4" t="e">
        <f t="shared" si="492"/>
        <v>#NUM!</v>
      </c>
      <c r="FE67" s="5" t="e">
        <f t="shared" si="493"/>
        <v>#NUM!</v>
      </c>
      <c r="FF67" s="7" t="e">
        <f t="shared" si="210"/>
        <v>#NUM!</v>
      </c>
      <c r="FG67" s="173" t="e">
        <f t="shared" si="494"/>
        <v>#NUM!</v>
      </c>
      <c r="FH67" s="5" t="e">
        <f t="shared" si="495"/>
        <v>#NUM!</v>
      </c>
      <c r="FI67" s="10" t="e">
        <f t="shared" si="496"/>
        <v>#NUM!</v>
      </c>
      <c r="FJ67" s="279" t="e">
        <f t="shared" si="212"/>
        <v>#NUM!</v>
      </c>
      <c r="FK67" s="4">
        <f t="shared" si="497"/>
        <v>0.96479247387731759</v>
      </c>
      <c r="FL67" s="5" t="e">
        <f t="shared" si="213"/>
        <v>#NUM!</v>
      </c>
      <c r="FM67" s="8" t="e">
        <f t="shared" si="214"/>
        <v>#NUM!</v>
      </c>
      <c r="FN67" s="9" t="e">
        <f t="shared" si="215"/>
        <v>#NUM!</v>
      </c>
      <c r="FO67" s="10" t="e">
        <f t="shared" si="498"/>
        <v>#NUM!</v>
      </c>
      <c r="FP67" s="277" t="e">
        <f t="shared" si="499"/>
        <v>#NUM!</v>
      </c>
      <c r="FQ67" s="173" t="e">
        <f t="shared" si="243"/>
        <v>#NUM!</v>
      </c>
      <c r="FR67" s="10" t="e">
        <f t="shared" si="216"/>
        <v>#NUM!</v>
      </c>
      <c r="FS67" s="9" t="e">
        <f t="shared" si="217"/>
        <v>#NUM!</v>
      </c>
      <c r="FT67" s="6" t="e">
        <f t="shared" si="218"/>
        <v>#NUM!</v>
      </c>
      <c r="FU67" s="4" t="e">
        <f t="shared" si="219"/>
        <v>#NUM!</v>
      </c>
      <c r="FV67" s="5" t="e">
        <f t="shared" si="220"/>
        <v>#NUM!</v>
      </c>
      <c r="FW67" s="8" t="e">
        <f t="shared" si="244"/>
        <v>#NUM!</v>
      </c>
      <c r="FX67" s="9" t="e">
        <f t="shared" si="245"/>
        <v>#NUM!</v>
      </c>
      <c r="FY67" s="10" t="e">
        <f t="shared" si="500"/>
        <v>#NUM!</v>
      </c>
      <c r="FZ67" s="277" t="e">
        <f t="shared" si="246"/>
        <v>#NUM!</v>
      </c>
      <c r="GA67" s="177" t="e">
        <f t="shared" si="221"/>
        <v>#NUM!</v>
      </c>
      <c r="GB67" s="4" t="e">
        <f t="shared" si="222"/>
        <v>#NUM!</v>
      </c>
      <c r="GC67" s="5" t="e">
        <f t="shared" si="223"/>
        <v>#NUM!</v>
      </c>
      <c r="GD67" s="10" t="e">
        <f t="shared" si="224"/>
        <v>#NUM!</v>
      </c>
      <c r="GE67" s="311" t="e">
        <f t="shared" si="225"/>
        <v>#NUM!</v>
      </c>
      <c r="GF67" s="341" t="e">
        <f t="shared" si="247"/>
        <v>#NUM!</v>
      </c>
      <c r="GG67" s="285" t="e">
        <f t="shared" si="501"/>
        <v>#NUM!</v>
      </c>
      <c r="GH67" s="286" t="e">
        <f t="shared" si="502"/>
        <v>#NUM!</v>
      </c>
      <c r="GI67" s="281" t="e">
        <f t="shared" si="503"/>
        <v>#NUM!</v>
      </c>
      <c r="GJ67" s="167">
        <f t="shared" si="226"/>
        <v>3.44</v>
      </c>
      <c r="GK67" s="174">
        <f t="shared" si="504"/>
        <v>1.8012333358406851</v>
      </c>
      <c r="GL67" s="174">
        <f t="shared" si="227"/>
        <v>2.9100000000000001E-2</v>
      </c>
      <c r="GM67" s="177">
        <f t="shared" si="248"/>
        <v>0.62899068087556731</v>
      </c>
      <c r="GN67" s="280">
        <f t="shared" si="228"/>
        <v>3.2872425202072571E-2</v>
      </c>
      <c r="GO67" s="4" t="e">
        <f t="shared" si="229"/>
        <v>#NUM!</v>
      </c>
      <c r="GP67" s="8" t="e">
        <f t="shared" si="249"/>
        <v>#NUM!</v>
      </c>
      <c r="GQ67" s="177" t="e">
        <f t="shared" si="230"/>
        <v>#NUM!</v>
      </c>
      <c r="GR67" s="371" t="e">
        <f t="shared" si="250"/>
        <v>#NUM!</v>
      </c>
      <c r="GS67" s="342" t="e">
        <f t="shared" si="505"/>
        <v>#NUM!</v>
      </c>
      <c r="GT67" s="343" t="e">
        <f t="shared" si="506"/>
        <v>#NUM!</v>
      </c>
      <c r="GU67" s="344">
        <f t="shared" si="507"/>
        <v>1546.2687571524361</v>
      </c>
      <c r="GV67" s="343">
        <f t="shared" si="252"/>
        <v>858.45</v>
      </c>
      <c r="GW67" s="345">
        <f t="shared" si="508"/>
        <v>29500</v>
      </c>
      <c r="GX67" s="346">
        <f t="shared" si="509"/>
        <v>246.08900000000003</v>
      </c>
      <c r="GY67" s="344" t="e">
        <f t="shared" si="510"/>
        <v>#NUM!</v>
      </c>
      <c r="GZ67" s="345" t="e">
        <f t="shared" si="511"/>
        <v>#NUM!</v>
      </c>
      <c r="HA67" s="342" t="e">
        <f t="shared" si="512"/>
        <v>#NUM!</v>
      </c>
      <c r="HB67" s="5" t="e">
        <f t="shared" si="231"/>
        <v>#NUM!</v>
      </c>
      <c r="HC67" s="343" t="e">
        <f t="shared" si="232"/>
        <v>#NUM!</v>
      </c>
      <c r="HD67" s="363" t="e">
        <f t="shared" si="233"/>
        <v>#NUM!</v>
      </c>
      <c r="HE67" s="344" t="e">
        <f t="shared" si="513"/>
        <v>#NUM!</v>
      </c>
      <c r="HF67" s="5" t="e">
        <f t="shared" si="514"/>
        <v>#NUM!</v>
      </c>
      <c r="HG67" s="343" t="e">
        <f t="shared" si="234"/>
        <v>#NUM!</v>
      </c>
      <c r="HH67" s="349" t="e">
        <f t="shared" si="235"/>
        <v>#NUM!</v>
      </c>
      <c r="HI67" s="317">
        <f t="shared" si="408"/>
        <v>5.1189999999999998</v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5.1189999999999998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</v>
      </c>
      <c r="B68" s="578">
        <f t="shared" si="257"/>
        <v>-3.5005586631320331</v>
      </c>
      <c r="C68" s="572">
        <f t="shared" si="258"/>
        <v>-1.8801293928488287</v>
      </c>
      <c r="D68" s="576">
        <f t="shared" si="259"/>
        <v>-0.94730285706541695</v>
      </c>
      <c r="E68" s="580">
        <f t="shared" si="260"/>
        <v>0.21797125216984831</v>
      </c>
      <c r="F68" s="572">
        <f t="shared" si="261"/>
        <v>-0.94235926857987384</v>
      </c>
      <c r="G68" s="579">
        <f t="shared" si="262"/>
        <v>0.25386520468373269</v>
      </c>
      <c r="H68" s="580">
        <f t="shared" si="263"/>
        <v>0.3125</v>
      </c>
      <c r="I68" s="572">
        <f t="shared" si="264"/>
        <v>0.52</v>
      </c>
      <c r="J68" s="483">
        <f t="shared" si="265"/>
        <v>5.125</v>
      </c>
      <c r="K68" s="806">
        <f t="shared" si="266"/>
        <v>1613</v>
      </c>
      <c r="L68" s="309"/>
      <c r="M68" s="164">
        <f t="shared" si="267"/>
        <v>5.125</v>
      </c>
      <c r="N68" s="575">
        <f t="shared" si="268"/>
        <v>-3.5005586631320331</v>
      </c>
      <c r="O68" s="572">
        <f t="shared" si="269"/>
        <v>-1.8801293928488287</v>
      </c>
      <c r="P68" s="576">
        <f t="shared" si="270"/>
        <v>-0.94730285706541695</v>
      </c>
      <c r="Q68" s="528">
        <f t="shared" si="140"/>
        <v>208.23998292825866</v>
      </c>
      <c r="R68" s="572">
        <f>IF(M68="","",SQRT(N68^2+O68^2))</f>
        <v>3.9735119841121449</v>
      </c>
      <c r="S68" s="577">
        <f>IF(M68="","",P68)</f>
        <v>-0.94730285706541695</v>
      </c>
      <c r="T68" s="578">
        <f>IF(M68="","",X68*COS(RADIANS(W68)))</f>
        <v>-1.8856257349679444</v>
      </c>
      <c r="U68" s="572">
        <f>IF(M68="","",X68*SIN(RADIANS(W68)))</f>
        <v>3.4976010457897329</v>
      </c>
      <c r="V68" s="579">
        <f>IF(M68="","",Y68)</f>
        <v>-0.94730285706541695</v>
      </c>
      <c r="W68" s="528">
        <f t="shared" si="253"/>
        <v>118.32998291526427</v>
      </c>
      <c r="X68" s="572">
        <f>IF(M68="","",R68)</f>
        <v>3.9735119841121449</v>
      </c>
      <c r="Y68" s="573">
        <f t="shared" si="255"/>
        <v>-0.94730285706541695</v>
      </c>
      <c r="Z68" s="575">
        <f t="shared" si="271"/>
        <v>-0.21797125216984831</v>
      </c>
      <c r="AA68" s="572">
        <f t="shared" si="272"/>
        <v>0.94235926857987384</v>
      </c>
      <c r="AB68" s="572">
        <f t="shared" si="273"/>
        <v>-0.25386520468373269</v>
      </c>
      <c r="AC68" s="579">
        <f>IF(M68="","",SQRT(Z68^2+AA68^2+AB68^2))</f>
        <v>1</v>
      </c>
      <c r="AD68" s="580">
        <f>IF(M68="","",Z68*(1/SQRT(Z68^2+AA68^2+AB68^2)))</f>
        <v>-0.21797125216984831</v>
      </c>
      <c r="AE68" s="572">
        <f>IF(M68="","",AA68*(1/SQRT(Z68^2+AA68^2+AB68^2)))</f>
        <v>0.94235926857987384</v>
      </c>
      <c r="AF68" s="576">
        <f>IF(M68="","",AB68*(1/SQRT(Z68^2+AA68^2+AB68^2)))</f>
        <v>-0.25386520468373269</v>
      </c>
      <c r="AG68" s="545">
        <f>IF(M68="","",DEGREES(ATAN2(-AF68,AE68)))</f>
        <v>74.922833133595731</v>
      </c>
      <c r="AH68" s="546">
        <f>IF(M68="","",DEGREES(ACOS(AD68)))</f>
        <v>102.5899027630628</v>
      </c>
      <c r="AI68" s="528">
        <f>IF(M68="","",DEGREES(-ACOS(-AF68)))</f>
        <v>-75.293646391738449</v>
      </c>
      <c r="AJ68" s="529">
        <f>IF(M68="","",DEGREES(ATAN2(-AE68,AD68)))</f>
        <v>-166.97630828437579</v>
      </c>
      <c r="AK68" s="578">
        <f>IF(M68="","",(COS(RADIANS((90-$Q$8)-W68))*AD68)+(-SIN(RADIANS((90-$Q$8)-W68))*AE68))</f>
        <v>0.93333003001859627</v>
      </c>
      <c r="AL68" s="572">
        <f>IF(M68="","",(SIN(RADIANS((90-$Q$8)-W68))*AD68)+(COS(RADIANS((90-$Q$8)-W68))*AE68))</f>
        <v>-0.25386514710840613</v>
      </c>
      <c r="AM68" s="577">
        <f>IF(M68="","",AF68)</f>
        <v>-0.25386520468373269</v>
      </c>
      <c r="AN68" s="524">
        <f>IF(M68="","",DEGREES(ATAN2(-AM68,AL68)))</f>
        <v>-44.999993502804777</v>
      </c>
      <c r="AO68" s="525">
        <f t="shared" si="515"/>
        <v>21.039996962200266</v>
      </c>
      <c r="AP68" s="528">
        <f>IF(M68="","",DEGREES(ATAN2(AK68,AL68)))</f>
        <v>-15.216291212634442</v>
      </c>
      <c r="AQ68" s="529">
        <f t="shared" si="274"/>
        <v>0.38248158925737386</v>
      </c>
      <c r="AS68" s="932">
        <f t="shared" si="461"/>
        <v>-241.67001708473572</v>
      </c>
      <c r="AT68" s="928">
        <f t="shared" si="275"/>
        <v>-0.83537692323590707</v>
      </c>
      <c r="AU68" s="418"/>
      <c r="AV68" s="164">
        <f t="shared" si="276"/>
        <v>5.125</v>
      </c>
      <c r="AW68" s="797">
        <f>IFERROR(INDEX(MassProp!C$9:C$150,MATCH($M68,MassProp!$B$9:$B$150,0)),"")</f>
        <v>4.0998000000000001</v>
      </c>
      <c r="AX68" s="744">
        <f>IFERROR(INDEX(MassProp!D$9:D$150,MATCH($M68,MassProp!$B$9:$B$150,0)),"")</f>
        <v>-0.32050000000000001</v>
      </c>
      <c r="AY68" s="731">
        <f>IFERROR(INDEX(MassProp!E$9:E$150,MATCH($M68,MassProp!$B$9:$B$150,0)),"")</f>
        <v>2.29E-2</v>
      </c>
      <c r="AZ68" s="297">
        <f t="shared" si="144"/>
        <v>0.58991183834469396</v>
      </c>
      <c r="BA68" s="296">
        <f t="shared" si="278"/>
        <v>3.0830079636170873E-2</v>
      </c>
      <c r="BB68" s="177">
        <f t="shared" si="145"/>
        <v>0.34821025656924043</v>
      </c>
      <c r="BC68" s="9"/>
      <c r="BD68" s="5">
        <f t="shared" si="146"/>
        <v>4.0998000000000001</v>
      </c>
      <c r="BE68" s="6">
        <f t="shared" si="280"/>
        <v>-0.59909260049617652</v>
      </c>
      <c r="BF68" s="4">
        <f t="shared" si="281"/>
        <v>-3.5005586631320331</v>
      </c>
      <c r="BG68" s="5">
        <f t="shared" si="282"/>
        <v>-1.8801293928488287</v>
      </c>
      <c r="BH68" s="10">
        <f t="shared" si="283"/>
        <v>-0.94730285706541695</v>
      </c>
      <c r="BI68" s="9">
        <f t="shared" si="147"/>
        <v>-3.5005586631320331</v>
      </c>
      <c r="BJ68" s="5">
        <f t="shared" si="285"/>
        <v>-1.6200096586236541</v>
      </c>
      <c r="BK68" s="8">
        <f t="shared" si="286"/>
        <v>1.8273511673288501E-2</v>
      </c>
      <c r="BL68" s="173">
        <f t="shared" si="287"/>
        <v>-2.5246034729580638</v>
      </c>
      <c r="BM68" s="5">
        <f t="shared" si="288"/>
        <v>-1.6696615026892376</v>
      </c>
      <c r="BN68" s="6">
        <f t="shared" si="289"/>
        <v>-1.0040014812485665</v>
      </c>
      <c r="BO68" s="4">
        <f t="shared" si="148"/>
        <v>-0.21797125216984845</v>
      </c>
      <c r="BP68" s="5">
        <f t="shared" si="239"/>
        <v>0.94235926857987407</v>
      </c>
      <c r="BQ68" s="5">
        <f t="shared" si="149"/>
        <v>-0.25386520468373286</v>
      </c>
      <c r="BR68" s="6">
        <f t="shared" si="150"/>
        <v>0.76824897067724729</v>
      </c>
      <c r="BS68" s="4">
        <f t="shared" si="483"/>
        <v>0</v>
      </c>
      <c r="BT68" s="5">
        <f t="shared" si="483"/>
        <v>0</v>
      </c>
      <c r="BU68" s="10">
        <f t="shared" si="119"/>
        <v>-0.59909260049617652</v>
      </c>
      <c r="BV68" s="9">
        <f t="shared" si="120"/>
        <v>0</v>
      </c>
      <c r="BW68" s="5">
        <f t="shared" si="121"/>
        <v>1</v>
      </c>
      <c r="BX68" s="8">
        <f t="shared" si="122"/>
        <v>-0.59909260049617652</v>
      </c>
      <c r="BY68" s="173">
        <f t="shared" si="123"/>
        <v>1</v>
      </c>
      <c r="BZ68" s="5">
        <f t="shared" si="124"/>
        <v>0</v>
      </c>
      <c r="CA68" s="6">
        <f t="shared" si="125"/>
        <v>-0.59909260049617652</v>
      </c>
      <c r="CB68" s="4">
        <f t="shared" si="151"/>
        <v>0</v>
      </c>
      <c r="CC68" s="5">
        <f t="shared" si="152"/>
        <v>0</v>
      </c>
      <c r="CD68" s="5">
        <f t="shared" si="153"/>
        <v>-1</v>
      </c>
      <c r="CE68" s="6">
        <f t="shared" si="154"/>
        <v>-0.59909260049617652</v>
      </c>
      <c r="CF68" s="4">
        <f t="shared" si="155"/>
        <v>-0.94235926857987407</v>
      </c>
      <c r="CG68" s="5">
        <f t="shared" si="156"/>
        <v>-0.21797125216984845</v>
      </c>
      <c r="CH68" s="5">
        <f t="shared" si="157"/>
        <v>0</v>
      </c>
      <c r="CI68" s="4">
        <f t="shared" si="126"/>
        <v>0</v>
      </c>
      <c r="CJ68" s="5">
        <f t="shared" si="127"/>
        <v>-0.97663148972223579</v>
      </c>
      <c r="CK68" s="8">
        <f t="shared" si="128"/>
        <v>-0.59909260049617652</v>
      </c>
      <c r="CL68" s="173">
        <f t="shared" si="129"/>
        <v>-0.94235926857987407</v>
      </c>
      <c r="CM68" s="5">
        <f t="shared" si="130"/>
        <v>-1.1946027418920842</v>
      </c>
      <c r="CN68" s="6">
        <f t="shared" si="131"/>
        <v>-0.59909260049617652</v>
      </c>
      <c r="CO68" s="167">
        <f t="shared" si="305"/>
        <v>0.3125</v>
      </c>
      <c r="CP68" s="4">
        <f t="shared" si="240"/>
        <v>0.93555245785088681</v>
      </c>
      <c r="CQ68" s="5">
        <f t="shared" si="241"/>
        <v>-6.9914409413747611</v>
      </c>
      <c r="CR68" s="5">
        <f t="shared" si="158"/>
        <v>13.093813547762895</v>
      </c>
      <c r="CS68" s="8">
        <f t="shared" si="159"/>
        <v>-0.11955135227206171</v>
      </c>
      <c r="CT68" s="9" t="e">
        <f t="shared" si="160"/>
        <v>#NUM!</v>
      </c>
      <c r="CU68" s="6" t="e">
        <f t="shared" si="161"/>
        <v>#NUM!</v>
      </c>
      <c r="CV68" s="4" t="e">
        <f t="shared" si="242"/>
        <v>#NUM!</v>
      </c>
      <c r="CW68" s="5" t="e">
        <f t="shared" si="162"/>
        <v>#NUM!</v>
      </c>
      <c r="CX68" s="8" t="e">
        <f t="shared" si="163"/>
        <v>#NUM!</v>
      </c>
      <c r="CY68" s="9" t="e">
        <f t="shared" si="164"/>
        <v>#NUM!</v>
      </c>
      <c r="CZ68" s="5" t="e">
        <f t="shared" si="165"/>
        <v>#NUM!</v>
      </c>
      <c r="DA68" s="6" t="e">
        <f t="shared" si="166"/>
        <v>#NUM!</v>
      </c>
      <c r="DB68" s="4">
        <f t="shared" si="484"/>
        <v>0</v>
      </c>
      <c r="DC68" s="5">
        <f t="shared" si="484"/>
        <v>0</v>
      </c>
      <c r="DD68" s="10">
        <f t="shared" si="168"/>
        <v>-10</v>
      </c>
      <c r="DE68" s="9">
        <f t="shared" si="485"/>
        <v>0</v>
      </c>
      <c r="DF68" s="5">
        <f t="shared" si="485"/>
        <v>0</v>
      </c>
      <c r="DG68" s="10">
        <f t="shared" si="170"/>
        <v>10</v>
      </c>
      <c r="DH68" s="70">
        <f t="shared" si="171"/>
        <v>4.0998000000000001</v>
      </c>
      <c r="DI68" s="4">
        <f t="shared" si="172"/>
        <v>0</v>
      </c>
      <c r="DJ68" s="5">
        <f t="shared" si="173"/>
        <v>0</v>
      </c>
      <c r="DK68" s="10">
        <f t="shared" si="174"/>
        <v>20</v>
      </c>
      <c r="DL68" s="9" t="e">
        <f t="shared" si="175"/>
        <v>#NUM!</v>
      </c>
      <c r="DM68" s="173" t="e">
        <f t="shared" si="176"/>
        <v>#NUM!</v>
      </c>
      <c r="DN68" s="178" t="e">
        <f t="shared" si="177"/>
        <v>#NUM!</v>
      </c>
      <c r="DO68" s="9" t="e">
        <f t="shared" si="178"/>
        <v>#NUM!</v>
      </c>
      <c r="DP68" s="173" t="e">
        <f t="shared" si="179"/>
        <v>#NUM!</v>
      </c>
      <c r="DQ68" s="11" t="e">
        <f t="shared" si="180"/>
        <v>#NUM!</v>
      </c>
      <c r="DR68" s="173" t="e">
        <f t="shared" si="181"/>
        <v>#NUM!</v>
      </c>
      <c r="DS68" s="5" t="e">
        <f t="shared" si="182"/>
        <v>#NUM!</v>
      </c>
      <c r="DT68" s="5">
        <f t="shared" si="183"/>
        <v>400</v>
      </c>
      <c r="DU68" s="5" t="e">
        <f t="shared" si="184"/>
        <v>#NUM!</v>
      </c>
      <c r="DV68" s="5" t="e">
        <f t="shared" si="185"/>
        <v>#NUM!</v>
      </c>
      <c r="DW68" s="5" t="e">
        <f t="shared" si="186"/>
        <v>#NUM!</v>
      </c>
      <c r="DX68" s="167" t="e">
        <f t="shared" si="187"/>
        <v>#NUM!</v>
      </c>
      <c r="DY68" s="9" t="e">
        <f t="shared" si="188"/>
        <v>#NUM!</v>
      </c>
      <c r="DZ68" s="5" t="e">
        <f t="shared" si="189"/>
        <v>#NUM!</v>
      </c>
      <c r="EA68" s="10" t="e">
        <f t="shared" si="190"/>
        <v>#NUM!</v>
      </c>
      <c r="EB68" s="6" t="e">
        <f t="shared" si="191"/>
        <v>#NUM!</v>
      </c>
      <c r="EC68" s="173" t="e">
        <f t="shared" si="192"/>
        <v>#NUM!</v>
      </c>
      <c r="ED68" s="5" t="e">
        <f t="shared" si="193"/>
        <v>#NUM!</v>
      </c>
      <c r="EE68" s="4" t="e">
        <f t="shared" si="194"/>
        <v>#NUM!</v>
      </c>
      <c r="EF68" s="5" t="e">
        <f t="shared" si="195"/>
        <v>#NUM!</v>
      </c>
      <c r="EG68" s="10" t="e">
        <f t="shared" si="196"/>
        <v>#NUM!</v>
      </c>
      <c r="EH68" s="9" t="e">
        <f t="shared" si="197"/>
        <v>#NUM!</v>
      </c>
      <c r="EI68" s="5" t="e">
        <f t="shared" si="198"/>
        <v>#NUM!</v>
      </c>
      <c r="EJ68" s="6" t="e">
        <f t="shared" si="199"/>
        <v>#NUM!</v>
      </c>
      <c r="EK68" s="236" t="e">
        <f t="shared" si="200"/>
        <v>#NUM!</v>
      </c>
      <c r="EL68" s="238" t="e">
        <f t="shared" si="201"/>
        <v>#NUM!</v>
      </c>
      <c r="EM68" s="4" t="e">
        <f t="shared" si="202"/>
        <v>#NUM!</v>
      </c>
      <c r="EN68" s="5" t="e">
        <f t="shared" si="203"/>
        <v>#NUM!</v>
      </c>
      <c r="EO68" s="10" t="e">
        <f t="shared" si="204"/>
        <v>#NUM!</v>
      </c>
      <c r="EP68" s="9" t="e">
        <f t="shared" si="205"/>
        <v>#NUM!</v>
      </c>
      <c r="EQ68" s="5" t="e">
        <f t="shared" si="206"/>
        <v>#NUM!</v>
      </c>
      <c r="ER68" s="7" t="e">
        <f t="shared" si="207"/>
        <v>#NUM!</v>
      </c>
      <c r="ES68" s="21">
        <f t="shared" si="352"/>
        <v>-0.21797125216984831</v>
      </c>
      <c r="ET68" s="5">
        <f t="shared" si="353"/>
        <v>0.94235926857987384</v>
      </c>
      <c r="EU68" s="10">
        <f t="shared" si="354"/>
        <v>-0.25386520468373269</v>
      </c>
      <c r="EV68" s="174" t="e">
        <f t="shared" si="486"/>
        <v>#NUM!</v>
      </c>
      <c r="EW68" s="9" t="e">
        <f t="shared" si="487"/>
        <v>#NUM!</v>
      </c>
      <c r="EX68" s="5" t="e">
        <f t="shared" si="488"/>
        <v>#NUM!</v>
      </c>
      <c r="EY68" s="6">
        <f t="shared" si="208"/>
        <v>-0.25386520468373269</v>
      </c>
      <c r="EZ68" s="51" t="e">
        <f t="shared" si="209"/>
        <v>#NUM!</v>
      </c>
      <c r="FA68" s="173" t="e">
        <f t="shared" si="489"/>
        <v>#NUM!</v>
      </c>
      <c r="FB68" s="5" t="e">
        <f t="shared" si="490"/>
        <v>#NUM!</v>
      </c>
      <c r="FC68" s="6" t="e">
        <f t="shared" si="491"/>
        <v>#NUM!</v>
      </c>
      <c r="FD68" s="4" t="e">
        <f t="shared" si="492"/>
        <v>#NUM!</v>
      </c>
      <c r="FE68" s="5" t="e">
        <f t="shared" si="493"/>
        <v>#NUM!</v>
      </c>
      <c r="FF68" s="7" t="e">
        <f t="shared" si="210"/>
        <v>#NUM!</v>
      </c>
      <c r="FG68" s="173" t="e">
        <f t="shared" si="494"/>
        <v>#NUM!</v>
      </c>
      <c r="FH68" s="5" t="e">
        <f t="shared" si="495"/>
        <v>#NUM!</v>
      </c>
      <c r="FI68" s="10" t="e">
        <f t="shared" si="496"/>
        <v>#NUM!</v>
      </c>
      <c r="FJ68" s="279" t="e">
        <f t="shared" si="212"/>
        <v>#NUM!</v>
      </c>
      <c r="FK68" s="4">
        <f t="shared" si="497"/>
        <v>0.96723960725917679</v>
      </c>
      <c r="FL68" s="5" t="e">
        <f t="shared" si="213"/>
        <v>#NUM!</v>
      </c>
      <c r="FM68" s="8" t="e">
        <f t="shared" si="214"/>
        <v>#NUM!</v>
      </c>
      <c r="FN68" s="9" t="e">
        <f t="shared" si="215"/>
        <v>#NUM!</v>
      </c>
      <c r="FO68" s="10" t="e">
        <f t="shared" si="498"/>
        <v>#NUM!</v>
      </c>
      <c r="FP68" s="277" t="e">
        <f t="shared" si="499"/>
        <v>#NUM!</v>
      </c>
      <c r="FQ68" s="173" t="e">
        <f t="shared" si="243"/>
        <v>#NUM!</v>
      </c>
      <c r="FR68" s="10" t="e">
        <f t="shared" si="216"/>
        <v>#NUM!</v>
      </c>
      <c r="FS68" s="9" t="e">
        <f t="shared" si="217"/>
        <v>#NUM!</v>
      </c>
      <c r="FT68" s="6" t="e">
        <f t="shared" si="218"/>
        <v>#NUM!</v>
      </c>
      <c r="FU68" s="4" t="e">
        <f t="shared" si="219"/>
        <v>#NUM!</v>
      </c>
      <c r="FV68" s="5" t="e">
        <f t="shared" si="220"/>
        <v>#NUM!</v>
      </c>
      <c r="FW68" s="8" t="e">
        <f t="shared" si="244"/>
        <v>#NUM!</v>
      </c>
      <c r="FX68" s="9" t="e">
        <f t="shared" si="245"/>
        <v>#NUM!</v>
      </c>
      <c r="FY68" s="10" t="e">
        <f t="shared" si="500"/>
        <v>#NUM!</v>
      </c>
      <c r="FZ68" s="277" t="e">
        <f t="shared" si="246"/>
        <v>#NUM!</v>
      </c>
      <c r="GA68" s="177" t="e">
        <f t="shared" si="221"/>
        <v>#NUM!</v>
      </c>
      <c r="GB68" s="4" t="e">
        <f t="shared" si="222"/>
        <v>#NUM!</v>
      </c>
      <c r="GC68" s="5" t="e">
        <f t="shared" si="223"/>
        <v>#NUM!</v>
      </c>
      <c r="GD68" s="10" t="e">
        <f t="shared" si="224"/>
        <v>#NUM!</v>
      </c>
      <c r="GE68" s="311" t="e">
        <f t="shared" si="225"/>
        <v>#NUM!</v>
      </c>
      <c r="GF68" s="341" t="e">
        <f t="shared" si="247"/>
        <v>#NUM!</v>
      </c>
      <c r="GG68" s="285" t="e">
        <f t="shared" si="501"/>
        <v>#NUM!</v>
      </c>
      <c r="GH68" s="286" t="e">
        <f t="shared" si="502"/>
        <v>#NUM!</v>
      </c>
      <c r="GI68" s="281" t="e">
        <f t="shared" si="503"/>
        <v>#NUM!</v>
      </c>
      <c r="GJ68" s="167">
        <f t="shared" si="226"/>
        <v>4.0998000000000001</v>
      </c>
      <c r="GK68" s="174">
        <f t="shared" si="504"/>
        <v>2.1466951904828746</v>
      </c>
      <c r="GL68" s="174">
        <f t="shared" si="227"/>
        <v>2.29E-2</v>
      </c>
      <c r="GM68" s="177">
        <f t="shared" si="248"/>
        <v>0.58991183834469396</v>
      </c>
      <c r="GN68" s="280">
        <f t="shared" si="228"/>
        <v>3.0830079636170873E-2</v>
      </c>
      <c r="GO68" s="4" t="e">
        <f t="shared" si="229"/>
        <v>#NUM!</v>
      </c>
      <c r="GP68" s="8" t="e">
        <f t="shared" si="249"/>
        <v>#NUM!</v>
      </c>
      <c r="GQ68" s="177" t="e">
        <f t="shared" si="230"/>
        <v>#NUM!</v>
      </c>
      <c r="GR68" s="371" t="e">
        <f t="shared" si="250"/>
        <v>#NUM!</v>
      </c>
      <c r="GS68" s="342" t="e">
        <f t="shared" si="505"/>
        <v>#NUM!</v>
      </c>
      <c r="GT68" s="343" t="e">
        <f t="shared" si="506"/>
        <v>#NUM!</v>
      </c>
      <c r="GU68" s="344">
        <f t="shared" si="507"/>
        <v>1450.1999359307058</v>
      </c>
      <c r="GV68" s="343">
        <f t="shared" si="252"/>
        <v>675.55</v>
      </c>
      <c r="GW68" s="345">
        <f t="shared" si="508"/>
        <v>29500</v>
      </c>
      <c r="GX68" s="346">
        <f t="shared" si="509"/>
        <v>230.8016575</v>
      </c>
      <c r="GY68" s="344" t="e">
        <f t="shared" si="510"/>
        <v>#NUM!</v>
      </c>
      <c r="GZ68" s="345" t="e">
        <f t="shared" si="511"/>
        <v>#NUM!</v>
      </c>
      <c r="HA68" s="342" t="e">
        <f t="shared" si="512"/>
        <v>#NUM!</v>
      </c>
      <c r="HB68" s="5" t="e">
        <f t="shared" si="231"/>
        <v>#NUM!</v>
      </c>
      <c r="HC68" s="343" t="e">
        <f t="shared" si="232"/>
        <v>#NUM!</v>
      </c>
      <c r="HD68" s="363" t="e">
        <f t="shared" si="233"/>
        <v>#NUM!</v>
      </c>
      <c r="HE68" s="344" t="e">
        <f t="shared" si="513"/>
        <v>#NUM!</v>
      </c>
      <c r="HF68" s="5" t="e">
        <f t="shared" si="514"/>
        <v>#NUM!</v>
      </c>
      <c r="HG68" s="343" t="e">
        <f t="shared" si="234"/>
        <v>#NUM!</v>
      </c>
      <c r="HH68" s="349" t="e">
        <f t="shared" si="235"/>
        <v>#NUM!</v>
      </c>
      <c r="HI68" s="317">
        <f t="shared" si="408"/>
        <v>5.125</v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5.125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257"/>
        <v>-3.8832678453896912</v>
      </c>
      <c r="C69" s="572">
        <f t="shared" si="258"/>
        <v>-2.0309849761512333</v>
      </c>
      <c r="D69" s="576">
        <f t="shared" si="259"/>
        <v>-1.5731047444839095</v>
      </c>
      <c r="E69" s="580">
        <f t="shared" si="260"/>
        <v>0.10503846250308266</v>
      </c>
      <c r="F69" s="572">
        <f t="shared" si="261"/>
        <v>-0.97278111265077083</v>
      </c>
      <c r="G69" s="579">
        <f t="shared" si="262"/>
        <v>0.20655224100676536</v>
      </c>
      <c r="H69" s="580">
        <f t="shared" si="263"/>
        <v>0.3125</v>
      </c>
      <c r="I69" s="572">
        <f t="shared" si="264"/>
        <v>0.52</v>
      </c>
      <c r="J69" s="483">
        <f t="shared" si="265"/>
        <v>5.1310000000000002</v>
      </c>
      <c r="K69" s="806">
        <f t="shared" si="266"/>
        <v>1613</v>
      </c>
      <c r="L69" s="309"/>
      <c r="M69" s="164">
        <f t="shared" si="267"/>
        <v>5.1310000000000002</v>
      </c>
      <c r="N69" s="575">
        <f t="shared" si="268"/>
        <v>-3.8832678453896912</v>
      </c>
      <c r="O69" s="572">
        <f t="shared" si="269"/>
        <v>-2.0309849761512333</v>
      </c>
      <c r="P69" s="576">
        <f t="shared" si="270"/>
        <v>-1.5731047444839095</v>
      </c>
      <c r="Q69" s="528">
        <f t="shared" si="140"/>
        <v>207.60998301921941</v>
      </c>
      <c r="R69" s="572">
        <f t="shared" si="101"/>
        <v>4.3823132170566632</v>
      </c>
      <c r="S69" s="577">
        <f t="shared" si="102"/>
        <v>-1.5731047444839095</v>
      </c>
      <c r="T69" s="578">
        <f t="shared" si="103"/>
        <v>-2.0370822900035339</v>
      </c>
      <c r="U69" s="572">
        <f t="shared" si="104"/>
        <v>3.8800727926346275</v>
      </c>
      <c r="V69" s="579">
        <f t="shared" si="141"/>
        <v>-1.5731047444839095</v>
      </c>
      <c r="W69" s="528">
        <f t="shared" si="253"/>
        <v>117.69998300622503</v>
      </c>
      <c r="X69" s="572">
        <f t="shared" si="105"/>
        <v>4.3823132170566632</v>
      </c>
      <c r="Y69" s="573">
        <f t="shared" si="255"/>
        <v>-1.5731047444839095</v>
      </c>
      <c r="Z69" s="575">
        <f t="shared" si="271"/>
        <v>-0.10503846250308266</v>
      </c>
      <c r="AA69" s="572">
        <f t="shared" si="272"/>
        <v>0.97278111265077083</v>
      </c>
      <c r="AB69" s="572">
        <f t="shared" si="273"/>
        <v>-0.20655224100676536</v>
      </c>
      <c r="AC69" s="579">
        <f t="shared" si="106"/>
        <v>1</v>
      </c>
      <c r="AD69" s="580">
        <f t="shared" si="142"/>
        <v>-0.10503846250308266</v>
      </c>
      <c r="AE69" s="572">
        <f t="shared" si="107"/>
        <v>0.97278111265077083</v>
      </c>
      <c r="AF69" s="576">
        <f t="shared" si="108"/>
        <v>-0.20655224100676536</v>
      </c>
      <c r="AG69" s="545">
        <f t="shared" si="109"/>
        <v>78.012328750438513</v>
      </c>
      <c r="AH69" s="546">
        <f t="shared" si="110"/>
        <v>96.029382553245753</v>
      </c>
      <c r="AI69" s="528">
        <f t="shared" si="111"/>
        <v>-78.079619129016791</v>
      </c>
      <c r="AJ69" s="529">
        <f t="shared" si="112"/>
        <v>-173.83722243926695</v>
      </c>
      <c r="AK69" s="578">
        <f t="shared" si="238"/>
        <v>0.91068368620656903</v>
      </c>
      <c r="AL69" s="572">
        <f t="shared" si="113"/>
        <v>-0.35775885092097798</v>
      </c>
      <c r="AM69" s="577">
        <f t="shared" si="114"/>
        <v>-0.20655224100676536</v>
      </c>
      <c r="AN69" s="524">
        <f t="shared" si="115"/>
        <v>-59.999991337073098</v>
      </c>
      <c r="AO69" s="525">
        <f t="shared" si="515"/>
        <v>24.399996477076375</v>
      </c>
      <c r="AP69" s="528">
        <f t="shared" si="117"/>
        <v>-21.447205458486373</v>
      </c>
      <c r="AQ69" s="529">
        <f t="shared" si="274"/>
        <v>0.34680295970981934</v>
      </c>
      <c r="AS69" s="932">
        <f t="shared" si="461"/>
        <v>-242.30001699377499</v>
      </c>
      <c r="AT69" s="928">
        <f t="shared" si="275"/>
        <v>-1.4608871440298443</v>
      </c>
      <c r="AU69" s="418"/>
      <c r="AV69" s="164">
        <f t="shared" si="276"/>
        <v>5.1310000000000002</v>
      </c>
      <c r="AW69" s="797">
        <f>IFERROR(INDEX(MassProp!C$9:C$150,MATCH($M69,MassProp!$B$9:$B$150,0)),"")</f>
        <v>4.5797999999999996</v>
      </c>
      <c r="AX69" s="744">
        <f>IFERROR(INDEX(MassProp!D$9:D$150,MATCH($M69,MassProp!$B$9:$B$150,0)),"")</f>
        <v>-1.0032000000000001</v>
      </c>
      <c r="AY69" s="731">
        <f>IFERROR(INDEX(MassProp!E$9:E$150,MATCH($M69,MassProp!$B$9:$B$150,0)),"")</f>
        <v>1.5100000000000001E-2</v>
      </c>
      <c r="AZ69" s="297">
        <f t="shared" si="144"/>
        <v>0.43452084235605321</v>
      </c>
      <c r="BA69" s="296">
        <f t="shared" si="278"/>
        <v>2.270900718148584E-2</v>
      </c>
      <c r="BB69" s="177">
        <f t="shared" si="145"/>
        <v>0.29102047736317749</v>
      </c>
      <c r="BC69" s="9"/>
      <c r="BD69" s="5">
        <f t="shared" si="146"/>
        <v>4.5797999999999996</v>
      </c>
      <c r="BE69" s="6">
        <f t="shared" si="280"/>
        <v>-1.282084267120732</v>
      </c>
      <c r="BF69" s="4">
        <f t="shared" si="281"/>
        <v>-3.8832678453896912</v>
      </c>
      <c r="BG69" s="5">
        <f t="shared" si="282"/>
        <v>-2.0309849761512333</v>
      </c>
      <c r="BH69" s="10">
        <f t="shared" si="283"/>
        <v>-1.5731047444839095</v>
      </c>
      <c r="BI69" s="9">
        <f t="shared" si="147"/>
        <v>-3.8832678453896912</v>
      </c>
      <c r="BJ69" s="5">
        <f t="shared" si="285"/>
        <v>-1.8232837652929395</v>
      </c>
      <c r="BK69" s="8">
        <f t="shared" si="286"/>
        <v>-0.59491242852145076</v>
      </c>
      <c r="BL69" s="173">
        <f t="shared" si="287"/>
        <v>-2.888799685318697</v>
      </c>
      <c r="BM69" s="5">
        <f t="shared" si="288"/>
        <v>-1.928237159250207</v>
      </c>
      <c r="BN69" s="6">
        <f t="shared" si="289"/>
        <v>-1.5949213603324932</v>
      </c>
      <c r="BO69" s="4">
        <f t="shared" si="148"/>
        <v>-0.10503846250308235</v>
      </c>
      <c r="BP69" s="5">
        <f t="shared" si="239"/>
        <v>0.97278111265076972</v>
      </c>
      <c r="BQ69" s="5">
        <f t="shared" si="149"/>
        <v>-0.20655224100676506</v>
      </c>
      <c r="BR69" s="6">
        <f t="shared" si="150"/>
        <v>1.2428830305984762</v>
      </c>
      <c r="BS69" s="4">
        <f t="shared" si="483"/>
        <v>0</v>
      </c>
      <c r="BT69" s="5">
        <f t="shared" si="483"/>
        <v>0</v>
      </c>
      <c r="BU69" s="10">
        <f t="shared" si="119"/>
        <v>-1.282084267120732</v>
      </c>
      <c r="BV69" s="9">
        <f t="shared" si="120"/>
        <v>0</v>
      </c>
      <c r="BW69" s="5">
        <f t="shared" si="121"/>
        <v>1</v>
      </c>
      <c r="BX69" s="8">
        <f t="shared" si="122"/>
        <v>-1.282084267120732</v>
      </c>
      <c r="BY69" s="173">
        <f t="shared" si="123"/>
        <v>1</v>
      </c>
      <c r="BZ69" s="5">
        <f t="shared" si="124"/>
        <v>0</v>
      </c>
      <c r="CA69" s="6">
        <f t="shared" si="125"/>
        <v>-1.282084267120732</v>
      </c>
      <c r="CB69" s="4">
        <f t="shared" si="151"/>
        <v>0</v>
      </c>
      <c r="CC69" s="5">
        <f t="shared" si="152"/>
        <v>0</v>
      </c>
      <c r="CD69" s="5">
        <f t="shared" si="153"/>
        <v>-1</v>
      </c>
      <c r="CE69" s="6">
        <f t="shared" si="154"/>
        <v>-1.282084267120732</v>
      </c>
      <c r="CF69" s="4">
        <f t="shared" si="155"/>
        <v>-0.97278111265076972</v>
      </c>
      <c r="CG69" s="5">
        <f t="shared" si="156"/>
        <v>-0.10503846250308235</v>
      </c>
      <c r="CH69" s="5">
        <f t="shared" si="157"/>
        <v>0</v>
      </c>
      <c r="CI69" s="4">
        <f t="shared" si="126"/>
        <v>0</v>
      </c>
      <c r="CJ69" s="5">
        <f t="shared" si="127"/>
        <v>-1.5498865978425371</v>
      </c>
      <c r="CK69" s="8">
        <f t="shared" si="128"/>
        <v>-1.282084267120732</v>
      </c>
      <c r="CL69" s="173">
        <f t="shared" si="129"/>
        <v>-0.97278111265076972</v>
      </c>
      <c r="CM69" s="5">
        <f t="shared" si="130"/>
        <v>-1.6549250603456196</v>
      </c>
      <c r="CN69" s="6">
        <f t="shared" si="131"/>
        <v>-1.282084267120732</v>
      </c>
      <c r="CO69" s="167">
        <f t="shared" si="305"/>
        <v>0.3125</v>
      </c>
      <c r="CP69" s="4">
        <f t="shared" si="240"/>
        <v>0.95733617173508101</v>
      </c>
      <c r="CQ69" s="5">
        <f t="shared" si="241"/>
        <v>-7.6562068986588256</v>
      </c>
      <c r="CR69" s="5">
        <f t="shared" si="158"/>
        <v>15.298261476893444</v>
      </c>
      <c r="CS69" s="8">
        <f t="shared" si="159"/>
        <v>3.5187769105249345E-2</v>
      </c>
      <c r="CT69" s="9">
        <f t="shared" si="160"/>
        <v>4.096675317594884</v>
      </c>
      <c r="CU69" s="6">
        <f t="shared" si="161"/>
        <v>3.9007315753074048</v>
      </c>
      <c r="CV69" s="4">
        <f t="shared" si="242"/>
        <v>-3.9851683736188965</v>
      </c>
      <c r="CW69" s="5">
        <f t="shared" si="162"/>
        <v>-1.9801950745770309</v>
      </c>
      <c r="CX69" s="8">
        <f t="shared" si="163"/>
        <v>-1.282084267120732</v>
      </c>
      <c r="CY69" s="9">
        <f t="shared" si="164"/>
        <v>-3.7945580019795271</v>
      </c>
      <c r="CZ69" s="5">
        <f t="shared" si="165"/>
        <v>-1.9596134451500538</v>
      </c>
      <c r="DA69" s="6">
        <f t="shared" si="166"/>
        <v>-1.282084267120732</v>
      </c>
      <c r="DB69" s="4">
        <f t="shared" si="484"/>
        <v>0</v>
      </c>
      <c r="DC69" s="5">
        <f t="shared" si="484"/>
        <v>0</v>
      </c>
      <c r="DD69" s="10">
        <f t="shared" si="168"/>
        <v>-10</v>
      </c>
      <c r="DE69" s="9">
        <f t="shared" si="485"/>
        <v>0</v>
      </c>
      <c r="DF69" s="5">
        <f t="shared" si="485"/>
        <v>0</v>
      </c>
      <c r="DG69" s="10">
        <f t="shared" si="170"/>
        <v>10</v>
      </c>
      <c r="DH69" s="70">
        <f t="shared" si="171"/>
        <v>4.5797999999999996</v>
      </c>
      <c r="DI69" s="4">
        <f t="shared" si="172"/>
        <v>0</v>
      </c>
      <c r="DJ69" s="5">
        <f t="shared" si="173"/>
        <v>0</v>
      </c>
      <c r="DK69" s="10">
        <f t="shared" si="174"/>
        <v>20</v>
      </c>
      <c r="DL69" s="9">
        <f t="shared" si="175"/>
        <v>-3.9851683736188965</v>
      </c>
      <c r="DM69" s="173">
        <f t="shared" si="176"/>
        <v>-1.9801950745770309</v>
      </c>
      <c r="DN69" s="178">
        <f t="shared" si="177"/>
        <v>8.717915732879268</v>
      </c>
      <c r="DO69" s="9">
        <f t="shared" si="178"/>
        <v>0.19061037163936945</v>
      </c>
      <c r="DP69" s="173">
        <f t="shared" si="179"/>
        <v>2.0581629426977166E-2</v>
      </c>
      <c r="DQ69" s="11">
        <f t="shared" si="180"/>
        <v>0</v>
      </c>
      <c r="DR69" s="173">
        <f t="shared" si="181"/>
        <v>174.35831465758537</v>
      </c>
      <c r="DS69" s="5">
        <f t="shared" si="182"/>
        <v>0</v>
      </c>
      <c r="DT69" s="5">
        <f t="shared" si="183"/>
        <v>400</v>
      </c>
      <c r="DU69" s="5">
        <f t="shared" si="184"/>
        <v>3.6755917246367953E-2</v>
      </c>
      <c r="DV69" s="5">
        <f t="shared" si="185"/>
        <v>-0.80037006595902926</v>
      </c>
      <c r="DW69" s="5">
        <f t="shared" si="186"/>
        <v>95.804794225055275</v>
      </c>
      <c r="DX69" s="167">
        <f t="shared" si="187"/>
        <v>74.830226185055281</v>
      </c>
      <c r="DY69" s="9">
        <f t="shared" si="188"/>
        <v>14.702366898547181</v>
      </c>
      <c r="DZ69" s="5">
        <f t="shared" si="189"/>
        <v>-320.14802638361169</v>
      </c>
      <c r="EA69" s="10">
        <f t="shared" si="190"/>
        <v>-468.73141621143805</v>
      </c>
      <c r="EB69" s="6">
        <f t="shared" si="191"/>
        <v>109386.22005533792</v>
      </c>
      <c r="EC69" s="173">
        <f t="shared" si="192"/>
        <v>44.270688349180233</v>
      </c>
      <c r="ED69" s="5">
        <f t="shared" si="193"/>
        <v>-0.72014596470917236</v>
      </c>
      <c r="EE69" s="4">
        <f t="shared" si="194"/>
        <v>4.4532839853490502</v>
      </c>
      <c r="EF69" s="5">
        <f t="shared" si="195"/>
        <v>-1.0690321724970078</v>
      </c>
      <c r="EG69" s="10">
        <f t="shared" si="196"/>
        <v>-1.282084267120732</v>
      </c>
      <c r="EH69" s="9">
        <f t="shared" si="197"/>
        <v>-4.1224356635867041</v>
      </c>
      <c r="EI69" s="5">
        <f t="shared" si="198"/>
        <v>-1.9950168519560081</v>
      </c>
      <c r="EJ69" s="6">
        <f t="shared" si="199"/>
        <v>-1.282084267120732</v>
      </c>
      <c r="EK69" s="236" t="b">
        <f t="shared" si="200"/>
        <v>0</v>
      </c>
      <c r="EL69" s="238" t="b">
        <f t="shared" si="201"/>
        <v>0</v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e">
        <f t="shared" si="205"/>
        <v>#VALUE!</v>
      </c>
      <c r="EQ69" s="5" t="e">
        <f t="shared" si="206"/>
        <v>#VALUE!</v>
      </c>
      <c r="ER69" s="7" t="str">
        <f t="shared" si="207"/>
        <v/>
      </c>
      <c r="ES69" s="21">
        <f t="shared" si="352"/>
        <v>-0.10503846250308266</v>
      </c>
      <c r="ET69" s="5">
        <f t="shared" si="353"/>
        <v>0.97278111265077083</v>
      </c>
      <c r="EU69" s="10">
        <f t="shared" si="354"/>
        <v>-0.20655224100676536</v>
      </c>
      <c r="EV69" s="174" t="e">
        <f t="shared" si="486"/>
        <v>#VALUE!</v>
      </c>
      <c r="EW69" s="9" t="e">
        <f t="shared" si="487"/>
        <v>#VALUE!</v>
      </c>
      <c r="EX69" s="5" t="e">
        <f t="shared" si="488"/>
        <v>#VALUE!</v>
      </c>
      <c r="EY69" s="6">
        <f t="shared" si="208"/>
        <v>-0.20655224100676536</v>
      </c>
      <c r="EZ69" s="51" t="e">
        <f t="shared" si="209"/>
        <v>#VALUE!</v>
      </c>
      <c r="FA69" s="173" t="e">
        <f t="shared" si="489"/>
        <v>#VALUE!</v>
      </c>
      <c r="FB69" s="5" t="e">
        <f t="shared" si="490"/>
        <v>#VALUE!</v>
      </c>
      <c r="FC69" s="6" t="e">
        <f t="shared" si="491"/>
        <v>#VALUE!</v>
      </c>
      <c r="FD69" s="4" t="e">
        <f t="shared" si="492"/>
        <v>#VALUE!</v>
      </c>
      <c r="FE69" s="5" t="e">
        <f t="shared" si="493"/>
        <v>#VALUE!</v>
      </c>
      <c r="FF69" s="7" t="e">
        <f t="shared" si="210"/>
        <v>#VALUE!</v>
      </c>
      <c r="FG69" s="173" t="e">
        <f t="shared" si="494"/>
        <v>#VALUE!</v>
      </c>
      <c r="FH69" s="5" t="e">
        <f t="shared" si="495"/>
        <v>#VALUE!</v>
      </c>
      <c r="FI69" s="10" t="e">
        <f t="shared" si="496"/>
        <v>#VALUE!</v>
      </c>
      <c r="FJ69" s="279" t="e">
        <f t="shared" si="212"/>
        <v>#VALUE!</v>
      </c>
      <c r="FK69" s="4">
        <f t="shared" si="497"/>
        <v>0.97843557362510236</v>
      </c>
      <c r="FL69" s="5" t="e">
        <f t="shared" si="213"/>
        <v>#VALUE!</v>
      </c>
      <c r="FM69" s="8" t="e">
        <f t="shared" si="214"/>
        <v>#VALUE!</v>
      </c>
      <c r="FN69" s="9" t="e">
        <f t="shared" si="215"/>
        <v>#VALUE!</v>
      </c>
      <c r="FO69" s="10" t="e">
        <f t="shared" si="498"/>
        <v>#VALUE!</v>
      </c>
      <c r="FP69" s="277" t="e">
        <f t="shared" si="499"/>
        <v>#VALUE!</v>
      </c>
      <c r="FQ69" s="173" t="e">
        <f t="shared" si="243"/>
        <v>#VALUE!</v>
      </c>
      <c r="FR69" s="10" t="e">
        <f t="shared" si="216"/>
        <v>#VALUE!</v>
      </c>
      <c r="FS69" s="9" t="e">
        <f t="shared" si="217"/>
        <v>#VALUE!</v>
      </c>
      <c r="FT69" s="6" t="e">
        <f t="shared" si="218"/>
        <v>#VALUE!</v>
      </c>
      <c r="FU69" s="4" t="e">
        <f t="shared" si="219"/>
        <v>#VALUE!</v>
      </c>
      <c r="FV69" s="5" t="e">
        <f t="shared" si="220"/>
        <v>#VALUE!</v>
      </c>
      <c r="FW69" s="8" t="e">
        <f t="shared" si="244"/>
        <v>#VALUE!</v>
      </c>
      <c r="FX69" s="9" t="e">
        <f t="shared" si="245"/>
        <v>#VALUE!</v>
      </c>
      <c r="FY69" s="10" t="e">
        <f t="shared" si="500"/>
        <v>#VALUE!</v>
      </c>
      <c r="FZ69" s="277" t="e">
        <f t="shared" si="246"/>
        <v>#VALUE!</v>
      </c>
      <c r="GA69" s="177" t="e">
        <f t="shared" si="221"/>
        <v>#VALUE!</v>
      </c>
      <c r="GB69" s="4" t="e">
        <f t="shared" si="222"/>
        <v>#VALUE!</v>
      </c>
      <c r="GC69" s="5" t="e">
        <f t="shared" si="223"/>
        <v>#VALUE!</v>
      </c>
      <c r="GD69" s="10" t="e">
        <f t="shared" si="224"/>
        <v>#VALUE!</v>
      </c>
      <c r="GE69" s="311" t="e">
        <f t="shared" si="225"/>
        <v>#VALUE!</v>
      </c>
      <c r="GF69" s="341" t="e">
        <f t="shared" si="247"/>
        <v>#VALUE!</v>
      </c>
      <c r="GG69" s="285" t="e">
        <f t="shared" si="501"/>
        <v>#VALUE!</v>
      </c>
      <c r="GH69" s="286" t="e">
        <f t="shared" si="502"/>
        <v>#VALUE!</v>
      </c>
      <c r="GI69" s="281" t="e">
        <f t="shared" si="503"/>
        <v>#VALUE!</v>
      </c>
      <c r="GJ69" s="167">
        <f t="shared" si="226"/>
        <v>4.5797999999999996</v>
      </c>
      <c r="GK69" s="174">
        <f t="shared" si="504"/>
        <v>2.3980178937972032</v>
      </c>
      <c r="GL69" s="174">
        <f t="shared" si="227"/>
        <v>1.5100000000000001E-2</v>
      </c>
      <c r="GM69" s="177">
        <f t="shared" si="248"/>
        <v>0.43452084235605321</v>
      </c>
      <c r="GN69" s="280">
        <f t="shared" si="228"/>
        <v>2.270900718148584E-2</v>
      </c>
      <c r="GO69" s="4" t="e">
        <f t="shared" si="229"/>
        <v>#VALUE!</v>
      </c>
      <c r="GP69" s="8" t="e">
        <f t="shared" si="249"/>
        <v>#VALUE!</v>
      </c>
      <c r="GQ69" s="177" t="e">
        <f t="shared" si="230"/>
        <v>#VALUE!</v>
      </c>
      <c r="GR69" s="371" t="e">
        <f t="shared" si="250"/>
        <v>#VALUE!</v>
      </c>
      <c r="GS69" s="342" t="e">
        <f t="shared" si="505"/>
        <v>#VALUE!</v>
      </c>
      <c r="GT69" s="343" t="e">
        <f t="shared" si="506"/>
        <v>#VALUE!</v>
      </c>
      <c r="GU69" s="344">
        <f t="shared" si="507"/>
        <v>1068.1970707919641</v>
      </c>
      <c r="GV69" s="343">
        <f t="shared" si="252"/>
        <v>445.45</v>
      </c>
      <c r="GW69" s="345">
        <f t="shared" si="508"/>
        <v>29500</v>
      </c>
      <c r="GX69" s="346">
        <f t="shared" si="509"/>
        <v>170.00599249999999</v>
      </c>
      <c r="GY69" s="344" t="e">
        <f t="shared" si="510"/>
        <v>#VALUE!</v>
      </c>
      <c r="GZ69" s="345" t="e">
        <f t="shared" si="511"/>
        <v>#VALUE!</v>
      </c>
      <c r="HA69" s="342" t="e">
        <f t="shared" si="512"/>
        <v>#VALUE!</v>
      </c>
      <c r="HB69" s="5" t="e">
        <f t="shared" si="231"/>
        <v>#VALUE!</v>
      </c>
      <c r="HC69" s="343" t="e">
        <f t="shared" si="232"/>
        <v>#VALUE!</v>
      </c>
      <c r="HD69" s="363" t="e">
        <f t="shared" si="233"/>
        <v>#VALUE!</v>
      </c>
      <c r="HE69" s="344" t="e">
        <f t="shared" si="513"/>
        <v>#VALUE!</v>
      </c>
      <c r="HF69" s="5" t="e">
        <f t="shared" si="514"/>
        <v>#VALUE!</v>
      </c>
      <c r="HG69" s="343" t="e">
        <f t="shared" si="234"/>
        <v>#VALUE!</v>
      </c>
      <c r="HH69" s="349" t="e">
        <f t="shared" si="235"/>
        <v>#VALUE!</v>
      </c>
      <c r="HI69" s="317">
        <f t="shared" si="408"/>
        <v>5.1310000000000002</v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5.1310000000000002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257"/>
        <v>-4.0939244153469598</v>
      </c>
      <c r="C70" s="572">
        <f t="shared" si="258"/>
        <v>-2.1094122354273241</v>
      </c>
      <c r="D70" s="576">
        <f t="shared" si="259"/>
        <v>-2.2869068973112023</v>
      </c>
      <c r="E70" s="580">
        <f t="shared" si="260"/>
        <v>5.3813090170591084E-3</v>
      </c>
      <c r="F70" s="572">
        <f t="shared" si="261"/>
        <v>-0.99269267707850339</v>
      </c>
      <c r="G70" s="579">
        <f t="shared" si="262"/>
        <v>0.12054994976347903</v>
      </c>
      <c r="H70" s="580">
        <f t="shared" si="263"/>
        <v>0.3125</v>
      </c>
      <c r="I70" s="572">
        <f t="shared" si="264"/>
        <v>0.52</v>
      </c>
      <c r="J70" s="483">
        <f t="shared" si="265"/>
        <v>5.1369999999999996</v>
      </c>
      <c r="K70" s="806">
        <f t="shared" si="266"/>
        <v>1613</v>
      </c>
      <c r="L70" s="309"/>
      <c r="M70" s="164">
        <f t="shared" si="267"/>
        <v>5.1369999999999996</v>
      </c>
      <c r="N70" s="575">
        <f t="shared" si="268"/>
        <v>-4.0939244153469598</v>
      </c>
      <c r="O70" s="572">
        <f t="shared" si="269"/>
        <v>-2.1094122354273241</v>
      </c>
      <c r="P70" s="576">
        <f t="shared" si="270"/>
        <v>-2.2869068973112023</v>
      </c>
      <c r="Q70" s="528">
        <f t="shared" si="140"/>
        <v>207.25998306975313</v>
      </c>
      <c r="R70" s="572">
        <f t="shared" si="101"/>
        <v>4.6054138899282924</v>
      </c>
      <c r="S70" s="577">
        <f t="shared" si="102"/>
        <v>-2.2869068973112023</v>
      </c>
      <c r="T70" s="578">
        <f t="shared" si="103"/>
        <v>-2.1158403509063697</v>
      </c>
      <c r="U70" s="572">
        <f t="shared" si="104"/>
        <v>4.090605909522556</v>
      </c>
      <c r="V70" s="579">
        <f t="shared" si="141"/>
        <v>-2.2869068973112023</v>
      </c>
      <c r="W70" s="528">
        <f t="shared" si="253"/>
        <v>117.34998305675875</v>
      </c>
      <c r="X70" s="572">
        <f t="shared" si="105"/>
        <v>4.6054138899282924</v>
      </c>
      <c r="Y70" s="573">
        <f t="shared" si="255"/>
        <v>-2.2869068973112023</v>
      </c>
      <c r="Z70" s="575">
        <f t="shared" si="271"/>
        <v>-5.3813090170591084E-3</v>
      </c>
      <c r="AA70" s="572">
        <f t="shared" si="272"/>
        <v>0.99269267707850339</v>
      </c>
      <c r="AB70" s="572">
        <f t="shared" si="273"/>
        <v>-0.12054994976347903</v>
      </c>
      <c r="AC70" s="579">
        <f t="shared" si="106"/>
        <v>1</v>
      </c>
      <c r="AD70" s="580">
        <f t="shared" si="142"/>
        <v>-5.3813090170591084E-3</v>
      </c>
      <c r="AE70" s="572">
        <f t="shared" si="107"/>
        <v>0.99269267707850339</v>
      </c>
      <c r="AF70" s="576">
        <f t="shared" si="108"/>
        <v>-0.12054994976347903</v>
      </c>
      <c r="AG70" s="545">
        <f t="shared" si="109"/>
        <v>83.076056460354536</v>
      </c>
      <c r="AH70" s="546">
        <f t="shared" si="110"/>
        <v>90.308327783063064</v>
      </c>
      <c r="AI70" s="528">
        <f t="shared" si="111"/>
        <v>-83.076157205427009</v>
      </c>
      <c r="AJ70" s="529">
        <f t="shared" si="112"/>
        <v>-179.68940712276131</v>
      </c>
      <c r="AK70" s="578">
        <f t="shared" si="238"/>
        <v>0.88490639150230099</v>
      </c>
      <c r="AL70" s="572">
        <f t="shared" si="113"/>
        <v>-0.44989819725177776</v>
      </c>
      <c r="AM70" s="577">
        <f t="shared" si="114"/>
        <v>-0.12054994976347903</v>
      </c>
      <c r="AN70" s="524">
        <f t="shared" si="115"/>
        <v>-74.999989171341326</v>
      </c>
      <c r="AO70" s="525">
        <f t="shared" si="515"/>
        <v>27.759995991952422</v>
      </c>
      <c r="AP70" s="528">
        <f t="shared" si="117"/>
        <v>-26.94939019251445</v>
      </c>
      <c r="AQ70" s="529">
        <f t="shared" si="274"/>
        <v>0.33000311916554215</v>
      </c>
      <c r="AS70" s="932">
        <f t="shared" si="461"/>
        <v>-242.65001694324127</v>
      </c>
      <c r="AT70" s="928">
        <f t="shared" si="275"/>
        <v>-2.1745272598434955</v>
      </c>
      <c r="AU70" s="418"/>
      <c r="AV70" s="164">
        <f t="shared" si="276"/>
        <v>5.1369999999999996</v>
      </c>
      <c r="AW70" s="797">
        <f>IFERROR(INDEX(MassProp!C$9:C$150,MATCH($M70,MassProp!$B$9:$B$150,0)),"")</f>
        <v>4.8535000000000004</v>
      </c>
      <c r="AX70" s="744">
        <f>IFERROR(INDEX(MassProp!D$9:D$150,MATCH($M70,MassProp!$B$9:$B$150,0)),"")</f>
        <v>-1.8050999999999999</v>
      </c>
      <c r="AY70" s="731">
        <f>IFERROR(INDEX(MassProp!E$9:E$150,MATCH($M70,MassProp!$B$9:$B$150,0)),"")</f>
        <v>6.6E-3</v>
      </c>
      <c r="AZ70" s="297">
        <f t="shared" si="144"/>
        <v>0.20127290915486912</v>
      </c>
      <c r="BA70" s="296">
        <f t="shared" si="278"/>
        <v>1.0518961333714712E-2</v>
      </c>
      <c r="BB70" s="177">
        <f t="shared" si="145"/>
        <v>0.20276059317682904</v>
      </c>
      <c r="BC70" s="9"/>
      <c r="BD70" s="5">
        <f t="shared" si="146"/>
        <v>4.8535000000000004</v>
      </c>
      <c r="BE70" s="6">
        <f t="shared" si="280"/>
        <v>-2.0841463041343733</v>
      </c>
      <c r="BF70" s="4">
        <f t="shared" si="281"/>
        <v>-4.0939244153469598</v>
      </c>
      <c r="BG70" s="5">
        <f t="shared" si="282"/>
        <v>-2.1094122354273241</v>
      </c>
      <c r="BH70" s="10">
        <f t="shared" si="283"/>
        <v>-2.2869068973112023</v>
      </c>
      <c r="BI70" s="9">
        <f t="shared" si="147"/>
        <v>-4.0939244153469598</v>
      </c>
      <c r="BJ70" s="5">
        <f t="shared" si="285"/>
        <v>-1.9888605401538737</v>
      </c>
      <c r="BK70" s="8">
        <f t="shared" si="286"/>
        <v>-1.2941998464816553</v>
      </c>
      <c r="BL70" s="173">
        <f t="shared" si="287"/>
        <v>-3.093938894695154</v>
      </c>
      <c r="BM70" s="5">
        <f t="shared" si="288"/>
        <v>-2.104070172023397</v>
      </c>
      <c r="BN70" s="6">
        <f t="shared" si="289"/>
        <v>-2.287555623235999</v>
      </c>
      <c r="BO70" s="4">
        <f t="shared" si="148"/>
        <v>-5.3813090170589661E-3</v>
      </c>
      <c r="BP70" s="5">
        <f t="shared" si="239"/>
        <v>0.99269267707850339</v>
      </c>
      <c r="BQ70" s="5">
        <f t="shared" si="149"/>
        <v>-0.1205499497634781</v>
      </c>
      <c r="BR70" s="6">
        <f t="shared" si="150"/>
        <v>1.7962808950924192</v>
      </c>
      <c r="BS70" s="4">
        <f t="shared" si="483"/>
        <v>0</v>
      </c>
      <c r="BT70" s="5">
        <f t="shared" si="483"/>
        <v>0</v>
      </c>
      <c r="BU70" s="10">
        <f t="shared" si="119"/>
        <v>-2.0841463041343733</v>
      </c>
      <c r="BV70" s="9">
        <f t="shared" si="120"/>
        <v>0</v>
      </c>
      <c r="BW70" s="5">
        <f t="shared" si="121"/>
        <v>1</v>
      </c>
      <c r="BX70" s="8">
        <f t="shared" si="122"/>
        <v>-2.0841463041343733</v>
      </c>
      <c r="BY70" s="173">
        <f t="shared" si="123"/>
        <v>1</v>
      </c>
      <c r="BZ70" s="5">
        <f t="shared" si="124"/>
        <v>0</v>
      </c>
      <c r="CA70" s="6">
        <f t="shared" si="125"/>
        <v>-2.0841463041343733</v>
      </c>
      <c r="CB70" s="4">
        <f t="shared" si="151"/>
        <v>0</v>
      </c>
      <c r="CC70" s="5">
        <f t="shared" si="152"/>
        <v>0</v>
      </c>
      <c r="CD70" s="5">
        <f t="shared" si="153"/>
        <v>-1</v>
      </c>
      <c r="CE70" s="6">
        <f t="shared" si="154"/>
        <v>-2.0841463041343733</v>
      </c>
      <c r="CF70" s="4">
        <f t="shared" si="155"/>
        <v>-0.99269267707850339</v>
      </c>
      <c r="CG70" s="5">
        <f t="shared" si="156"/>
        <v>-5.3813090170589661E-3</v>
      </c>
      <c r="CH70" s="5">
        <f t="shared" si="157"/>
        <v>0</v>
      </c>
      <c r="CI70" s="4">
        <f t="shared" si="126"/>
        <v>0</v>
      </c>
      <c r="CJ70" s="5">
        <f t="shared" si="127"/>
        <v>-2.0625966874072503</v>
      </c>
      <c r="CK70" s="8">
        <f t="shared" si="128"/>
        <v>-2.0841463041343733</v>
      </c>
      <c r="CL70" s="173">
        <f t="shared" si="129"/>
        <v>-0.99269267707850339</v>
      </c>
      <c r="CM70" s="5">
        <f t="shared" si="130"/>
        <v>-2.0679779964243092</v>
      </c>
      <c r="CN70" s="6">
        <f t="shared" si="131"/>
        <v>-2.0841463041343733</v>
      </c>
      <c r="CO70" s="167">
        <f t="shared" si="305"/>
        <v>0.3125</v>
      </c>
      <c r="CP70" s="4">
        <f t="shared" si="240"/>
        <v>0.9854677096120229</v>
      </c>
      <c r="CQ70" s="5">
        <f t="shared" si="241"/>
        <v>-8.1285214331170383</v>
      </c>
      <c r="CR70" s="5">
        <f t="shared" si="158"/>
        <v>16.705864422255786</v>
      </c>
      <c r="CS70" s="8">
        <f t="shared" si="159"/>
        <v>0.22050089148551422</v>
      </c>
      <c r="CT70" s="9">
        <f t="shared" si="160"/>
        <v>4.3624446411464683</v>
      </c>
      <c r="CU70" s="6">
        <f t="shared" si="161"/>
        <v>3.8859447823052902</v>
      </c>
      <c r="CV70" s="4">
        <f t="shared" si="242"/>
        <v>-4.3305668494264591</v>
      </c>
      <c r="CW70" s="5">
        <f t="shared" si="162"/>
        <v>-2.0860723500910723</v>
      </c>
      <c r="CX70" s="8">
        <f t="shared" si="163"/>
        <v>-2.0841463041343733</v>
      </c>
      <c r="CY70" s="9">
        <f t="shared" si="164"/>
        <v>-3.8575489289258806</v>
      </c>
      <c r="CZ70" s="5">
        <f t="shared" si="165"/>
        <v>-2.0835081571040628</v>
      </c>
      <c r="DA70" s="6">
        <f t="shared" si="166"/>
        <v>-2.0841463041343733</v>
      </c>
      <c r="DB70" s="4">
        <f t="shared" si="484"/>
        <v>0</v>
      </c>
      <c r="DC70" s="5">
        <f t="shared" si="484"/>
        <v>0</v>
      </c>
      <c r="DD70" s="10">
        <f t="shared" si="168"/>
        <v>-10</v>
      </c>
      <c r="DE70" s="9">
        <f t="shared" si="485"/>
        <v>0</v>
      </c>
      <c r="DF70" s="5">
        <f t="shared" si="485"/>
        <v>0</v>
      </c>
      <c r="DG70" s="10">
        <f t="shared" si="170"/>
        <v>10</v>
      </c>
      <c r="DH70" s="70">
        <f t="shared" si="171"/>
        <v>4.8535000000000004</v>
      </c>
      <c r="DI70" s="4">
        <f t="shared" si="172"/>
        <v>0</v>
      </c>
      <c r="DJ70" s="5">
        <f t="shared" si="173"/>
        <v>0</v>
      </c>
      <c r="DK70" s="10">
        <f t="shared" si="174"/>
        <v>20</v>
      </c>
      <c r="DL70" s="9">
        <f t="shared" si="175"/>
        <v>-4.3305668494264591</v>
      </c>
      <c r="DM70" s="173">
        <f t="shared" si="176"/>
        <v>-2.0860723500910723</v>
      </c>
      <c r="DN70" s="178">
        <f t="shared" si="177"/>
        <v>7.9158536958656267</v>
      </c>
      <c r="DO70" s="9">
        <f t="shared" si="178"/>
        <v>0.47301792050057845</v>
      </c>
      <c r="DP70" s="173">
        <f t="shared" si="179"/>
        <v>2.5641929870094948E-3</v>
      </c>
      <c r="DQ70" s="11">
        <f t="shared" si="180"/>
        <v>0</v>
      </c>
      <c r="DR70" s="173">
        <f t="shared" si="181"/>
        <v>158.31707391731254</v>
      </c>
      <c r="DS70" s="5">
        <f t="shared" si="182"/>
        <v>0</v>
      </c>
      <c r="DT70" s="5">
        <f t="shared" si="183"/>
        <v>400</v>
      </c>
      <c r="DU70" s="5">
        <f t="shared" si="184"/>
        <v>0.22375252820036617</v>
      </c>
      <c r="DV70" s="5">
        <f t="shared" si="185"/>
        <v>-2.0537848177949436</v>
      </c>
      <c r="DW70" s="5">
        <f t="shared" si="186"/>
        <v>85.766246821515409</v>
      </c>
      <c r="DX70" s="167">
        <f t="shared" si="187"/>
        <v>62.209784571515407</v>
      </c>
      <c r="DY70" s="9">
        <f t="shared" si="188"/>
        <v>89.501011280146471</v>
      </c>
      <c r="DZ70" s="5">
        <f t="shared" si="189"/>
        <v>-821.51392711797746</v>
      </c>
      <c r="EA70" s="10">
        <f t="shared" si="190"/>
        <v>-180.38206513363912</v>
      </c>
      <c r="EB70" s="6">
        <f t="shared" si="191"/>
        <v>691029.50969506346</v>
      </c>
      <c r="EC70" s="173">
        <f t="shared" si="192"/>
        <v>18.466783233000317</v>
      </c>
      <c r="ED70" s="5">
        <f t="shared" si="193"/>
        <v>-0.10913754011395183</v>
      </c>
      <c r="EE70" s="4">
        <f t="shared" si="194"/>
        <v>4.4045525537823007</v>
      </c>
      <c r="EF70" s="5">
        <f t="shared" si="195"/>
        <v>-2.0387199540323881</v>
      </c>
      <c r="EG70" s="10">
        <f t="shared" si="196"/>
        <v>-2.0841463041343733</v>
      </c>
      <c r="EH70" s="9">
        <f t="shared" si="197"/>
        <v>-4.3821908616997094</v>
      </c>
      <c r="EI70" s="5">
        <f t="shared" si="198"/>
        <v>-2.0863521998060519</v>
      </c>
      <c r="EJ70" s="6">
        <f t="shared" si="199"/>
        <v>-2.0841463041343733</v>
      </c>
      <c r="EK70" s="236" t="b">
        <f t="shared" si="200"/>
        <v>0</v>
      </c>
      <c r="EL70" s="238" t="b">
        <f t="shared" si="201"/>
        <v>0</v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e">
        <f t="shared" si="205"/>
        <v>#VALUE!</v>
      </c>
      <c r="EQ70" s="5" t="e">
        <f t="shared" si="206"/>
        <v>#VALUE!</v>
      </c>
      <c r="ER70" s="7" t="str">
        <f t="shared" si="207"/>
        <v/>
      </c>
      <c r="ES70" s="21">
        <f t="shared" si="352"/>
        <v>-5.3813090170591084E-3</v>
      </c>
      <c r="ET70" s="5">
        <f t="shared" si="353"/>
        <v>0.99269267707850339</v>
      </c>
      <c r="EU70" s="10">
        <f t="shared" si="354"/>
        <v>-0.12054994976347903</v>
      </c>
      <c r="EV70" s="174" t="e">
        <f t="shared" si="486"/>
        <v>#VALUE!</v>
      </c>
      <c r="EW70" s="9" t="e">
        <f t="shared" si="487"/>
        <v>#VALUE!</v>
      </c>
      <c r="EX70" s="5" t="e">
        <f t="shared" si="488"/>
        <v>#VALUE!</v>
      </c>
      <c r="EY70" s="6">
        <f t="shared" si="208"/>
        <v>-0.12054994976347903</v>
      </c>
      <c r="EZ70" s="51" t="e">
        <f t="shared" si="209"/>
        <v>#VALUE!</v>
      </c>
      <c r="FA70" s="173" t="e">
        <f t="shared" si="489"/>
        <v>#VALUE!</v>
      </c>
      <c r="FB70" s="5" t="e">
        <f t="shared" si="490"/>
        <v>#VALUE!</v>
      </c>
      <c r="FC70" s="6" t="e">
        <f t="shared" si="491"/>
        <v>#VALUE!</v>
      </c>
      <c r="FD70" s="4" t="e">
        <f t="shared" si="492"/>
        <v>#VALUE!</v>
      </c>
      <c r="FE70" s="5" t="e">
        <f t="shared" si="493"/>
        <v>#VALUE!</v>
      </c>
      <c r="FF70" s="7" t="e">
        <f t="shared" si="210"/>
        <v>#VALUE!</v>
      </c>
      <c r="FG70" s="173" t="e">
        <f t="shared" si="494"/>
        <v>#VALUE!</v>
      </c>
      <c r="FH70" s="5" t="e">
        <f t="shared" si="495"/>
        <v>#VALUE!</v>
      </c>
      <c r="FI70" s="10" t="e">
        <f t="shared" si="496"/>
        <v>#VALUE!</v>
      </c>
      <c r="FJ70" s="279" t="e">
        <f t="shared" si="212"/>
        <v>#VALUE!</v>
      </c>
      <c r="FK70" s="4">
        <f t="shared" si="497"/>
        <v>0.99270726279806321</v>
      </c>
      <c r="FL70" s="5" t="e">
        <f t="shared" si="213"/>
        <v>#VALUE!</v>
      </c>
      <c r="FM70" s="8" t="e">
        <f t="shared" si="214"/>
        <v>#VALUE!</v>
      </c>
      <c r="FN70" s="9" t="e">
        <f t="shared" si="215"/>
        <v>#VALUE!</v>
      </c>
      <c r="FO70" s="10" t="e">
        <f t="shared" si="498"/>
        <v>#VALUE!</v>
      </c>
      <c r="FP70" s="277" t="e">
        <f t="shared" si="499"/>
        <v>#VALUE!</v>
      </c>
      <c r="FQ70" s="173" t="e">
        <f t="shared" si="243"/>
        <v>#VALUE!</v>
      </c>
      <c r="FR70" s="10" t="e">
        <f t="shared" si="216"/>
        <v>#VALUE!</v>
      </c>
      <c r="FS70" s="9" t="e">
        <f t="shared" si="217"/>
        <v>#VALUE!</v>
      </c>
      <c r="FT70" s="6" t="e">
        <f t="shared" si="218"/>
        <v>#VALUE!</v>
      </c>
      <c r="FU70" s="4" t="e">
        <f t="shared" si="219"/>
        <v>#VALUE!</v>
      </c>
      <c r="FV70" s="5" t="e">
        <f t="shared" si="220"/>
        <v>#VALUE!</v>
      </c>
      <c r="FW70" s="8" t="e">
        <f t="shared" si="244"/>
        <v>#VALUE!</v>
      </c>
      <c r="FX70" s="9" t="e">
        <f t="shared" si="245"/>
        <v>#VALUE!</v>
      </c>
      <c r="FY70" s="10" t="e">
        <f t="shared" si="500"/>
        <v>#VALUE!</v>
      </c>
      <c r="FZ70" s="277" t="e">
        <f t="shared" si="246"/>
        <v>#VALUE!</v>
      </c>
      <c r="GA70" s="177" t="e">
        <f t="shared" si="221"/>
        <v>#VALUE!</v>
      </c>
      <c r="GB70" s="4" t="e">
        <f t="shared" si="222"/>
        <v>#VALUE!</v>
      </c>
      <c r="GC70" s="5" t="e">
        <f t="shared" si="223"/>
        <v>#VALUE!</v>
      </c>
      <c r="GD70" s="10" t="e">
        <f t="shared" si="224"/>
        <v>#VALUE!</v>
      </c>
      <c r="GE70" s="311" t="e">
        <f t="shared" si="225"/>
        <v>#VALUE!</v>
      </c>
      <c r="GF70" s="341" t="e">
        <f t="shared" si="247"/>
        <v>#VALUE!</v>
      </c>
      <c r="GG70" s="285" t="e">
        <f t="shared" si="501"/>
        <v>#VALUE!</v>
      </c>
      <c r="GH70" s="286" t="e">
        <f t="shared" si="502"/>
        <v>#VALUE!</v>
      </c>
      <c r="GI70" s="281" t="e">
        <f t="shared" si="503"/>
        <v>#VALUE!</v>
      </c>
      <c r="GJ70" s="167">
        <f t="shared" si="226"/>
        <v>4.8535000000000004</v>
      </c>
      <c r="GK70" s="174">
        <f t="shared" si="504"/>
        <v>2.541324610541277</v>
      </c>
      <c r="GL70" s="174">
        <f t="shared" si="227"/>
        <v>6.6E-3</v>
      </c>
      <c r="GM70" s="177">
        <f t="shared" si="248"/>
        <v>0.20127290915486912</v>
      </c>
      <c r="GN70" s="280">
        <f t="shared" si="228"/>
        <v>1.0518961333714712E-2</v>
      </c>
      <c r="GO70" s="4" t="e">
        <f t="shared" si="229"/>
        <v>#VALUE!</v>
      </c>
      <c r="GP70" s="8" t="e">
        <f t="shared" si="249"/>
        <v>#VALUE!</v>
      </c>
      <c r="GQ70" s="177" t="e">
        <f t="shared" si="230"/>
        <v>#VALUE!</v>
      </c>
      <c r="GR70" s="371" t="e">
        <f t="shared" si="250"/>
        <v>#VALUE!</v>
      </c>
      <c r="GS70" s="342" t="e">
        <f t="shared" si="505"/>
        <v>#VALUE!</v>
      </c>
      <c r="GT70" s="343" t="e">
        <f t="shared" si="506"/>
        <v>#VALUE!</v>
      </c>
      <c r="GU70" s="344">
        <f t="shared" si="507"/>
        <v>494.79590167238661</v>
      </c>
      <c r="GV70" s="343">
        <f t="shared" si="252"/>
        <v>194.7</v>
      </c>
      <c r="GW70" s="345">
        <f t="shared" si="508"/>
        <v>29500</v>
      </c>
      <c r="GX70" s="346">
        <f t="shared" si="509"/>
        <v>78.748037499999995</v>
      </c>
      <c r="GY70" s="344" t="e">
        <f t="shared" si="510"/>
        <v>#VALUE!</v>
      </c>
      <c r="GZ70" s="345" t="e">
        <f t="shared" si="511"/>
        <v>#VALUE!</v>
      </c>
      <c r="HA70" s="342" t="e">
        <f t="shared" si="512"/>
        <v>#VALUE!</v>
      </c>
      <c r="HB70" s="5" t="e">
        <f t="shared" si="231"/>
        <v>#VALUE!</v>
      </c>
      <c r="HC70" s="343" t="e">
        <f t="shared" si="232"/>
        <v>#VALUE!</v>
      </c>
      <c r="HD70" s="363" t="e">
        <f t="shared" si="233"/>
        <v>#VALUE!</v>
      </c>
      <c r="HE70" s="344" t="e">
        <f t="shared" si="513"/>
        <v>#VALUE!</v>
      </c>
      <c r="HF70" s="5" t="e">
        <f t="shared" si="514"/>
        <v>#VALUE!</v>
      </c>
      <c r="HG70" s="343" t="e">
        <f t="shared" si="234"/>
        <v>#VALUE!</v>
      </c>
      <c r="HH70" s="349" t="e">
        <f t="shared" si="235"/>
        <v>#VALUE!</v>
      </c>
      <c r="HI70" s="317">
        <f t="shared" si="408"/>
        <v>5.1369999999999996</v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5.1369999999999996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</v>
      </c>
      <c r="B71" s="578">
        <f t="shared" si="257"/>
        <v>-4.176073525347916</v>
      </c>
      <c r="C71" s="572">
        <f t="shared" si="258"/>
        <v>-2.1379230404408549</v>
      </c>
      <c r="D71" s="576">
        <f t="shared" si="259"/>
        <v>-3.091109322785718</v>
      </c>
      <c r="E71" s="580">
        <f t="shared" si="260"/>
        <v>-4.8725227845372636E-2</v>
      </c>
      <c r="F71" s="572">
        <f t="shared" si="261"/>
        <v>-0.9978611188419968</v>
      </c>
      <c r="G71" s="579">
        <f t="shared" si="262"/>
        <v>4.3577972357774865E-2</v>
      </c>
      <c r="H71" s="580">
        <f t="shared" si="263"/>
        <v>0.3125</v>
      </c>
      <c r="I71" s="572">
        <f t="shared" si="264"/>
        <v>0.52</v>
      </c>
      <c r="J71" s="483">
        <f t="shared" si="265"/>
        <v>5.1429999999999998</v>
      </c>
      <c r="K71" s="806">
        <f t="shared" si="266"/>
        <v>1613</v>
      </c>
      <c r="L71" s="309"/>
      <c r="M71" s="164">
        <f t="shared" si="267"/>
        <v>5.1429999999999998</v>
      </c>
      <c r="N71" s="575">
        <f t="shared" si="268"/>
        <v>-4.176073525347916</v>
      </c>
      <c r="O71" s="572">
        <f t="shared" si="269"/>
        <v>-2.1379230404408549</v>
      </c>
      <c r="P71" s="576">
        <f t="shared" si="270"/>
        <v>-3.091109322785718</v>
      </c>
      <c r="Q71" s="528">
        <f t="shared" si="140"/>
        <v>207.10998309141044</v>
      </c>
      <c r="R71" s="572">
        <f t="shared" si="101"/>
        <v>4.6915141496066752</v>
      </c>
      <c r="S71" s="577">
        <f t="shared" si="102"/>
        <v>-3.091109322785718</v>
      </c>
      <c r="T71" s="578">
        <f t="shared" si="103"/>
        <v>-2.1444801601946657</v>
      </c>
      <c r="U71" s="572">
        <f t="shared" si="104"/>
        <v>4.1727101335332542</v>
      </c>
      <c r="V71" s="579">
        <f t="shared" si="141"/>
        <v>-3.091109322785718</v>
      </c>
      <c r="W71" s="528">
        <f t="shared" si="253"/>
        <v>117.19998307841605</v>
      </c>
      <c r="X71" s="572">
        <f t="shared" si="105"/>
        <v>4.6915141496066752</v>
      </c>
      <c r="Y71" s="573">
        <f t="shared" si="255"/>
        <v>-3.091109322785718</v>
      </c>
      <c r="Z71" s="575">
        <f t="shared" si="271"/>
        <v>4.8725227845372636E-2</v>
      </c>
      <c r="AA71" s="572">
        <f t="shared" si="272"/>
        <v>0.9978611188419968</v>
      </c>
      <c r="AB71" s="572">
        <f t="shared" si="273"/>
        <v>-4.3577972357774865E-2</v>
      </c>
      <c r="AC71" s="579">
        <f t="shared" si="106"/>
        <v>1</v>
      </c>
      <c r="AD71" s="580">
        <f t="shared" si="142"/>
        <v>4.8725227845372636E-2</v>
      </c>
      <c r="AE71" s="572">
        <f t="shared" si="107"/>
        <v>0.9978611188419968</v>
      </c>
      <c r="AF71" s="576">
        <f t="shared" si="108"/>
        <v>-4.3577972357774865E-2</v>
      </c>
      <c r="AG71" s="545">
        <f t="shared" si="109"/>
        <v>87.499403122462127</v>
      </c>
      <c r="AH71" s="546">
        <f t="shared" si="110"/>
        <v>87.207144235617619</v>
      </c>
      <c r="AI71" s="528">
        <f t="shared" si="111"/>
        <v>-87.502375163624507</v>
      </c>
      <c r="AJ71" s="529">
        <f t="shared" si="112"/>
        <v>177.20448647235816</v>
      </c>
      <c r="AK71" s="578">
        <f t="shared" si="238"/>
        <v>0.86602544158358574</v>
      </c>
      <c r="AL71" s="572">
        <f t="shared" si="113"/>
        <v>-0.49809727449077695</v>
      </c>
      <c r="AM71" s="577">
        <f t="shared" si="114"/>
        <v>-4.3577972357774865E-2</v>
      </c>
      <c r="AN71" s="524">
        <f t="shared" si="115"/>
        <v>-84.999987727520178</v>
      </c>
      <c r="AO71" s="525">
        <f t="shared" si="515"/>
        <v>29.99999566853651</v>
      </c>
      <c r="AP71" s="528">
        <f t="shared" si="117"/>
        <v>-29.905496619052304</v>
      </c>
      <c r="AQ71" s="529">
        <f t="shared" si="274"/>
        <v>0.32394692021455668</v>
      </c>
      <c r="AS71" s="932">
        <f t="shared" si="461"/>
        <v>-242.80001692158396</v>
      </c>
      <c r="AT71" s="928">
        <f t="shared" si="275"/>
        <v>-2.9786602408835932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5.1429999999999998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</v>
      </c>
      <c r="B72" s="578">
        <f t="shared" si="257"/>
        <v>-2.657138391079406</v>
      </c>
      <c r="C72" s="572">
        <f t="shared" si="258"/>
        <v>-0.55605388184573057</v>
      </c>
      <c r="D72" s="576">
        <f t="shared" si="259"/>
        <v>-0.17023599141708146</v>
      </c>
      <c r="E72" s="580">
        <f t="shared" si="260"/>
        <v>0.10044030411342475</v>
      </c>
      <c r="F72" s="572">
        <f t="shared" si="261"/>
        <v>-0.93278465131658861</v>
      </c>
      <c r="G72" s="579">
        <f t="shared" si="262"/>
        <v>0.34615681356546069</v>
      </c>
      <c r="H72" s="580">
        <f t="shared" si="263"/>
        <v>0.26450000000000001</v>
      </c>
      <c r="I72" s="572">
        <f t="shared" si="264"/>
        <v>0.39400000000000002</v>
      </c>
      <c r="J72" s="483">
        <f t="shared" si="265"/>
        <v>5.2130000000000001</v>
      </c>
      <c r="K72" s="806">
        <f t="shared" si="266"/>
        <v>1310</v>
      </c>
      <c r="L72" s="309"/>
      <c r="M72" s="164">
        <f t="shared" si="267"/>
        <v>5.2130000000000001</v>
      </c>
      <c r="N72" s="575">
        <f t="shared" si="268"/>
        <v>-2.657138391079406</v>
      </c>
      <c r="O72" s="572">
        <f t="shared" si="269"/>
        <v>-0.55605388184573057</v>
      </c>
      <c r="P72" s="576">
        <f t="shared" si="270"/>
        <v>-0.17023599141708146</v>
      </c>
      <c r="Q72" s="528">
        <f t="shared" si="140"/>
        <v>191.81960095582235</v>
      </c>
      <c r="R72" s="572">
        <f t="shared" si="101"/>
        <v>2.7146971007579759</v>
      </c>
      <c r="S72" s="577">
        <f t="shared" si="102"/>
        <v>-0.17023599141708146</v>
      </c>
      <c r="T72" s="578">
        <f t="shared" si="103"/>
        <v>-0.56022701674754249</v>
      </c>
      <c r="U72" s="572">
        <f t="shared" si="104"/>
        <v>2.6562616660581293</v>
      </c>
      <c r="V72" s="579">
        <f t="shared" si="141"/>
        <v>-0.17023599141708146</v>
      </c>
      <c r="W72" s="528">
        <f t="shared" si="253"/>
        <v>101.90960094282796</v>
      </c>
      <c r="X72" s="572">
        <f t="shared" si="105"/>
        <v>2.7146971007579759</v>
      </c>
      <c r="Y72" s="573">
        <f t="shared" si="255"/>
        <v>-0.17023599141708146</v>
      </c>
      <c r="Z72" s="575">
        <f t="shared" si="271"/>
        <v>-0.10044030411342475</v>
      </c>
      <c r="AA72" s="572">
        <f t="shared" si="272"/>
        <v>0.93278465131658861</v>
      </c>
      <c r="AB72" s="572">
        <f t="shared" si="273"/>
        <v>-0.34615681356546069</v>
      </c>
      <c r="AC72" s="579">
        <f t="shared" si="106"/>
        <v>1</v>
      </c>
      <c r="AD72" s="580">
        <f t="shared" si="142"/>
        <v>-0.10044030411342475</v>
      </c>
      <c r="AE72" s="572">
        <f t="shared" si="107"/>
        <v>0.93278465131658861</v>
      </c>
      <c r="AF72" s="576">
        <f t="shared" si="108"/>
        <v>-0.34615681356546069</v>
      </c>
      <c r="AG72" s="545">
        <f t="shared" si="109"/>
        <v>69.640086810813585</v>
      </c>
      <c r="AH72" s="546">
        <f t="shared" si="110"/>
        <v>95.764525701171252</v>
      </c>
      <c r="AI72" s="528">
        <f t="shared" si="111"/>
        <v>-69.747572033882804</v>
      </c>
      <c r="AJ72" s="529">
        <f t="shared" si="112"/>
        <v>-173.85418966660237</v>
      </c>
      <c r="AK72" s="578">
        <f t="shared" si="238"/>
        <v>0.93358044546160568</v>
      </c>
      <c r="AL72" s="572">
        <f t="shared" si="113"/>
        <v>-9.2752424625542798E-2</v>
      </c>
      <c r="AM72" s="577">
        <f t="shared" si="114"/>
        <v>-0.34615681356546069</v>
      </c>
      <c r="AN72" s="524">
        <f t="shared" si="115"/>
        <v>-14.999997834268259</v>
      </c>
      <c r="AO72" s="525">
        <f t="shared" si="515"/>
        <v>20.999996967975559</v>
      </c>
      <c r="AP72" s="528">
        <f t="shared" si="117"/>
        <v>-5.673790622424697</v>
      </c>
      <c r="AQ72" s="529">
        <f t="shared" si="274"/>
        <v>0.55983018812187801</v>
      </c>
      <c r="AS72" s="932">
        <f t="shared" si="461"/>
        <v>-258.09039905717202</v>
      </c>
      <c r="AT72" s="928">
        <f t="shared" si="275"/>
        <v>-5.0708028896628857E-2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5.2130000000000001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5.1130000000000004</v>
      </c>
      <c r="IK72" s="677" cm="1">
        <f t="array" ref="IK72">IFERROR(ROUND(VALUE(IF($IJ72&lt;1,$IJ72+LARGE((IF($M$9:$M$150="",0,$M$9:$M$150)-MOD(IF($M$9:$M$150="",0,$M$9:$M$150),1)),1),$IJ72)),4),"")</f>
        <v>5.1130000000000004</v>
      </c>
      <c r="IL72" s="482">
        <f t="shared" si="426"/>
        <v>1613</v>
      </c>
      <c r="IM72" s="482">
        <f t="shared" si="237"/>
        <v>1310</v>
      </c>
      <c r="IN72" s="670">
        <f t="shared" si="427"/>
        <v>17.920381755863133</v>
      </c>
      <c r="IO72" s="702"/>
      <c r="IP72" s="5">
        <f t="shared" si="428"/>
        <v>0</v>
      </c>
      <c r="IQ72" s="714"/>
      <c r="IR72" s="9">
        <f t="shared" si="429"/>
        <v>-2.7056081601142119</v>
      </c>
      <c r="IS72" s="5">
        <f t="shared" si="430"/>
        <v>-0.19420058570896676</v>
      </c>
      <c r="IT72" s="5">
        <f t="shared" si="431"/>
        <v>0.3125</v>
      </c>
      <c r="IU72" s="5">
        <f t="shared" si="432"/>
        <v>0.30039428345367697</v>
      </c>
      <c r="IV72" s="670">
        <f t="shared" si="433"/>
        <v>14.999997834268246</v>
      </c>
      <c r="IW72" s="9">
        <f t="shared" si="434"/>
        <v>-2.7146971007579759</v>
      </c>
      <c r="IX72" s="5">
        <f t="shared" si="435"/>
        <v>-0.17023599141708146</v>
      </c>
      <c r="IY72" s="5">
        <f t="shared" si="436"/>
        <v>0.26450000000000001</v>
      </c>
      <c r="IZ72" s="5">
        <f t="shared" si="437"/>
        <v>0.24693202782459472</v>
      </c>
      <c r="JA72" s="705">
        <f t="shared" si="438"/>
        <v>14.999997834268259</v>
      </c>
    </row>
    <row r="73" spans="1:261" ht="15" customHeight="1" x14ac:dyDescent="0.25">
      <c r="A73" s="75">
        <f t="shared" ref="A73:A104" si="516">IF($K73="","",IF(AND($A$8="Y",ISNUMBER($K73)),$A$5,0))</f>
        <v>0</v>
      </c>
      <c r="B73" s="578">
        <f t="shared" ref="B73:B104" si="517">IFERROR(Q228+($A73*-E73),"")</f>
        <v>-3.3036640188917556</v>
      </c>
      <c r="C73" s="572">
        <f t="shared" ref="C73:C104" si="518">IFERROR(R228+($A73*-F73),"")</f>
        <v>-0.87578199693243075</v>
      </c>
      <c r="D73" s="576">
        <f t="shared" ref="D73:D104" si="519">IFERROR(S228+($A73*-G73),"")</f>
        <v>-0.44557788628408723</v>
      </c>
      <c r="E73" s="580">
        <f t="shared" ref="E73:E104" si="520">T228</f>
        <v>5.0073616196448498E-2</v>
      </c>
      <c r="F73" s="572">
        <f t="shared" ref="F73:F104" si="521">U228</f>
        <v>-0.94126850175773602</v>
      </c>
      <c r="G73" s="579">
        <f t="shared" ref="G73:G104" si="522">V228</f>
        <v>0.33392550151157618</v>
      </c>
      <c r="H73" s="580">
        <f t="shared" ref="H73:H104" si="523">W228</f>
        <v>0.26450000000000001</v>
      </c>
      <c r="I73" s="572">
        <f t="shared" ref="I73:I104" si="524">X228</f>
        <v>0.52</v>
      </c>
      <c r="J73" s="483">
        <f t="shared" ref="J73:J104" si="525">IF(Y228=0,"",Y228)</f>
        <v>5.2190000000000003</v>
      </c>
      <c r="K73" s="806">
        <f t="shared" ref="K73:K104" si="526">Z228</f>
        <v>1313</v>
      </c>
      <c r="L73" s="309"/>
      <c r="M73" s="164">
        <f t="shared" ref="M73:M104" si="527">IF(J73="","",VALUE(J73))</f>
        <v>5.2190000000000003</v>
      </c>
      <c r="N73" s="575">
        <f t="shared" ref="N73:N104" si="528">IF(M73="","",B73)</f>
        <v>-3.3036640188917556</v>
      </c>
      <c r="O73" s="572">
        <f t="shared" ref="O73:O104" si="529">IF(M73="","",C73)</f>
        <v>-0.87578199693243075</v>
      </c>
      <c r="P73" s="576">
        <f t="shared" ref="P73:P104" si="530">IF(M73="","",D73)</f>
        <v>-0.44557788628408723</v>
      </c>
      <c r="Q73" s="528">
        <f t="shared" si="140"/>
        <v>194.84726724331014</v>
      </c>
      <c r="R73" s="572">
        <f>IF(M73="","",SQRT(N73^2+O73^2))</f>
        <v>3.4177756005728321</v>
      </c>
      <c r="S73" s="577">
        <f>IF(M73="","",P73)</f>
        <v>-0.44557788628408723</v>
      </c>
      <c r="T73" s="578">
        <f>IF(M73="","",X73*COS(RADIANS(W73)))</f>
        <v>-0.88097029690277184</v>
      </c>
      <c r="U73" s="572">
        <f>IF(M73="","",X73*SIN(RADIANS(W73)))</f>
        <v>3.3022842687821448</v>
      </c>
      <c r="V73" s="579">
        <f>IF(M73="","",Y73)</f>
        <v>-0.44557788628408723</v>
      </c>
      <c r="W73" s="528">
        <f t="shared" si="253"/>
        <v>104.93726723031575</v>
      </c>
      <c r="X73" s="572">
        <f>IF(M73="","",R73)</f>
        <v>3.4177756005728321</v>
      </c>
      <c r="Y73" s="573">
        <f t="shared" si="255"/>
        <v>-0.44557788628408723</v>
      </c>
      <c r="Z73" s="575">
        <f t="shared" ref="Z73:Z104" si="531">IF(M73="","",-E73)</f>
        <v>-5.0073616196448498E-2</v>
      </c>
      <c r="AA73" s="572">
        <f t="shared" ref="AA73:AA104" si="532">IF(M73="","",-F73)</f>
        <v>0.94126850175773602</v>
      </c>
      <c r="AB73" s="572">
        <f t="shared" ref="AB73:AB104" si="533">IF(M73="","",-G73)</f>
        <v>-0.33392550151157618</v>
      </c>
      <c r="AC73" s="579">
        <f>IF(M73="","",SQRT(Z73^2+AA73^2+AB73^2))</f>
        <v>1</v>
      </c>
      <c r="AD73" s="580">
        <f>IF(M73="","",Z73*(1/SQRT(Z73^2+AA73^2+AB73^2)))</f>
        <v>-5.0073616196448498E-2</v>
      </c>
      <c r="AE73" s="572">
        <f>IF(M73="","",AA73*(1/SQRT(Z73^2+AA73^2+AB73^2)))</f>
        <v>0.94126850175773602</v>
      </c>
      <c r="AF73" s="576">
        <f>IF(M73="","",AB73*(1/SQRT(Z73^2+AA73^2+AB73^2)))</f>
        <v>-0.33392550151157618</v>
      </c>
      <c r="AG73" s="545">
        <f>IF(M73="","",DEGREES(ATAN2(-AF73,AE73)))</f>
        <v>70.467291755601778</v>
      </c>
      <c r="AH73" s="546">
        <f>IF(M73="","",DEGREES(ACOS(AD73)))</f>
        <v>92.870207170032899</v>
      </c>
      <c r="AI73" s="528">
        <f>IF(M73="","",DEGREES(-ACOS(-AF73)))</f>
        <v>-70.492788506165454</v>
      </c>
      <c r="AJ73" s="529">
        <f>IF(M73="","",DEGREES(ATAN2(-AE73,AD73)))</f>
        <v>-176.95484869980248</v>
      </c>
      <c r="AK73" s="578">
        <f>IF(M73="","",(COS(RADIANS((90-$Q$8)-W73))*AD73)+(-SIN(RADIANS((90-$Q$8)-W73))*AE73))</f>
        <v>0.92267276190713077</v>
      </c>
      <c r="AL73" s="572">
        <f>IF(M73="","",(SIN(RADIANS((90-$Q$8)-W73))*AD73)+(COS(RADIANS((90-$Q$8)-W73))*AE73))</f>
        <v>-0.19279194452805723</v>
      </c>
      <c r="AM73" s="577">
        <f>IF(M73="","",AF73)</f>
        <v>-0.33392550151157618</v>
      </c>
      <c r="AN73" s="524">
        <f>IF(M73="","",DEGREES(ATAN2(-AM73,AL73)))</f>
        <v>-29.999995668536492</v>
      </c>
      <c r="AO73" s="525">
        <f t="shared" si="515"/>
        <v>22.679996725413609</v>
      </c>
      <c r="AP73" s="528">
        <f>IF(M73="","",DEGREES(ATAN2(AK73,AL73)))</f>
        <v>-11.80211594311263</v>
      </c>
      <c r="AQ73" s="529">
        <f t="shared" ref="AQ73:AQ104" si="534">IF(M73="","",DEGREES(ATAN(($AS$5*SIN(RADIANS(90)))/(($X73*2*PI())-($AS$5*COS(RADIANS(90)))))))</f>
        <v>0.44467145237743844</v>
      </c>
      <c r="AS73" s="932">
        <f t="shared" si="461"/>
        <v>-255.06273276968426</v>
      </c>
      <c r="AT73" s="928">
        <f t="shared" ref="AT73:AT104" si="535">IF(M73="","",Y73+(((AS73-$AS$9)*$AS$6)*-1))</f>
        <v>-0.32745162111895304</v>
      </c>
      <c r="AU73" s="418"/>
      <c r="AV73" s="164" t="str">
        <f t="shared" ref="AV73:AV104" si="536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7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8">IF(ISNUMBER(AV73),Y73+BB73,"")</f>
        <v/>
      </c>
      <c r="BF73" s="4" t="str">
        <f t="shared" ref="BF73:BF104" si="539">IF(ISNUMBER($AV73),N73,"")</f>
        <v/>
      </c>
      <c r="BG73" s="5" t="str">
        <f t="shared" ref="BG73:BG104" si="540">IF(ISNUMBER($AV73),O73,"")</f>
        <v/>
      </c>
      <c r="BH73" s="10" t="str">
        <f t="shared" ref="BH73:BH104" si="541">IF(ISNUMBER($AV73),P73,"")</f>
        <v/>
      </c>
      <c r="BI73" s="9" t="str">
        <f t="shared" si="147"/>
        <v/>
      </c>
      <c r="BJ73" s="5" t="str">
        <f t="shared" ref="BJ73:BJ104" si="542">IF(ISNUMBER($AV73),BG73+COS(RADIANS($AG73)),"")</f>
        <v/>
      </c>
      <c r="BK73" s="8" t="str">
        <f t="shared" ref="BK73:BK104" si="543">IF(ISNUMBER($AV73),BH73+SIN(RADIANS($AG73)),"")</f>
        <v/>
      </c>
      <c r="BL73" s="173" t="str">
        <f t="shared" ref="BL73:BL104" si="544">IF(ISNUMBER($AV73),BF73+SIN(RADIANS($AH73)),"")</f>
        <v/>
      </c>
      <c r="BM73" s="5" t="str">
        <f t="shared" ref="BM73:BM104" si="545">IF(ISNUMBER($AV73),BG73-SIN(RADIANS($AG73))*COS(RADIANS($AH73)),"")</f>
        <v/>
      </c>
      <c r="BN73" s="6" t="str">
        <f t="shared" ref="BN73:BN104" si="546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7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8">IF(ISNUMBER($AV73),AD73,"")</f>
        <v/>
      </c>
      <c r="ET73" s="5" t="str">
        <f t="shared" ref="ET73:ET104" si="549">IF(ISNUMBER($AV73),AE73,"")</f>
        <v/>
      </c>
      <c r="EU73" s="10" t="str">
        <f t="shared" ref="EU73:EU104" si="550">IF(ISNUMBER($AV73),AF73,"")</f>
        <v/>
      </c>
      <c r="EV73" s="174" t="str">
        <f t="shared" ref="EV73:EV104" si="551">IF(ISNUMBER($AV73),IF(($EV$1-EP73)&lt;0,(360+($EV$1-EP73)),($EV$1-EP73)),"")</f>
        <v/>
      </c>
      <c r="EW73" s="9" t="str">
        <f t="shared" ref="EW73:EW104" si="552">IF(ISNUMBER($AV73),(COS(RADIANS($EV73))*ES73)+(-SIN(RADIANS($EV73))*ET73),"")</f>
        <v/>
      </c>
      <c r="EX73" s="5" t="str">
        <f t="shared" ref="EX73:EX104" si="553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4">IF(ISNUMBER($AV73),SIN(RADIANS($EP73))*COS(RADIANS($EZ73)),"")</f>
        <v/>
      </c>
      <c r="FB73" s="5" t="str">
        <f t="shared" ref="FB73:FB104" si="555">IF(ISNUMBER($AV73),-1*COS(RADIANS($EP73))*COS(RADIANS($EZ73)),"")</f>
        <v/>
      </c>
      <c r="FC73" s="6" t="str">
        <f t="shared" ref="FC73:FC104" si="556">IF(ISNUMBER($AV73),-1*SIN(RADIANS($EZ73)),"")</f>
        <v/>
      </c>
      <c r="FD73" s="4" t="str">
        <f t="shared" ref="FD73:FD104" si="557">IF(ISNUMBER($AV73),(COS(RADIANS($EV73))*FA73)+(-SIN(RADIANS($EV73))*FB73),"")</f>
        <v/>
      </c>
      <c r="FE73" s="5" t="str">
        <f t="shared" ref="FE73:FE104" si="558">IF(ISNUMBER($AV73),(SIN(RADIANS($EV73))*FA73)+(COS(RADIANS($EV73))*FB73),"")</f>
        <v/>
      </c>
      <c r="FF73" s="7" t="str">
        <f t="shared" si="210"/>
        <v/>
      </c>
      <c r="FG73" s="173" t="str">
        <f t="shared" ref="FG73:FG104" si="559">IF(ISNUMBER($AV73),EW73-FD73,"")</f>
        <v/>
      </c>
      <c r="FH73" s="5" t="str">
        <f t="shared" ref="FH73:FH104" si="560">IF(ISNUMBER($AV73),EX73-FE73,"")</f>
        <v/>
      </c>
      <c r="FI73" s="10" t="str">
        <f t="shared" ref="FI73:FI104" si="561">IF(ISNUMBER($AV73),EY73-FF73,"")</f>
        <v/>
      </c>
      <c r="FJ73" s="279" t="str">
        <f t="shared" si="212"/>
        <v/>
      </c>
      <c r="FK73" s="4" t="str">
        <f t="shared" ref="FK73:FK104" si="562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3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4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5">IF(ISNUMBER($AV73),ABS(GB73)/(ABS($GB73)+ABS($GC73)+ABS($GD73)),"")</f>
        <v/>
      </c>
      <c r="GH73" s="286" t="str">
        <f t="shared" ref="GH73:GH104" si="566">IF(ISNUMBER($AV73),ABS(GC73)/(ABS($GB73)+ABS($GC73)+ABS($GD73)),"")</f>
        <v/>
      </c>
      <c r="GI73" s="281" t="str">
        <f t="shared" ref="GI73:GI104" si="567">IF(ISNUMBER($AV73),ABS(GD73)/(ABS($GB73)+ABS($GC73)+ABS($GD73)),"")</f>
        <v/>
      </c>
      <c r="GJ73" s="167" t="str">
        <f t="shared" si="226"/>
        <v/>
      </c>
      <c r="GK73" s="174" t="str">
        <f t="shared" ref="GK73:GK104" si="568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9">IF(ISNUMBER($AV73),GU73/GH73*GG73,"")</f>
        <v/>
      </c>
      <c r="GT73" s="343" t="str">
        <f t="shared" ref="GT73:GT104" si="570">IF(ISNUMBER($AV73),GS73/$GK73,"")</f>
        <v/>
      </c>
      <c r="GU73" s="344" t="str">
        <f t="shared" ref="GU73:GU104" si="571">IF(ISNUMBER($AV73),$GV73*$GK73,"")</f>
        <v/>
      </c>
      <c r="GV73" s="343" t="str">
        <f t="shared" si="252"/>
        <v/>
      </c>
      <c r="GW73" s="345" t="str">
        <f t="shared" ref="GW73:GW104" si="572">IF(ISNUMBER($AV73),$GW$2,"")</f>
        <v/>
      </c>
      <c r="GX73" s="346" t="str">
        <f t="shared" ref="GX73:GX104" si="573">IF(ISNUMBER($AV73),($GJ73/12)*$GV73,"")</f>
        <v/>
      </c>
      <c r="GY73" s="344" t="str">
        <f t="shared" ref="GY73:GY104" si="574">IF(ISNUMBER($AV73),GU73/GH73*GI73,"")</f>
        <v/>
      </c>
      <c r="GZ73" s="345" t="str">
        <f t="shared" ref="GZ73:GZ104" si="575">IF(ISNUMBER($AV73),GY73/$GK73,"")</f>
        <v/>
      </c>
      <c r="HA73" s="342" t="str">
        <f t="shared" ref="HA73:HA104" si="576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7">IF(ISNUMBER($AV73),$FY73*$GV73,"")</f>
        <v/>
      </c>
      <c r="HF73" s="5" t="str">
        <f t="shared" ref="HF73:HF104" si="578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9">IF(ISNUMBER($AV73),$M73,"")</f>
        <v/>
      </c>
      <c r="HK73" s="310" t="str">
        <f t="shared" si="459"/>
        <v/>
      </c>
      <c r="HL73" s="348" t="str">
        <f t="shared" ref="HL73:HL104" si="580">IF(ISNUMBER($HS73),INDEX(HI$9:HI$150,MATCH($HS73,$GJ$9:$GJ$150,0)),"")</f>
        <v/>
      </c>
      <c r="HM73" s="909" t="str">
        <f t="shared" ref="HM73:HM104" si="581">IF(ISNUMBER($HL73),INDEX(GO$9:GO$150,MATCH($HL73,$AV$9:$AV$150,0)),"")</f>
        <v/>
      </c>
      <c r="HN73" s="910" t="str">
        <f t="shared" ref="HN73:HN104" si="582">IF(ISNUMBER($HL73),INDEX(AO$9:AO$150,MATCH($HL73,$AV$9:$AV$150,0)),"")</f>
        <v/>
      </c>
      <c r="HO73" s="911"/>
      <c r="HP73" s="912"/>
      <c r="HQ73" s="910" t="str">
        <f t="shared" ref="HQ73:HQ104" si="583">IF(ISNUMBER($HL73),INDEX(GQ$9:GQ$150,MATCH($HL73,$AV$9:$AV$150,0)),"")</f>
        <v/>
      </c>
      <c r="HR73" s="913" t="str">
        <f t="shared" ref="HR73:HR104" si="584">IF(ISNUMBER($HL73),INDEX(GP$9:GP$150,MATCH($HL73,$AV$9:$AV$150,0)),"")</f>
        <v/>
      </c>
      <c r="HS73" s="865" t="str">
        <f t="shared" si="460"/>
        <v/>
      </c>
      <c r="HT73" s="875" t="str">
        <f t="shared" ref="HT73:HT104" si="585">IF(ISNUMBER($HL73),INDEX(GL$9:GL$150,MATCH($HL73,$AV$9:$AV$150,0)),"")</f>
        <v/>
      </c>
      <c r="HU73" s="876" t="str">
        <f t="shared" ref="HU73:HU104" si="586">IF(ISNUMBER($HL73),INDEX(GM$9:GM$150,MATCH($HL73,$AV$9:$AV$150,0)),"")</f>
        <v/>
      </c>
      <c r="HV73" s="872" t="str">
        <f t="shared" ref="HV73:HV104" si="587">IF(ISNUMBER($HL73),INDEX(GN$9:GN$150,MATCH($HL73,$AV$9:$AV$150,0)),"")</f>
        <v/>
      </c>
      <c r="HW73" s="866" t="str">
        <f t="shared" ref="HW73:HW104" si="588">IF(ISNUMBER($HL73),INDEX(GW$9:GW$150,MATCH($HL73,$AV$9:$AV$150,0)),"")</f>
        <v/>
      </c>
      <c r="HX73" s="867" t="str">
        <f t="shared" ref="HX73:HX104" si="589">IF(ISNUMBER($HL73),INDEX(GX$9:GX$150,MATCH($HL73,$AV$9:$AV$150,0)),"")</f>
        <v/>
      </c>
      <c r="HY73" s="866" t="str">
        <f t="shared" ref="HY73:HY104" si="590">IF(ISNUMBER($HL73),INDEX(GS$9:GS$150,MATCH($HL73,$AV$9:$AV$150,0)),"")</f>
        <v/>
      </c>
      <c r="HZ73" s="868" t="str">
        <f t="shared" ref="HZ73:HZ104" si="591">IF(ISNUMBER($HL73),INDEX(GU$9:GU$150,MATCH($HL73,$AV$9:$AV$150,0)),"")</f>
        <v/>
      </c>
      <c r="IA73" s="869" t="str">
        <f t="shared" ref="IA73:IA104" si="592">IF(ISNUMBER($HL73),INDEX(GY$9:GY$150,MATCH($HL73,$AV$9:$AV$150,0)),"")</f>
        <v/>
      </c>
      <c r="IB73" s="870" t="str">
        <f t="shared" ref="IB73:IB104" si="593">IF(ISNUMBER($HL73),INDEX(GR$9:GR$150,MATCH($HL73,$AV$9:$AV$150,0)),"")</f>
        <v/>
      </c>
      <c r="IC73" s="841" t="str">
        <f t="shared" ref="IC73:IC104" si="594">IF(ISNUMBER($HL73),INDEX(GT$9:GT$150,MATCH($HL73,$AV$9:$AV$150,0)),"")</f>
        <v/>
      </c>
      <c r="ID73" s="351" t="str">
        <f t="shared" ref="ID73:ID104" si="595">IF(ISNUMBER($HL73),INDEX(GV$9:GV$150,MATCH($HL73,$AV$9:$AV$150,0)),"")</f>
        <v/>
      </c>
      <c r="IE73" s="843" t="str">
        <f t="shared" ref="IE73:IE104" si="596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5.2190000000000003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5.1189999999999998</v>
      </c>
      <c r="IK73" s="677" cm="1">
        <f t="array" ref="IK73">IFERROR(ROUND(VALUE(IF($IJ73&lt;1,$IJ73+LARGE((IF($M$9:$M$150="",0,$M$9:$M$150)-MOD(IF($M$9:$M$150="",0,$M$9:$M$150),1)),1),$IJ73)),4),"")</f>
        <v>5.1189999999999998</v>
      </c>
      <c r="IL73" s="482">
        <f t="shared" ref="IL73:IL104" si="597">IF(ISNUMBER($IK73),INDEX($K$9:$K$150,MATCH($IK73,$M$9:$M$150,0)),$K73)</f>
        <v>1613</v>
      </c>
      <c r="IM73" s="482">
        <f t="shared" si="237"/>
        <v>1313</v>
      </c>
      <c r="IN73" s="670">
        <f t="shared" ref="IN73:IN104" si="598">IF(ISNUMBER($IK73),IFERROR(IF(INDEX($W$9:$W$150,MATCH($IK73,$M$9:$M$150,0))&lt;$W73,((INDEX($W$9:$W$150,MATCH($IK73,$M$9:$M$150,0))+360)-$W73),INDEX($W$9:$W$150,MATCH($IK73,$M$9:$M$150,0))-$W73),""),"")</f>
        <v>14.172715572330475</v>
      </c>
      <c r="IO73" s="702"/>
      <c r="IP73" s="5">
        <f t="shared" ref="IP73:IP104" si="599">IF(ISNUMBER($IK73),(($IQ73*12)/60)/$AS$3,"")</f>
        <v>0</v>
      </c>
      <c r="IQ73" s="714"/>
      <c r="IR73" s="9">
        <f t="shared" ref="IR73:IR104" si="600">IF(ISNUMBER($IK73),(INDEX($X$9:$X$150,MATCH($IK73,$M$9:$M$150,0))*-1),"")</f>
        <v>-3.4001102547325295</v>
      </c>
      <c r="IS73" s="5">
        <f t="shared" ref="IS73:IS104" si="601">IF(ISNUMBER($IK73),INDEX($Y$9:$Y$150,MATCH($IK73,$M$9:$M$150,0)),"")</f>
        <v>-0.46830141239705997</v>
      </c>
      <c r="IT73" s="5">
        <f t="shared" ref="IT73:IT104" si="602">IF(ISNUMBER($IK73),INDEX($H$9:$H$150,MATCH($IK73,$M$9:$M$150,0)),"")</f>
        <v>0.3125</v>
      </c>
      <c r="IU73" s="5">
        <f t="shared" ref="IU73:IU104" si="603">IF(ISNUMBER($IK73),$IT73*COS(RADIANS(INDEX($AO$9:$AO$150,MATCH($IK73,$M$9:$M$150,0)))),"")</f>
        <v>0.29773986384424433</v>
      </c>
      <c r="IV73" s="670">
        <f t="shared" ref="IV73:IV104" si="604">IF(ISNUMBER($IK73),(-1*INDEX($AN$9:$AN$150,MATCH($IK73,$M$9:$M$150,0))),"")</f>
        <v>29.999995668536499</v>
      </c>
      <c r="IW73" s="9">
        <f t="shared" ref="IW73:IW104" si="605">IF(ISNUMBER($IK73),-$X73,"")</f>
        <v>-3.4177756005728321</v>
      </c>
      <c r="IX73" s="5">
        <f t="shared" ref="IX73:IX104" si="606">IF(ISNUMBER($IK73),$Y73,"")</f>
        <v>-0.44557788628408723</v>
      </c>
      <c r="IY73" s="5">
        <f t="shared" ref="IY73:IY104" si="607">IF(ISNUMBER($IK73),$H73,"")</f>
        <v>0.26450000000000001</v>
      </c>
      <c r="IZ73" s="5">
        <f t="shared" ref="IZ73:IZ104" si="608">IF(ISNUMBER($IK73),$IY73*COS(RADIANS($AO73)),"")</f>
        <v>0.24404694552443609</v>
      </c>
      <c r="JA73" s="705">
        <f t="shared" ref="JA73:JA104" si="609">IF(ISNUMBER($IK73),(-1*$AN73),"")</f>
        <v>29.999995668536492</v>
      </c>
    </row>
    <row r="74" spans="1:261" ht="15" customHeight="1" x14ac:dyDescent="0.25">
      <c r="A74" s="75">
        <f t="shared" si="516"/>
        <v>0</v>
      </c>
      <c r="B74" s="578">
        <f t="shared" si="517"/>
        <v>-3.8409687693782457</v>
      </c>
      <c r="C74" s="572">
        <f t="shared" si="518"/>
        <v>-1.1119923524010111</v>
      </c>
      <c r="D74" s="576">
        <f t="shared" si="519"/>
        <v>-0.92883784497209154</v>
      </c>
      <c r="E74" s="580">
        <f t="shared" si="520"/>
        <v>-4.8315040393426968E-2</v>
      </c>
      <c r="F74" s="572">
        <f t="shared" si="521"/>
        <v>-0.94937127202397764</v>
      </c>
      <c r="G74" s="579">
        <f t="shared" si="522"/>
        <v>0.31041882147730065</v>
      </c>
      <c r="H74" s="580">
        <f t="shared" si="523"/>
        <v>0.26450000000000001</v>
      </c>
      <c r="I74" s="572">
        <f t="shared" si="524"/>
        <v>0.52</v>
      </c>
      <c r="J74" s="483">
        <f t="shared" si="525"/>
        <v>5.2249999999999996</v>
      </c>
      <c r="K74" s="806">
        <f t="shared" si="526"/>
        <v>1313</v>
      </c>
      <c r="L74" s="309"/>
      <c r="M74" s="164">
        <f t="shared" si="527"/>
        <v>5.2249999999999996</v>
      </c>
      <c r="N74" s="575">
        <f t="shared" si="528"/>
        <v>-3.8409687693782457</v>
      </c>
      <c r="O74" s="572">
        <f t="shared" si="529"/>
        <v>-1.1119923524010111</v>
      </c>
      <c r="P74" s="576">
        <f t="shared" si="530"/>
        <v>-0.92883784497209154</v>
      </c>
      <c r="Q74" s="528">
        <f t="shared" ref="Q74:Q129" si="610">IF(M74="","",IF(DEGREES(ATAN2(N74,O74))&lt;0,DEGREES(ATAN2(N74,O74))+360,IF(DEGREES(ATAN2(N74,O74))&gt;360,DEGREES(ATAN2(N74,O74))-360,DEGREES(ATAN2(N74,O74)))))</f>
        <v>196.1461689451414</v>
      </c>
      <c r="R74" s="572">
        <f>IF(M74="","",SQRT(N74^2+O74^2))</f>
        <v>3.9986957972740775</v>
      </c>
      <c r="S74" s="577">
        <f>IF(M74="","",P74)</f>
        <v>-0.92883784497209154</v>
      </c>
      <c r="T74" s="578">
        <f>IF(M74="","",X74*COS(RADIANS(W74)))</f>
        <v>-1.1180243568181483</v>
      </c>
      <c r="U74" s="572">
        <f>IF(M74="","",X74*SIN(RADIANS(W74)))</f>
        <v>3.8392173182432296</v>
      </c>
      <c r="V74" s="579">
        <f>IF(M74="","",Y74)</f>
        <v>-0.92883784497209154</v>
      </c>
      <c r="W74" s="528">
        <f t="shared" si="253"/>
        <v>106.23616893214701</v>
      </c>
      <c r="X74" s="572">
        <f>IF(M74="","",R74)</f>
        <v>3.9986957972740775</v>
      </c>
      <c r="Y74" s="573">
        <f t="shared" si="255"/>
        <v>-0.92883784497209154</v>
      </c>
      <c r="Z74" s="575">
        <f t="shared" si="531"/>
        <v>4.8315040393426968E-2</v>
      </c>
      <c r="AA74" s="572">
        <f t="shared" si="532"/>
        <v>0.94937127202397764</v>
      </c>
      <c r="AB74" s="572">
        <f t="shared" si="533"/>
        <v>-0.31041882147730065</v>
      </c>
      <c r="AC74" s="579">
        <f>IF(M74="","",SQRT(Z74^2+AA74^2+AB74^2))</f>
        <v>1</v>
      </c>
      <c r="AD74" s="580">
        <f>IF(M74="","",Z74*(1/SQRT(Z74^2+AA74^2+AB74^2)))</f>
        <v>4.8315040393426968E-2</v>
      </c>
      <c r="AE74" s="572">
        <f>IF(M74="","",AA74*(1/SQRT(Z74^2+AA74^2+AB74^2)))</f>
        <v>0.94937127202397764</v>
      </c>
      <c r="AF74" s="576">
        <f>IF(M74="","",AB74*(1/SQRT(Z74^2+AA74^2+AB74^2)))</f>
        <v>-0.31041882147730065</v>
      </c>
      <c r="AG74" s="545">
        <f>IF(M74="","",DEGREES(ATAN2(-AF74,AE74)))</f>
        <v>71.893650169495274</v>
      </c>
      <c r="AH74" s="546">
        <f>IF(M74="","",DEGREES(ACOS(AD74)))</f>
        <v>87.230673958787193</v>
      </c>
      <c r="AI74" s="528">
        <f>IF(M74="","",DEGREES(-ACOS(-AF74)))</f>
        <v>-71.915527577264143</v>
      </c>
      <c r="AJ74" s="529">
        <f>IF(M74="","",DEGREES(ATAN2(-AE74,AD74)))</f>
        <v>177.08663848467825</v>
      </c>
      <c r="AK74" s="578">
        <f>IF(M74="","",(COS(RADIANS((90-$Q$8)-W74))*AD74)+(-SIN(RADIANS((90-$Q$8)-W74))*AE74))</f>
        <v>0.89848781530587263</v>
      </c>
      <c r="AL74" s="572">
        <f>IF(M74="","",(SIN(RADIANS((90-$Q$8)-W74))*AD74)+(COS(RADIANS((90-$Q$8)-W74))*AE74))</f>
        <v>-0.31041875107590411</v>
      </c>
      <c r="AM74" s="577">
        <f>IF(M74="","",AF74)</f>
        <v>-0.31041882147730065</v>
      </c>
      <c r="AN74" s="524">
        <f>IF(M74="","",DEGREES(ATAN2(-AM74,AL74)))</f>
        <v>-44.999993502804806</v>
      </c>
      <c r="AO74" s="525">
        <f t="shared" si="515"/>
        <v>26.039996240289703</v>
      </c>
      <c r="AP74" s="528">
        <f>IF(M74="","",DEGREES(ATAN2(AK74,AL74)))</f>
        <v>-19.059530460463151</v>
      </c>
      <c r="AQ74" s="529">
        <f t="shared" si="534"/>
        <v>0.38007278851203424</v>
      </c>
      <c r="AS74" s="932">
        <f t="shared" si="461"/>
        <v>-253.763831067853</v>
      </c>
      <c r="AT74" s="928">
        <f t="shared" si="535"/>
        <v>-0.81131292318743475</v>
      </c>
      <c r="AU74" s="418"/>
      <c r="AV74" s="164" t="str">
        <f t="shared" si="536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7"/>
        <v/>
      </c>
      <c r="BB74" s="177" t="str">
        <f t="shared" ref="BB74:BB150" si="611">IF(ISNUMBER($AV74),$AX74-($AT74+$AS$5),"")</f>
        <v/>
      </c>
      <c r="BC74" s="9"/>
      <c r="BD74" s="5" t="str">
        <f t="shared" ref="BD74:BD129" si="612">IF(ISNUMBER(AV74),AW74,"")</f>
        <v/>
      </c>
      <c r="BE74" s="6" t="str">
        <f t="shared" si="538"/>
        <v/>
      </c>
      <c r="BF74" s="4" t="str">
        <f t="shared" si="539"/>
        <v/>
      </c>
      <c r="BG74" s="5" t="str">
        <f t="shared" si="540"/>
        <v/>
      </c>
      <c r="BH74" s="10" t="str">
        <f t="shared" si="541"/>
        <v/>
      </c>
      <c r="BI74" s="9" t="str">
        <f t="shared" si="147"/>
        <v/>
      </c>
      <c r="BJ74" s="5" t="str">
        <f t="shared" si="542"/>
        <v/>
      </c>
      <c r="BK74" s="8" t="str">
        <f t="shared" si="543"/>
        <v/>
      </c>
      <c r="BL74" s="173" t="str">
        <f t="shared" si="544"/>
        <v/>
      </c>
      <c r="BM74" s="5" t="str">
        <f t="shared" si="545"/>
        <v/>
      </c>
      <c r="BN74" s="6" t="str">
        <f t="shared" si="546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3">IF(ISNUMBER($AV74),0,"")</f>
        <v/>
      </c>
      <c r="BT74" s="5" t="str">
        <f t="shared" si="613"/>
        <v/>
      </c>
      <c r="BU74" s="10" t="str">
        <f t="shared" ref="BU74:BU150" si="614">IF(ISNUMBER($AV74),$BE74,"")</f>
        <v/>
      </c>
      <c r="BV74" s="9" t="str">
        <f t="shared" ref="BV74:BV150" si="615">IF(ISNUMBER($AV74),0,"")</f>
        <v/>
      </c>
      <c r="BW74" s="5" t="str">
        <f t="shared" ref="BW74:BW150" si="616">IF(ISNUMBER($AV74),1,"")</f>
        <v/>
      </c>
      <c r="BX74" s="8" t="str">
        <f t="shared" ref="BX74:BX150" si="617">IF(ISNUMBER($AV74),$BE74,"")</f>
        <v/>
      </c>
      <c r="BY74" s="173" t="str">
        <f t="shared" ref="BY74:BY150" si="618">IF(ISNUMBER($AV74),1,"")</f>
        <v/>
      </c>
      <c r="BZ74" s="5" t="str">
        <f t="shared" ref="BZ74:BZ150" si="619">IF(ISNUMBER($AV74),0,"")</f>
        <v/>
      </c>
      <c r="CA74" s="6" t="str">
        <f t="shared" ref="CA74:CA150" si="620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1">IF(ISNUMBER($AV74),0,"")</f>
        <v/>
      </c>
      <c r="CJ74" s="5" t="str">
        <f t="shared" ref="CJ74:CJ129" si="622">IF(ISNUMBER($AV74),(CD74*BR74-BQ74*CE74)/(BQ74*CC74-CD74*BP74),"")</f>
        <v/>
      </c>
      <c r="CK74" s="8" t="str">
        <f t="shared" ref="CK74:CK129" si="623">IF(ISNUMBER($AV74),(CC74*BR74-BP74*CE74)/(-CC74*BQ74+BP74*CD74),"")</f>
        <v/>
      </c>
      <c r="CL74" s="173" t="str">
        <f t="shared" ref="CL74:CL129" si="624">IF(ISNUMBER($AV74),CI74+CF74,"")</f>
        <v/>
      </c>
      <c r="CM74" s="5" t="str">
        <f t="shared" ref="CM74:CM129" si="625">IF(ISNUMBER($AV74),CJ74+CG74,"")</f>
        <v/>
      </c>
      <c r="CN74" s="6" t="str">
        <f t="shared" ref="CN74:CN129" si="626">IF(ISNUMBER($AV74),CK74+CH74,"")</f>
        <v/>
      </c>
      <c r="CO74" s="167" t="str">
        <f t="shared" si="547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8"/>
        <v/>
      </c>
      <c r="ET74" s="5" t="str">
        <f t="shared" si="549"/>
        <v/>
      </c>
      <c r="EU74" s="10" t="str">
        <f t="shared" si="550"/>
        <v/>
      </c>
      <c r="EV74" s="174" t="str">
        <f t="shared" si="551"/>
        <v/>
      </c>
      <c r="EW74" s="9" t="str">
        <f t="shared" si="552"/>
        <v/>
      </c>
      <c r="EX74" s="5" t="str">
        <f t="shared" si="553"/>
        <v/>
      </c>
      <c r="EY74" s="6" t="str">
        <f t="shared" si="208"/>
        <v/>
      </c>
      <c r="EZ74" s="51" t="str">
        <f t="shared" si="209"/>
        <v/>
      </c>
      <c r="FA74" s="173" t="str">
        <f t="shared" si="554"/>
        <v/>
      </c>
      <c r="FB74" s="5" t="str">
        <f t="shared" si="555"/>
        <v/>
      </c>
      <c r="FC74" s="6" t="str">
        <f t="shared" si="556"/>
        <v/>
      </c>
      <c r="FD74" s="4" t="str">
        <f t="shared" si="557"/>
        <v/>
      </c>
      <c r="FE74" s="5" t="str">
        <f t="shared" si="558"/>
        <v/>
      </c>
      <c r="FF74" s="7" t="str">
        <f t="shared" si="210"/>
        <v/>
      </c>
      <c r="FG74" s="173" t="str">
        <f t="shared" si="559"/>
        <v/>
      </c>
      <c r="FH74" s="5" t="str">
        <f t="shared" si="560"/>
        <v/>
      </c>
      <c r="FI74" s="10" t="str">
        <f t="shared" si="561"/>
        <v/>
      </c>
      <c r="FJ74" s="279" t="str">
        <f t="shared" si="212"/>
        <v/>
      </c>
      <c r="FK74" s="4" t="str">
        <f t="shared" si="562"/>
        <v/>
      </c>
      <c r="FL74" s="5" t="str">
        <f t="shared" ref="FL74:FL129" si="627">IF(ISNUMBER($AV74),SQRT(FA74^2+FB74^2),"")</f>
        <v/>
      </c>
      <c r="FM74" s="8" t="str">
        <f t="shared" ref="FM74:FM129" si="628">IF(ISNUMBER($AV74),SQRT(FG74^2+FH74^2),"")</f>
        <v/>
      </c>
      <c r="FN74" s="9" t="str">
        <f t="shared" ref="FN74:FN129" si="629">IF(ISNUMBER($AV74),DEGREES(ACOS((FK74^2+FL74^2-FM74^2)/(2*FK74*FL74))),"")</f>
        <v/>
      </c>
      <c r="FO74" s="10" t="str">
        <f t="shared" si="563"/>
        <v/>
      </c>
      <c r="FP74" s="277" t="str">
        <f t="shared" ref="FP74:FP129" si="630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4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5"/>
        <v/>
      </c>
      <c r="GH74" s="286" t="str">
        <f t="shared" si="566"/>
        <v/>
      </c>
      <c r="GI74" s="281" t="str">
        <f t="shared" si="567"/>
        <v/>
      </c>
      <c r="GJ74" s="167" t="str">
        <f t="shared" si="226"/>
        <v/>
      </c>
      <c r="GK74" s="174" t="str">
        <f t="shared" si="568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9"/>
        <v/>
      </c>
      <c r="GT74" s="343" t="str">
        <f t="shared" si="570"/>
        <v/>
      </c>
      <c r="GU74" s="344" t="str">
        <f t="shared" si="571"/>
        <v/>
      </c>
      <c r="GV74" s="343" t="str">
        <f t="shared" si="252"/>
        <v/>
      </c>
      <c r="GW74" s="345" t="str">
        <f t="shared" si="572"/>
        <v/>
      </c>
      <c r="GX74" s="346" t="str">
        <f t="shared" si="573"/>
        <v/>
      </c>
      <c r="GY74" s="344" t="str">
        <f t="shared" si="574"/>
        <v/>
      </c>
      <c r="GZ74" s="345" t="str">
        <f t="shared" si="575"/>
        <v/>
      </c>
      <c r="HA74" s="342" t="str">
        <f t="shared" si="576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7"/>
        <v/>
      </c>
      <c r="HF74" s="5" t="str">
        <f t="shared" si="578"/>
        <v/>
      </c>
      <c r="HG74" s="343" t="str">
        <f t="shared" si="234"/>
        <v/>
      </c>
      <c r="HH74" s="349" t="str">
        <f t="shared" si="235"/>
        <v/>
      </c>
      <c r="HI74" s="317" t="str">
        <f t="shared" si="579"/>
        <v/>
      </c>
      <c r="HK74" s="310" t="str">
        <f t="shared" ref="HK74:HK105" si="631">IF(ISNUMBER(HS74),HK73+1,"")</f>
        <v/>
      </c>
      <c r="HL74" s="348" t="str">
        <f t="shared" si="580"/>
        <v/>
      </c>
      <c r="HM74" s="909" t="str">
        <f t="shared" si="581"/>
        <v/>
      </c>
      <c r="HN74" s="910" t="str">
        <f t="shared" si="582"/>
        <v/>
      </c>
      <c r="HO74" s="911"/>
      <c r="HP74" s="912"/>
      <c r="HQ74" s="910" t="str">
        <f t="shared" si="583"/>
        <v/>
      </c>
      <c r="HR74" s="913" t="str">
        <f t="shared" si="584"/>
        <v/>
      </c>
      <c r="HS74" s="865" t="str">
        <f t="shared" ref="HS74:HS105" si="632">IFERROR(SMALL($GJ$9:$GJ$150,($HK73+1)),"")</f>
        <v/>
      </c>
      <c r="HT74" s="875" t="str">
        <f t="shared" si="585"/>
        <v/>
      </c>
      <c r="HU74" s="876" t="str">
        <f t="shared" si="586"/>
        <v/>
      </c>
      <c r="HV74" s="872" t="str">
        <f t="shared" si="587"/>
        <v/>
      </c>
      <c r="HW74" s="866" t="str">
        <f t="shared" si="588"/>
        <v/>
      </c>
      <c r="HX74" s="867" t="str">
        <f t="shared" si="589"/>
        <v/>
      </c>
      <c r="HY74" s="866" t="str">
        <f t="shared" si="590"/>
        <v/>
      </c>
      <c r="HZ74" s="868" t="str">
        <f t="shared" si="591"/>
        <v/>
      </c>
      <c r="IA74" s="869" t="str">
        <f t="shared" si="592"/>
        <v/>
      </c>
      <c r="IB74" s="870" t="str">
        <f t="shared" si="593"/>
        <v/>
      </c>
      <c r="IC74" s="841" t="str">
        <f t="shared" si="594"/>
        <v/>
      </c>
      <c r="ID74" s="351" t="str">
        <f t="shared" si="595"/>
        <v/>
      </c>
      <c r="IE74" s="843" t="str">
        <f t="shared" si="596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5.2249999999999996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5.125</v>
      </c>
      <c r="IK74" s="677" cm="1">
        <f t="array" ref="IK74">IFERROR(ROUND(VALUE(IF($IJ74&lt;1,$IJ74+LARGE((IF($M$9:$M$150="",0,$M$9:$M$150)-MOD(IF($M$9:$M$150="",0,$M$9:$M$150),1)),1),$IJ74)),4),"")</f>
        <v>5.125</v>
      </c>
      <c r="IL74" s="482">
        <f t="shared" si="597"/>
        <v>1613</v>
      </c>
      <c r="IM74" s="482">
        <f t="shared" si="237"/>
        <v>1313</v>
      </c>
      <c r="IN74" s="670">
        <f t="shared" si="598"/>
        <v>12.093813983117258</v>
      </c>
      <c r="IO74" s="702"/>
      <c r="IP74" s="5">
        <f t="shared" si="599"/>
        <v>0</v>
      </c>
      <c r="IQ74" s="714"/>
      <c r="IR74" s="9">
        <f t="shared" si="600"/>
        <v>-3.9735119841121449</v>
      </c>
      <c r="IS74" s="5">
        <f t="shared" si="601"/>
        <v>-0.94730285706541695</v>
      </c>
      <c r="IT74" s="5">
        <f t="shared" si="602"/>
        <v>0.3125</v>
      </c>
      <c r="IU74" s="5">
        <f t="shared" si="603"/>
        <v>0.29166563438081133</v>
      </c>
      <c r="IV74" s="670">
        <f t="shared" si="604"/>
        <v>44.999993502804777</v>
      </c>
      <c r="IW74" s="9">
        <f t="shared" si="605"/>
        <v>-3.9986957972740775</v>
      </c>
      <c r="IX74" s="5">
        <f t="shared" si="606"/>
        <v>-0.92883784497209154</v>
      </c>
      <c r="IY74" s="5">
        <f t="shared" si="607"/>
        <v>0.26450000000000001</v>
      </c>
      <c r="IZ74" s="5">
        <f t="shared" si="608"/>
        <v>0.23765002714840333</v>
      </c>
      <c r="JA74" s="705">
        <f t="shared" si="609"/>
        <v>44.999993502804806</v>
      </c>
    </row>
    <row r="75" spans="1:261" ht="15" customHeight="1" x14ac:dyDescent="0.25">
      <c r="A75" s="75">
        <f t="shared" si="516"/>
        <v>0</v>
      </c>
      <c r="B75" s="578">
        <f t="shared" si="517"/>
        <v>-4.3173236860523367</v>
      </c>
      <c r="C75" s="572">
        <f t="shared" si="518"/>
        <v>-0.80712747193736722</v>
      </c>
      <c r="D75" s="576">
        <f t="shared" si="519"/>
        <v>-1.5816254300190318</v>
      </c>
      <c r="E75" s="580">
        <f t="shared" si="520"/>
        <v>-0.87031513907020586</v>
      </c>
      <c r="F75" s="572">
        <f t="shared" si="521"/>
        <v>-0.16270618305871379</v>
      </c>
      <c r="G75" s="579">
        <f t="shared" si="522"/>
        <v>0.46484218472474381</v>
      </c>
      <c r="H75" s="580">
        <f t="shared" si="523"/>
        <v>0.255</v>
      </c>
      <c r="I75" s="572">
        <f t="shared" si="524"/>
        <v>0.41499999999999992</v>
      </c>
      <c r="J75" s="483">
        <f t="shared" si="525"/>
        <v>5.2309999999999999</v>
      </c>
      <c r="K75" s="806" t="str">
        <f t="shared" si="526"/>
        <v>CPS-32193r1</v>
      </c>
      <c r="L75" s="309"/>
      <c r="M75" s="164">
        <f t="shared" si="527"/>
        <v>5.2309999999999999</v>
      </c>
      <c r="N75" s="575">
        <f t="shared" si="528"/>
        <v>-4.3173236860523367</v>
      </c>
      <c r="O75" s="572">
        <f t="shared" si="529"/>
        <v>-0.80712747193736722</v>
      </c>
      <c r="P75" s="576">
        <f t="shared" si="530"/>
        <v>-1.5816254300190318</v>
      </c>
      <c r="Q75" s="528">
        <f t="shared" si="610"/>
        <v>190.58925864964181</v>
      </c>
      <c r="R75" s="572">
        <f>IF(M75="","",SQRT(N75^2+O75^2))</f>
        <v>4.392122330503164</v>
      </c>
      <c r="S75" s="577">
        <f>IF(M75="","",P75)</f>
        <v>-1.5816254300190318</v>
      </c>
      <c r="T75" s="578">
        <f>IF(M75="","",X75*COS(RADIANS(W75)))</f>
        <v>-0.8139081086039085</v>
      </c>
      <c r="U75" s="572">
        <f>IF(M75="","",X75*SIN(RADIANS(W75)))</f>
        <v>4.3160505276066168</v>
      </c>
      <c r="V75" s="579">
        <f>IF(M75="","",Y75)</f>
        <v>-1.5816254300190318</v>
      </c>
      <c r="W75" s="528">
        <f t="shared" si="253"/>
        <v>100.67925863664742</v>
      </c>
      <c r="X75" s="572">
        <f>IF(M75="","",R75)</f>
        <v>4.392122330503164</v>
      </c>
      <c r="Y75" s="573">
        <f t="shared" si="255"/>
        <v>-1.5816254300190318</v>
      </c>
      <c r="Z75" s="575">
        <f t="shared" si="531"/>
        <v>0.87031513907020586</v>
      </c>
      <c r="AA75" s="572">
        <f t="shared" si="532"/>
        <v>0.16270618305871379</v>
      </c>
      <c r="AB75" s="572">
        <f t="shared" si="533"/>
        <v>-0.46484218472474381</v>
      </c>
      <c r="AC75" s="579">
        <f>IF(M75="","",SQRT(Z75^2+AA75^2+AB75^2))</f>
        <v>1</v>
      </c>
      <c r="AD75" s="580">
        <f>IF(M75="","",Z75*(1/SQRT(Z75^2+AA75^2+AB75^2)))</f>
        <v>0.87031513907020586</v>
      </c>
      <c r="AE75" s="572">
        <f>IF(M75="","",AA75*(1/SQRT(Z75^2+AA75^2+AB75^2)))</f>
        <v>0.16270618305871379</v>
      </c>
      <c r="AF75" s="576">
        <f>IF(M75="","",AB75*(1/SQRT(Z75^2+AA75^2+AB75^2)))</f>
        <v>-0.46484218472474381</v>
      </c>
      <c r="AG75" s="545">
        <f>IF(M75="","",DEGREES(ATAN2(-AF75,AE75)))</f>
        <v>19.291300032475153</v>
      </c>
      <c r="AH75" s="546">
        <f>IF(M75="","",DEGREES(ACOS(AD75)))</f>
        <v>29.504718637655543</v>
      </c>
      <c r="AI75" s="528">
        <f>IF(M75="","",DEGREES(-ACOS(-AF75)))</f>
        <v>-62.299991004994205</v>
      </c>
      <c r="AJ75" s="529">
        <f>IF(M75="","",DEGREES(ATAN2(-AE75,AD75)))</f>
        <v>100.58925864964178</v>
      </c>
      <c r="AK75" s="578">
        <f>IF(M75="","",(COS(RADIANS((90-$Q$8)-W75))*AD75)+(-SIN(RADIANS((90-$Q$8)-W75))*AE75))</f>
        <v>-4.163336342344337E-16</v>
      </c>
      <c r="AL75" s="572">
        <f>IF(M75="","",(SIN(RADIANS((90-$Q$8)-W75))*AD75)+(COS(RADIANS((90-$Q$8)-W75))*AE75))</f>
        <v>-0.88539355277770537</v>
      </c>
      <c r="AM75" s="577">
        <f>IF(M75="","",AF75)</f>
        <v>-0.46484218472474381</v>
      </c>
      <c r="AN75" s="524">
        <f>IF(M75="","",DEGREES(ATAN2(-AM75,AL75)))</f>
        <v>-62.299991004994205</v>
      </c>
      <c r="AO75" s="525">
        <f t="shared" si="515"/>
        <v>0</v>
      </c>
      <c r="AP75" s="528">
        <f>IF(M75="","",DEGREES(ATAN2(AK75,AL75)))</f>
        <v>-90.000000000000028</v>
      </c>
      <c r="AQ75" s="529">
        <f t="shared" si="534"/>
        <v>0.34602844877649303</v>
      </c>
      <c r="AS75" s="932">
        <f t="shared" ref="AS75:AS106" si="633">IF(G75="","",IF(AND(W75&lt;(AS74+180),W75&gt;(AS74-180)),W75,IF(W75&gt;(AS74+180),W75-360,IF(W75&lt;(AS74-180),W75+360,"Error"))))</f>
        <v>-259.32074136335257</v>
      </c>
      <c r="AT75" s="928">
        <f t="shared" si="535"/>
        <v>-1.461527864579051</v>
      </c>
      <c r="AU75" s="418"/>
      <c r="AV75" s="164" t="str">
        <f t="shared" si="536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4">IF(ISNUMBER(AV75),$AY75*SQRT((2*PI()*$AW75)^2+$AS$5^2),"")</f>
        <v/>
      </c>
      <c r="BA75" s="296" t="str">
        <f t="shared" si="537"/>
        <v/>
      </c>
      <c r="BB75" s="177" t="str">
        <f t="shared" si="611"/>
        <v/>
      </c>
      <c r="BC75" s="9"/>
      <c r="BD75" s="5" t="str">
        <f t="shared" si="612"/>
        <v/>
      </c>
      <c r="BE75" s="6" t="str">
        <f t="shared" si="538"/>
        <v/>
      </c>
      <c r="BF75" s="4" t="str">
        <f t="shared" si="539"/>
        <v/>
      </c>
      <c r="BG75" s="5" t="str">
        <f t="shared" si="540"/>
        <v/>
      </c>
      <c r="BH75" s="10" t="str">
        <f t="shared" si="541"/>
        <v/>
      </c>
      <c r="BI75" s="9" t="str">
        <f t="shared" ref="BI75:BI129" si="635">IF(ISNUMBER($AV75),BF75+0,"")</f>
        <v/>
      </c>
      <c r="BJ75" s="5" t="str">
        <f t="shared" si="542"/>
        <v/>
      </c>
      <c r="BK75" s="8" t="str">
        <f t="shared" si="543"/>
        <v/>
      </c>
      <c r="BL75" s="173" t="str">
        <f t="shared" si="544"/>
        <v/>
      </c>
      <c r="BM75" s="5" t="str">
        <f t="shared" si="545"/>
        <v/>
      </c>
      <c r="BN75" s="6" t="str">
        <f t="shared" si="546"/>
        <v/>
      </c>
      <c r="BO75" s="4" t="str">
        <f t="shared" ref="BO75:BO129" si="636">IF(ISNUMBER($AV75),BJ75*BN75-BM75*BK75-BG75*(BN75-BK75)+BH75*(BM75-BJ75),"")</f>
        <v/>
      </c>
      <c r="BP75" s="5" t="str">
        <f t="shared" si="239"/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3"/>
        <v/>
      </c>
      <c r="BT75" s="5" t="str">
        <f t="shared" si="613"/>
        <v/>
      </c>
      <c r="BU75" s="10" t="str">
        <f t="shared" si="614"/>
        <v/>
      </c>
      <c r="BV75" s="9" t="str">
        <f t="shared" si="615"/>
        <v/>
      </c>
      <c r="BW75" s="5" t="str">
        <f t="shared" si="616"/>
        <v/>
      </c>
      <c r="BX75" s="8" t="str">
        <f t="shared" si="617"/>
        <v/>
      </c>
      <c r="BY75" s="173" t="str">
        <f t="shared" si="618"/>
        <v/>
      </c>
      <c r="BZ75" s="5" t="str">
        <f t="shared" si="619"/>
        <v/>
      </c>
      <c r="CA75" s="6" t="str">
        <f t="shared" si="620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1"/>
        <v/>
      </c>
      <c r="CJ75" s="5" t="str">
        <f t="shared" si="622"/>
        <v/>
      </c>
      <c r="CK75" s="8" t="str">
        <f t="shared" si="623"/>
        <v/>
      </c>
      <c r="CL75" s="173" t="str">
        <f t="shared" si="624"/>
        <v/>
      </c>
      <c r="CM75" s="5" t="str">
        <f t="shared" si="625"/>
        <v/>
      </c>
      <c r="CN75" s="6" t="str">
        <f t="shared" si="626"/>
        <v/>
      </c>
      <c r="CO75" s="167" t="str">
        <f t="shared" si="547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8"/>
        <v/>
      </c>
      <c r="ET75" s="5" t="str">
        <f t="shared" si="549"/>
        <v/>
      </c>
      <c r="EU75" s="10" t="str">
        <f t="shared" si="550"/>
        <v/>
      </c>
      <c r="EV75" s="174" t="str">
        <f t="shared" si="551"/>
        <v/>
      </c>
      <c r="EW75" s="9" t="str">
        <f t="shared" si="552"/>
        <v/>
      </c>
      <c r="EX75" s="5" t="str">
        <f t="shared" si="553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4"/>
        <v/>
      </c>
      <c r="FB75" s="5" t="str">
        <f t="shared" si="555"/>
        <v/>
      </c>
      <c r="FC75" s="6" t="str">
        <f t="shared" si="556"/>
        <v/>
      </c>
      <c r="FD75" s="4" t="str">
        <f t="shared" si="557"/>
        <v/>
      </c>
      <c r="FE75" s="5" t="str">
        <f t="shared" si="558"/>
        <v/>
      </c>
      <c r="FF75" s="7" t="str">
        <f t="shared" ref="FF75:FF129" si="701">IF(ISNUMBER($AV75),FC75,"")</f>
        <v/>
      </c>
      <c r="FG75" s="173" t="str">
        <f t="shared" si="559"/>
        <v/>
      </c>
      <c r="FH75" s="5" t="str">
        <f t="shared" si="560"/>
        <v/>
      </c>
      <c r="FI75" s="10" t="str">
        <f t="shared" si="561"/>
        <v/>
      </c>
      <c r="FJ75" s="279" t="str">
        <f t="shared" ref="FJ75:FJ129" si="702">IF(ISNUMBER($AV75),DEGREES(ACOS((2-SQRT((FG75)^2+(FH75)^2+(FI75)^2)^2)/2)),"")</f>
        <v/>
      </c>
      <c r="FK75" s="4" t="str">
        <f t="shared" si="562"/>
        <v/>
      </c>
      <c r="FL75" s="5" t="str">
        <f t="shared" si="627"/>
        <v/>
      </c>
      <c r="FM75" s="8" t="str">
        <f t="shared" si="628"/>
        <v/>
      </c>
      <c r="FN75" s="9" t="str">
        <f t="shared" si="629"/>
        <v/>
      </c>
      <c r="FO75" s="10" t="str">
        <f t="shared" si="563"/>
        <v/>
      </c>
      <c r="FP75" s="277" t="str">
        <f t="shared" si="630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4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5"/>
        <v/>
      </c>
      <c r="GH75" s="286" t="str">
        <f t="shared" si="566"/>
        <v/>
      </c>
      <c r="GI75" s="281" t="str">
        <f t="shared" si="567"/>
        <v/>
      </c>
      <c r="GJ75" s="167" t="str">
        <f t="shared" ref="GJ75:GJ129" si="718">IF(ISNUMBER($AV75),AW75,"")</f>
        <v/>
      </c>
      <c r="GK75" s="174" t="str">
        <f t="shared" si="568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9"/>
        <v/>
      </c>
      <c r="GT75" s="343" t="str">
        <f t="shared" si="570"/>
        <v/>
      </c>
      <c r="GU75" s="344" t="str">
        <f t="shared" si="571"/>
        <v/>
      </c>
      <c r="GV75" s="343" t="str">
        <f t="shared" ref="GV75:GV129" si="726">IF(ISNUMBER($AV75),GW75*$GL75,"")</f>
        <v/>
      </c>
      <c r="GW75" s="345" t="str">
        <f t="shared" si="572"/>
        <v/>
      </c>
      <c r="GX75" s="346" t="str">
        <f t="shared" si="573"/>
        <v/>
      </c>
      <c r="GY75" s="344" t="str">
        <f t="shared" si="574"/>
        <v/>
      </c>
      <c r="GZ75" s="345" t="str">
        <f t="shared" si="575"/>
        <v/>
      </c>
      <c r="HA75" s="342" t="str">
        <f t="shared" si="576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7"/>
        <v/>
      </c>
      <c r="HF75" s="5" t="str">
        <f t="shared" si="578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9"/>
        <v/>
      </c>
      <c r="HK75" s="310" t="str">
        <f t="shared" si="631"/>
        <v/>
      </c>
      <c r="HL75" s="348" t="str">
        <f t="shared" si="580"/>
        <v/>
      </c>
      <c r="HM75" s="909" t="str">
        <f t="shared" si="581"/>
        <v/>
      </c>
      <c r="HN75" s="910" t="str">
        <f t="shared" si="582"/>
        <v/>
      </c>
      <c r="HO75" s="911"/>
      <c r="HP75" s="912"/>
      <c r="HQ75" s="910" t="str">
        <f t="shared" si="583"/>
        <v/>
      </c>
      <c r="HR75" s="913" t="str">
        <f t="shared" si="584"/>
        <v/>
      </c>
      <c r="HS75" s="865" t="str">
        <f t="shared" si="632"/>
        <v/>
      </c>
      <c r="HT75" s="875" t="str">
        <f t="shared" si="585"/>
        <v/>
      </c>
      <c r="HU75" s="876" t="str">
        <f t="shared" si="586"/>
        <v/>
      </c>
      <c r="HV75" s="872" t="str">
        <f t="shared" si="587"/>
        <v/>
      </c>
      <c r="HW75" s="866" t="str">
        <f t="shared" si="588"/>
        <v/>
      </c>
      <c r="HX75" s="867" t="str">
        <f t="shared" si="589"/>
        <v/>
      </c>
      <c r="HY75" s="866" t="str">
        <f t="shared" si="590"/>
        <v/>
      </c>
      <c r="HZ75" s="868" t="str">
        <f t="shared" si="591"/>
        <v/>
      </c>
      <c r="IA75" s="869" t="str">
        <f t="shared" si="592"/>
        <v/>
      </c>
      <c r="IB75" s="870" t="str">
        <f t="shared" si="593"/>
        <v/>
      </c>
      <c r="IC75" s="841" t="str">
        <f t="shared" si="594"/>
        <v/>
      </c>
      <c r="ID75" s="351" t="str">
        <f t="shared" si="595"/>
        <v/>
      </c>
      <c r="IE75" s="843" t="str">
        <f t="shared" si="596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2">$M75</f>
        <v>5.2309999999999999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5.1310000000000002</v>
      </c>
      <c r="IK75" s="677" cm="1">
        <f t="array" ref="IK75">IFERROR(ROUND(VALUE(IF($IJ75&lt;1,$IJ75+LARGE((IF($M$9:$M$150="",0,$M$9:$M$150)-MOD(IF($M$9:$M$150="",0,$M$9:$M$150),1)),1),$IJ75)),4),"")</f>
        <v>5.1310000000000002</v>
      </c>
      <c r="IL75" s="482">
        <f t="shared" si="597"/>
        <v>1613</v>
      </c>
      <c r="IM75" s="482" t="str">
        <f t="shared" ref="IM75:IM138" si="733">IF(ISNUMBER($IK75),INDEX($K$9:$K$150,MATCH($II75,$M$9:$M$150,0)),"")</f>
        <v>CPS-32193r1</v>
      </c>
      <c r="IN75" s="670">
        <f t="shared" si="598"/>
        <v>17.020724369577607</v>
      </c>
      <c r="IO75" s="702"/>
      <c r="IP75" s="5">
        <f t="shared" si="599"/>
        <v>0</v>
      </c>
      <c r="IQ75" s="714"/>
      <c r="IR75" s="9">
        <f t="shared" si="600"/>
        <v>-4.3823132170566632</v>
      </c>
      <c r="IS75" s="5">
        <f t="shared" si="601"/>
        <v>-1.5731047444839095</v>
      </c>
      <c r="IT75" s="5">
        <f t="shared" si="602"/>
        <v>0.3125</v>
      </c>
      <c r="IU75" s="5">
        <f t="shared" si="603"/>
        <v>0.28458865193955285</v>
      </c>
      <c r="IV75" s="670">
        <f t="shared" si="604"/>
        <v>59.999991337073098</v>
      </c>
      <c r="IW75" s="9">
        <f t="shared" si="605"/>
        <v>-4.392122330503164</v>
      </c>
      <c r="IX75" s="5">
        <f t="shared" si="606"/>
        <v>-1.5816254300190318</v>
      </c>
      <c r="IY75" s="5">
        <f t="shared" si="607"/>
        <v>0.255</v>
      </c>
      <c r="IZ75" s="5">
        <f t="shared" si="608"/>
        <v>0.255</v>
      </c>
      <c r="JA75" s="705">
        <f t="shared" si="609"/>
        <v>62.299991004994205</v>
      </c>
    </row>
    <row r="76" spans="1:261" ht="15" customHeight="1" x14ac:dyDescent="0.25">
      <c r="A76" s="75">
        <f t="shared" si="516"/>
        <v>0</v>
      </c>
      <c r="B76" s="578">
        <f t="shared" si="517"/>
        <v>-4.544421694968011</v>
      </c>
      <c r="C76" s="572">
        <f t="shared" si="518"/>
        <v>-0.76013514031578988</v>
      </c>
      <c r="D76" s="576">
        <f t="shared" si="519"/>
        <v>-2.3011363814998491</v>
      </c>
      <c r="E76" s="580">
        <f t="shared" si="520"/>
        <v>-0.96860102452917862</v>
      </c>
      <c r="F76" s="572">
        <f t="shared" si="521"/>
        <v>-0.16201570301140084</v>
      </c>
      <c r="G76" s="579">
        <f t="shared" si="522"/>
        <v>0.18858146053827068</v>
      </c>
      <c r="H76" s="580">
        <f t="shared" si="523"/>
        <v>0.255</v>
      </c>
      <c r="I76" s="572">
        <f t="shared" si="524"/>
        <v>0.41499999999999992</v>
      </c>
      <c r="J76" s="483">
        <f t="shared" si="525"/>
        <v>5.2370000000000001</v>
      </c>
      <c r="K76" s="806" t="str">
        <f t="shared" si="526"/>
        <v>CPS-32193r1</v>
      </c>
      <c r="L76" s="309"/>
      <c r="M76" s="164">
        <f t="shared" si="527"/>
        <v>5.2370000000000001</v>
      </c>
      <c r="N76" s="575">
        <f t="shared" si="528"/>
        <v>-4.544421694968011</v>
      </c>
      <c r="O76" s="572">
        <f t="shared" si="529"/>
        <v>-0.76013514031578988</v>
      </c>
      <c r="P76" s="576">
        <f t="shared" si="530"/>
        <v>-2.3011363814998491</v>
      </c>
      <c r="Q76" s="528">
        <f t="shared" si="610"/>
        <v>189.49582704462659</v>
      </c>
      <c r="R76" s="572">
        <f t="shared" si="101"/>
        <v>4.6075561823203888</v>
      </c>
      <c r="S76" s="577">
        <f t="shared" si="102"/>
        <v>-2.3011363814998491</v>
      </c>
      <c r="T76" s="578">
        <f t="shared" si="103"/>
        <v>-0.76727255947679252</v>
      </c>
      <c r="U76" s="572">
        <f t="shared" si="104"/>
        <v>4.5432220716923766</v>
      </c>
      <c r="V76" s="579">
        <f t="shared" si="141"/>
        <v>-2.3011363814998491</v>
      </c>
      <c r="W76" s="528">
        <f t="shared" si="253"/>
        <v>99.585827031632206</v>
      </c>
      <c r="X76" s="572">
        <f t="shared" si="105"/>
        <v>4.6075561823203888</v>
      </c>
      <c r="Y76" s="573">
        <f t="shared" ref="Y76:Y129" si="734">IF(M76="","",S76)</f>
        <v>-2.3011363814998491</v>
      </c>
      <c r="Z76" s="575">
        <f t="shared" si="531"/>
        <v>0.96860102452917862</v>
      </c>
      <c r="AA76" s="572">
        <f t="shared" si="532"/>
        <v>0.16201570301140084</v>
      </c>
      <c r="AB76" s="572">
        <f t="shared" si="533"/>
        <v>-0.18858146053827068</v>
      </c>
      <c r="AC76" s="579">
        <f t="shared" si="106"/>
        <v>1</v>
      </c>
      <c r="AD76" s="580">
        <f t="shared" si="142"/>
        <v>0.96860102452917862</v>
      </c>
      <c r="AE76" s="572">
        <f t="shared" si="107"/>
        <v>0.16201570301140084</v>
      </c>
      <c r="AF76" s="576">
        <f t="shared" si="108"/>
        <v>-0.18858146053827068</v>
      </c>
      <c r="AG76" s="545">
        <f t="shared" si="109"/>
        <v>40.66681403534573</v>
      </c>
      <c r="AH76" s="546">
        <f t="shared" si="110"/>
        <v>14.395883866938471</v>
      </c>
      <c r="AI76" s="528">
        <f t="shared" si="111"/>
        <v>-79.129988575043214</v>
      </c>
      <c r="AJ76" s="529">
        <f t="shared" si="112"/>
        <v>99.49582704462658</v>
      </c>
      <c r="AK76" s="578">
        <f t="shared" si="238"/>
        <v>-2.7755575615628914E-16</v>
      </c>
      <c r="AL76" s="572">
        <f t="shared" si="113"/>
        <v>-0.98205755062585465</v>
      </c>
      <c r="AM76" s="577">
        <f t="shared" si="114"/>
        <v>-0.18858146053827068</v>
      </c>
      <c r="AN76" s="524">
        <f t="shared" si="115"/>
        <v>-79.129988575043214</v>
      </c>
      <c r="AO76" s="525">
        <f t="shared" si="515"/>
        <v>0</v>
      </c>
      <c r="AP76" s="528">
        <f t="shared" si="117"/>
        <v>-90.000000000000014</v>
      </c>
      <c r="AQ76" s="529">
        <f t="shared" si="534"/>
        <v>0.32984968695123079</v>
      </c>
      <c r="AS76" s="932">
        <f t="shared" si="633"/>
        <v>-260.41417296836778</v>
      </c>
      <c r="AT76" s="928">
        <f t="shared" si="535"/>
        <v>-2.1805325977242132</v>
      </c>
      <c r="AU76" s="418"/>
      <c r="AV76" s="164" t="str">
        <f t="shared" si="536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4"/>
        <v/>
      </c>
      <c r="BA76" s="296" t="str">
        <f t="shared" si="537"/>
        <v/>
      </c>
      <c r="BB76" s="177" t="str">
        <f t="shared" si="611"/>
        <v/>
      </c>
      <c r="BC76" s="9"/>
      <c r="BD76" s="5" t="str">
        <f t="shared" si="612"/>
        <v/>
      </c>
      <c r="BE76" s="6" t="str">
        <f t="shared" si="538"/>
        <v/>
      </c>
      <c r="BF76" s="4" t="str">
        <f t="shared" si="539"/>
        <v/>
      </c>
      <c r="BG76" s="5" t="str">
        <f t="shared" si="540"/>
        <v/>
      </c>
      <c r="BH76" s="10" t="str">
        <f t="shared" si="541"/>
        <v/>
      </c>
      <c r="BI76" s="9" t="str">
        <f t="shared" si="635"/>
        <v/>
      </c>
      <c r="BJ76" s="5" t="str">
        <f t="shared" si="542"/>
        <v/>
      </c>
      <c r="BK76" s="8" t="str">
        <f t="shared" si="543"/>
        <v/>
      </c>
      <c r="BL76" s="173" t="str">
        <f t="shared" si="544"/>
        <v/>
      </c>
      <c r="BM76" s="5" t="str">
        <f t="shared" si="545"/>
        <v/>
      </c>
      <c r="BN76" s="6" t="str">
        <f t="shared" si="546"/>
        <v/>
      </c>
      <c r="BO76" s="4" t="str">
        <f t="shared" si="636"/>
        <v/>
      </c>
      <c r="BP76" s="5" t="str">
        <f t="shared" ref="BP76:BP139" si="735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7"/>
        <v/>
      </c>
      <c r="BR76" s="6" t="str">
        <f t="shared" si="638"/>
        <v/>
      </c>
      <c r="BS76" s="4" t="str">
        <f t="shared" si="613"/>
        <v/>
      </c>
      <c r="BT76" s="5" t="str">
        <f t="shared" si="613"/>
        <v/>
      </c>
      <c r="BU76" s="10" t="str">
        <f t="shared" si="614"/>
        <v/>
      </c>
      <c r="BV76" s="9" t="str">
        <f t="shared" si="615"/>
        <v/>
      </c>
      <c r="BW76" s="5" t="str">
        <f t="shared" si="616"/>
        <v/>
      </c>
      <c r="BX76" s="8" t="str">
        <f t="shared" si="617"/>
        <v/>
      </c>
      <c r="BY76" s="173" t="str">
        <f t="shared" si="618"/>
        <v/>
      </c>
      <c r="BZ76" s="5" t="str">
        <f t="shared" si="619"/>
        <v/>
      </c>
      <c r="CA76" s="6" t="str">
        <f t="shared" si="620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1"/>
        <v/>
      </c>
      <c r="CJ76" s="5" t="str">
        <f t="shared" si="622"/>
        <v/>
      </c>
      <c r="CK76" s="8" t="str">
        <f t="shared" si="623"/>
        <v/>
      </c>
      <c r="CL76" s="173" t="str">
        <f t="shared" si="624"/>
        <v/>
      </c>
      <c r="CM76" s="5" t="str">
        <f t="shared" si="625"/>
        <v/>
      </c>
      <c r="CN76" s="6" t="str">
        <f t="shared" si="626"/>
        <v/>
      </c>
      <c r="CO76" s="167" t="str">
        <f t="shared" si="547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8"/>
        <v/>
      </c>
      <c r="ET76" s="5" t="str">
        <f t="shared" si="549"/>
        <v/>
      </c>
      <c r="EU76" s="10" t="str">
        <f t="shared" si="550"/>
        <v/>
      </c>
      <c r="EV76" s="174" t="str">
        <f t="shared" si="551"/>
        <v/>
      </c>
      <c r="EW76" s="9" t="str">
        <f t="shared" si="552"/>
        <v/>
      </c>
      <c r="EX76" s="5" t="str">
        <f t="shared" si="553"/>
        <v/>
      </c>
      <c r="EY76" s="6" t="str">
        <f t="shared" si="699"/>
        <v/>
      </c>
      <c r="EZ76" s="51" t="str">
        <f t="shared" si="700"/>
        <v/>
      </c>
      <c r="FA76" s="173" t="str">
        <f t="shared" si="554"/>
        <v/>
      </c>
      <c r="FB76" s="5" t="str">
        <f t="shared" si="555"/>
        <v/>
      </c>
      <c r="FC76" s="6" t="str">
        <f t="shared" si="556"/>
        <v/>
      </c>
      <c r="FD76" s="4" t="str">
        <f t="shared" si="557"/>
        <v/>
      </c>
      <c r="FE76" s="5" t="str">
        <f t="shared" si="558"/>
        <v/>
      </c>
      <c r="FF76" s="7" t="str">
        <f t="shared" si="701"/>
        <v/>
      </c>
      <c r="FG76" s="173" t="str">
        <f t="shared" si="559"/>
        <v/>
      </c>
      <c r="FH76" s="5" t="str">
        <f t="shared" si="560"/>
        <v/>
      </c>
      <c r="FI76" s="10" t="str">
        <f t="shared" si="561"/>
        <v/>
      </c>
      <c r="FJ76" s="279" t="str">
        <f t="shared" si="702"/>
        <v/>
      </c>
      <c r="FK76" s="4" t="str">
        <f t="shared" si="562"/>
        <v/>
      </c>
      <c r="FL76" s="5" t="str">
        <f t="shared" si="627"/>
        <v/>
      </c>
      <c r="FM76" s="8" t="str">
        <f t="shared" si="628"/>
        <v/>
      </c>
      <c r="FN76" s="9" t="str">
        <f t="shared" si="629"/>
        <v/>
      </c>
      <c r="FO76" s="10" t="str">
        <f t="shared" si="563"/>
        <v/>
      </c>
      <c r="FP76" s="277" t="str">
        <f t="shared" si="630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4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5"/>
        <v/>
      </c>
      <c r="GH76" s="286" t="str">
        <f t="shared" si="566"/>
        <v/>
      </c>
      <c r="GI76" s="281" t="str">
        <f t="shared" si="567"/>
        <v/>
      </c>
      <c r="GJ76" s="167" t="str">
        <f t="shared" si="718"/>
        <v/>
      </c>
      <c r="GK76" s="174" t="str">
        <f t="shared" si="568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9"/>
        <v/>
      </c>
      <c r="GT76" s="343" t="str">
        <f t="shared" si="570"/>
        <v/>
      </c>
      <c r="GU76" s="344" t="str">
        <f t="shared" si="571"/>
        <v/>
      </c>
      <c r="GV76" s="343" t="str">
        <f t="shared" si="726"/>
        <v/>
      </c>
      <c r="GW76" s="345" t="str">
        <f t="shared" si="572"/>
        <v/>
      </c>
      <c r="GX76" s="346" t="str">
        <f t="shared" si="573"/>
        <v/>
      </c>
      <c r="GY76" s="344" t="str">
        <f t="shared" si="574"/>
        <v/>
      </c>
      <c r="GZ76" s="345" t="str">
        <f t="shared" si="575"/>
        <v/>
      </c>
      <c r="HA76" s="342" t="str">
        <f t="shared" si="576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7"/>
        <v/>
      </c>
      <c r="HF76" s="5" t="str">
        <f t="shared" si="578"/>
        <v/>
      </c>
      <c r="HG76" s="343" t="str">
        <f t="shared" si="730"/>
        <v/>
      </c>
      <c r="HH76" s="349" t="str">
        <f t="shared" si="731"/>
        <v/>
      </c>
      <c r="HI76" s="317" t="str">
        <f t="shared" si="579"/>
        <v/>
      </c>
      <c r="HK76" s="310" t="str">
        <f t="shared" si="631"/>
        <v/>
      </c>
      <c r="HL76" s="348" t="str">
        <f t="shared" si="580"/>
        <v/>
      </c>
      <c r="HM76" s="909" t="str">
        <f t="shared" si="581"/>
        <v/>
      </c>
      <c r="HN76" s="910" t="str">
        <f t="shared" si="582"/>
        <v/>
      </c>
      <c r="HO76" s="911"/>
      <c r="HP76" s="912"/>
      <c r="HQ76" s="910" t="str">
        <f t="shared" si="583"/>
        <v/>
      </c>
      <c r="HR76" s="913" t="str">
        <f t="shared" si="584"/>
        <v/>
      </c>
      <c r="HS76" s="865" t="str">
        <f t="shared" si="632"/>
        <v/>
      </c>
      <c r="HT76" s="875" t="str">
        <f t="shared" si="585"/>
        <v/>
      </c>
      <c r="HU76" s="876" t="str">
        <f t="shared" si="586"/>
        <v/>
      </c>
      <c r="HV76" s="872" t="str">
        <f t="shared" si="587"/>
        <v/>
      </c>
      <c r="HW76" s="866" t="str">
        <f t="shared" si="588"/>
        <v/>
      </c>
      <c r="HX76" s="867" t="str">
        <f t="shared" si="589"/>
        <v/>
      </c>
      <c r="HY76" s="866" t="str">
        <f t="shared" si="590"/>
        <v/>
      </c>
      <c r="HZ76" s="868" t="str">
        <f t="shared" si="591"/>
        <v/>
      </c>
      <c r="IA76" s="869" t="str">
        <f t="shared" si="592"/>
        <v/>
      </c>
      <c r="IB76" s="870" t="str">
        <f t="shared" si="593"/>
        <v/>
      </c>
      <c r="IC76" s="841" t="str">
        <f t="shared" si="594"/>
        <v/>
      </c>
      <c r="ID76" s="351" t="str">
        <f t="shared" si="595"/>
        <v/>
      </c>
      <c r="IE76" s="843" t="str">
        <f t="shared" si="596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2"/>
        <v>5.2370000000000001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5.1369999999999996</v>
      </c>
      <c r="IK76" s="677" cm="1">
        <f t="array" ref="IK76">IFERROR(ROUND(VALUE(IF($IJ76&lt;1,$IJ76+LARGE((IF($M$9:$M$150="",0,$M$9:$M$150)-MOD(IF($M$9:$M$150="",0,$M$9:$M$150),1)),1),$IJ76)),4),"")</f>
        <v>5.1369999999999996</v>
      </c>
      <c r="IL76" s="482">
        <f t="shared" si="597"/>
        <v>1613</v>
      </c>
      <c r="IM76" s="482" t="str">
        <f t="shared" si="733"/>
        <v>CPS-32193r1</v>
      </c>
      <c r="IN76" s="670">
        <f t="shared" si="598"/>
        <v>17.764156025126539</v>
      </c>
      <c r="IO76" s="702">
        <v>2.93343016091798E-2</v>
      </c>
      <c r="IP76" s="5">
        <f t="shared" si="599"/>
        <v>0.32222222222222224</v>
      </c>
      <c r="IQ76" s="714">
        <v>290</v>
      </c>
      <c r="IR76" s="9">
        <f t="shared" si="600"/>
        <v>-4.6054138899282924</v>
      </c>
      <c r="IS76" s="5">
        <f t="shared" si="601"/>
        <v>-2.2869068973112023</v>
      </c>
      <c r="IT76" s="5">
        <f t="shared" si="602"/>
        <v>0.3125</v>
      </c>
      <c r="IU76" s="5">
        <f t="shared" si="603"/>
        <v>0.27653324734446905</v>
      </c>
      <c r="IV76" s="670">
        <f t="shared" si="604"/>
        <v>74.999989171341326</v>
      </c>
      <c r="IW76" s="9">
        <f t="shared" si="605"/>
        <v>-4.6075561823203888</v>
      </c>
      <c r="IX76" s="5">
        <f t="shared" si="606"/>
        <v>-2.3011363814998491</v>
      </c>
      <c r="IY76" s="5">
        <f t="shared" si="607"/>
        <v>0.255</v>
      </c>
      <c r="IZ76" s="5">
        <f t="shared" si="608"/>
        <v>0.255</v>
      </c>
      <c r="JA76" s="705">
        <f t="shared" si="609"/>
        <v>79.129988575043214</v>
      </c>
    </row>
    <row r="77" spans="1:261" ht="15" customHeight="1" x14ac:dyDescent="0.25">
      <c r="A77" s="75">
        <f t="shared" si="516"/>
        <v>0</v>
      </c>
      <c r="B77" s="578">
        <f t="shared" si="517"/>
        <v>-4.640292584710533</v>
      </c>
      <c r="C77" s="572">
        <f t="shared" si="518"/>
        <v>-0.66120209881401382</v>
      </c>
      <c r="D77" s="576">
        <f t="shared" si="519"/>
        <v>-3.1073236680653533</v>
      </c>
      <c r="E77" s="580">
        <f t="shared" si="520"/>
        <v>-0.98627788814524442</v>
      </c>
      <c r="F77" s="572">
        <f t="shared" si="521"/>
        <v>-0.14053618338727439</v>
      </c>
      <c r="G77" s="579">
        <f t="shared" si="522"/>
        <v>8.6634337965353317E-2</v>
      </c>
      <c r="H77" s="580">
        <f t="shared" si="523"/>
        <v>0.255</v>
      </c>
      <c r="I77" s="572">
        <f t="shared" si="524"/>
        <v>0.41499999999999992</v>
      </c>
      <c r="J77" s="483">
        <f t="shared" si="525"/>
        <v>5.2430000000000003</v>
      </c>
      <c r="K77" s="806" t="str">
        <f t="shared" si="526"/>
        <v>CPS-32193r1</v>
      </c>
      <c r="L77" s="309"/>
      <c r="M77" s="164">
        <f t="shared" si="527"/>
        <v>5.2430000000000003</v>
      </c>
      <c r="N77" s="575">
        <f t="shared" si="528"/>
        <v>-4.640292584710533</v>
      </c>
      <c r="O77" s="572">
        <f t="shared" si="529"/>
        <v>-0.66120209881401382</v>
      </c>
      <c r="P77" s="576">
        <f t="shared" si="530"/>
        <v>-3.1073236680653533</v>
      </c>
      <c r="Q77" s="528">
        <f t="shared" si="610"/>
        <v>188.10956866762714</v>
      </c>
      <c r="R77" s="572">
        <f t="shared" si="101"/>
        <v>4.6871636932366263</v>
      </c>
      <c r="S77" s="577">
        <f t="shared" si="102"/>
        <v>-3.1073236680653533</v>
      </c>
      <c r="T77" s="578">
        <f t="shared" si="103"/>
        <v>-0.66849023358648407</v>
      </c>
      <c r="U77" s="572">
        <f t="shared" si="104"/>
        <v>4.6392482467308325</v>
      </c>
      <c r="V77" s="579">
        <f t="shared" si="141"/>
        <v>-3.1073236680653533</v>
      </c>
      <c r="W77" s="528">
        <f t="shared" si="253"/>
        <v>98.199568654632756</v>
      </c>
      <c r="X77" s="572">
        <f t="shared" si="105"/>
        <v>4.6871636932366263</v>
      </c>
      <c r="Y77" s="573">
        <f t="shared" si="734"/>
        <v>-3.1073236680653533</v>
      </c>
      <c r="Z77" s="575">
        <f t="shared" si="531"/>
        <v>0.98627788814524442</v>
      </c>
      <c r="AA77" s="572">
        <f t="shared" si="532"/>
        <v>0.14053618338727439</v>
      </c>
      <c r="AB77" s="572">
        <f t="shared" si="533"/>
        <v>-8.6634337965353317E-2</v>
      </c>
      <c r="AC77" s="579">
        <f t="shared" si="106"/>
        <v>1</v>
      </c>
      <c r="AD77" s="580">
        <f t="shared" si="142"/>
        <v>0.98627788814524442</v>
      </c>
      <c r="AE77" s="572">
        <f t="shared" si="107"/>
        <v>0.14053618338727439</v>
      </c>
      <c r="AF77" s="576">
        <f t="shared" si="108"/>
        <v>-8.6634337965353317E-2</v>
      </c>
      <c r="AG77" s="545">
        <f t="shared" si="109"/>
        <v>58.348005056184022</v>
      </c>
      <c r="AH77" s="546">
        <f t="shared" si="110"/>
        <v>9.502677307010579</v>
      </c>
      <c r="AI77" s="528">
        <f t="shared" si="111"/>
        <v>-85.029987723188711</v>
      </c>
      <c r="AJ77" s="529">
        <f t="shared" si="112"/>
        <v>98.109568667627158</v>
      </c>
      <c r="AK77" s="578">
        <f t="shared" si="238"/>
        <v>2.7755575615628914E-16</v>
      </c>
      <c r="AL77" s="572">
        <f t="shared" si="113"/>
        <v>-0.99624017761045192</v>
      </c>
      <c r="AM77" s="577">
        <f t="shared" si="114"/>
        <v>-8.6634337965353317E-2</v>
      </c>
      <c r="AN77" s="524">
        <f t="shared" si="115"/>
        <v>-85.029987723188711</v>
      </c>
      <c r="AO77" s="525">
        <f t="shared" si="515"/>
        <v>0</v>
      </c>
      <c r="AP77" s="528">
        <f t="shared" si="117"/>
        <v>-89.999999999999986</v>
      </c>
      <c r="AQ77" s="529">
        <f t="shared" si="534"/>
        <v>0.32424758965107359</v>
      </c>
      <c r="AS77" s="932">
        <f t="shared" si="633"/>
        <v>-261.80043134536726</v>
      </c>
      <c r="AT77" s="928">
        <f t="shared" si="535"/>
        <v>-2.9860780980040698</v>
      </c>
      <c r="AU77" s="418"/>
      <c r="AV77" s="164" t="str">
        <f t="shared" si="536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4"/>
        <v/>
      </c>
      <c r="BA77" s="296" t="str">
        <f t="shared" si="537"/>
        <v/>
      </c>
      <c r="BB77" s="177" t="str">
        <f t="shared" si="611"/>
        <v/>
      </c>
      <c r="BC77" s="9"/>
      <c r="BD77" s="5" t="str">
        <f t="shared" si="612"/>
        <v/>
      </c>
      <c r="BE77" s="6" t="str">
        <f t="shared" si="538"/>
        <v/>
      </c>
      <c r="BF77" s="4" t="str">
        <f t="shared" si="539"/>
        <v/>
      </c>
      <c r="BG77" s="5" t="str">
        <f t="shared" si="540"/>
        <v/>
      </c>
      <c r="BH77" s="10" t="str">
        <f t="shared" si="541"/>
        <v/>
      </c>
      <c r="BI77" s="9" t="str">
        <f t="shared" si="635"/>
        <v/>
      </c>
      <c r="BJ77" s="5" t="str">
        <f t="shared" si="542"/>
        <v/>
      </c>
      <c r="BK77" s="8" t="str">
        <f t="shared" si="543"/>
        <v/>
      </c>
      <c r="BL77" s="173" t="str">
        <f t="shared" si="544"/>
        <v/>
      </c>
      <c r="BM77" s="5" t="str">
        <f t="shared" si="545"/>
        <v/>
      </c>
      <c r="BN77" s="6" t="str">
        <f t="shared" si="546"/>
        <v/>
      </c>
      <c r="BO77" s="4" t="str">
        <f t="shared" si="636"/>
        <v/>
      </c>
      <c r="BP77" s="5" t="str">
        <f t="shared" si="735"/>
        <v/>
      </c>
      <c r="BQ77" s="5" t="str">
        <f t="shared" si="637"/>
        <v/>
      </c>
      <c r="BR77" s="6" t="str">
        <f t="shared" si="638"/>
        <v/>
      </c>
      <c r="BS77" s="4" t="str">
        <f t="shared" si="613"/>
        <v/>
      </c>
      <c r="BT77" s="5" t="str">
        <f t="shared" si="613"/>
        <v/>
      </c>
      <c r="BU77" s="10" t="str">
        <f t="shared" si="614"/>
        <v/>
      </c>
      <c r="BV77" s="9" t="str">
        <f t="shared" si="615"/>
        <v/>
      </c>
      <c r="BW77" s="5" t="str">
        <f t="shared" si="616"/>
        <v/>
      </c>
      <c r="BX77" s="8" t="str">
        <f t="shared" si="617"/>
        <v/>
      </c>
      <c r="BY77" s="173" t="str">
        <f t="shared" si="618"/>
        <v/>
      </c>
      <c r="BZ77" s="5" t="str">
        <f t="shared" si="619"/>
        <v/>
      </c>
      <c r="CA77" s="6" t="str">
        <f t="shared" si="620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1"/>
        <v/>
      </c>
      <c r="CJ77" s="5" t="str">
        <f t="shared" si="622"/>
        <v/>
      </c>
      <c r="CK77" s="8" t="str">
        <f t="shared" si="623"/>
        <v/>
      </c>
      <c r="CL77" s="173" t="str">
        <f t="shared" si="624"/>
        <v/>
      </c>
      <c r="CM77" s="5" t="str">
        <f t="shared" si="625"/>
        <v/>
      </c>
      <c r="CN77" s="6" t="str">
        <f t="shared" si="626"/>
        <v/>
      </c>
      <c r="CO77" s="167" t="str">
        <f t="shared" si="547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8"/>
        <v/>
      </c>
      <c r="ET77" s="5" t="str">
        <f t="shared" si="549"/>
        <v/>
      </c>
      <c r="EU77" s="10" t="str">
        <f t="shared" si="550"/>
        <v/>
      </c>
      <c r="EV77" s="174" t="str">
        <f t="shared" si="551"/>
        <v/>
      </c>
      <c r="EW77" s="9" t="str">
        <f t="shared" si="552"/>
        <v/>
      </c>
      <c r="EX77" s="5" t="str">
        <f t="shared" si="553"/>
        <v/>
      </c>
      <c r="EY77" s="6" t="str">
        <f t="shared" si="699"/>
        <v/>
      </c>
      <c r="EZ77" s="51" t="str">
        <f t="shared" si="700"/>
        <v/>
      </c>
      <c r="FA77" s="173" t="str">
        <f t="shared" si="554"/>
        <v/>
      </c>
      <c r="FB77" s="5" t="str">
        <f t="shared" si="555"/>
        <v/>
      </c>
      <c r="FC77" s="6" t="str">
        <f t="shared" si="556"/>
        <v/>
      </c>
      <c r="FD77" s="4" t="str">
        <f t="shared" si="557"/>
        <v/>
      </c>
      <c r="FE77" s="5" t="str">
        <f t="shared" si="558"/>
        <v/>
      </c>
      <c r="FF77" s="7" t="str">
        <f t="shared" si="701"/>
        <v/>
      </c>
      <c r="FG77" s="173" t="str">
        <f t="shared" si="559"/>
        <v/>
      </c>
      <c r="FH77" s="5" t="str">
        <f t="shared" si="560"/>
        <v/>
      </c>
      <c r="FI77" s="10" t="str">
        <f t="shared" si="561"/>
        <v/>
      </c>
      <c r="FJ77" s="279" t="str">
        <f t="shared" si="702"/>
        <v/>
      </c>
      <c r="FK77" s="4" t="str">
        <f t="shared" si="562"/>
        <v/>
      </c>
      <c r="FL77" s="5" t="str">
        <f t="shared" si="627"/>
        <v/>
      </c>
      <c r="FM77" s="8" t="str">
        <f t="shared" si="628"/>
        <v/>
      </c>
      <c r="FN77" s="9" t="str">
        <f t="shared" si="629"/>
        <v/>
      </c>
      <c r="FO77" s="10" t="str">
        <f t="shared" si="563"/>
        <v/>
      </c>
      <c r="FP77" s="277" t="str">
        <f t="shared" si="630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4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5"/>
        <v/>
      </c>
      <c r="GH77" s="286" t="str">
        <f t="shared" si="566"/>
        <v/>
      </c>
      <c r="GI77" s="281" t="str">
        <f t="shared" si="567"/>
        <v/>
      </c>
      <c r="GJ77" s="167" t="str">
        <f t="shared" si="718"/>
        <v/>
      </c>
      <c r="GK77" s="174" t="str">
        <f t="shared" si="568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9"/>
        <v/>
      </c>
      <c r="GT77" s="343" t="str">
        <f t="shared" si="570"/>
        <v/>
      </c>
      <c r="GU77" s="344" t="str">
        <f t="shared" si="571"/>
        <v/>
      </c>
      <c r="GV77" s="343" t="str">
        <f t="shared" si="726"/>
        <v/>
      </c>
      <c r="GW77" s="345" t="str">
        <f t="shared" si="572"/>
        <v/>
      </c>
      <c r="GX77" s="346" t="str">
        <f t="shared" si="573"/>
        <v/>
      </c>
      <c r="GY77" s="344" t="str">
        <f t="shared" si="574"/>
        <v/>
      </c>
      <c r="GZ77" s="345" t="str">
        <f t="shared" si="575"/>
        <v/>
      </c>
      <c r="HA77" s="342" t="str">
        <f t="shared" si="576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7"/>
        <v/>
      </c>
      <c r="HF77" s="5" t="str">
        <f t="shared" si="578"/>
        <v/>
      </c>
      <c r="HG77" s="343" t="str">
        <f t="shared" si="730"/>
        <v/>
      </c>
      <c r="HH77" s="349" t="str">
        <f t="shared" si="731"/>
        <v/>
      </c>
      <c r="HI77" s="317" t="str">
        <f t="shared" si="579"/>
        <v/>
      </c>
      <c r="HK77" s="310" t="str">
        <f t="shared" si="631"/>
        <v/>
      </c>
      <c r="HL77" s="348" t="str">
        <f t="shared" si="580"/>
        <v/>
      </c>
      <c r="HM77" s="909" t="str">
        <f t="shared" si="581"/>
        <v/>
      </c>
      <c r="HN77" s="910" t="str">
        <f t="shared" si="582"/>
        <v/>
      </c>
      <c r="HO77" s="911"/>
      <c r="HP77" s="912"/>
      <c r="HQ77" s="910" t="str">
        <f t="shared" si="583"/>
        <v/>
      </c>
      <c r="HR77" s="913" t="str">
        <f t="shared" si="584"/>
        <v/>
      </c>
      <c r="HS77" s="865" t="str">
        <f t="shared" si="632"/>
        <v/>
      </c>
      <c r="HT77" s="875" t="str">
        <f t="shared" si="585"/>
        <v/>
      </c>
      <c r="HU77" s="876" t="str">
        <f t="shared" si="586"/>
        <v/>
      </c>
      <c r="HV77" s="872" t="str">
        <f t="shared" si="587"/>
        <v/>
      </c>
      <c r="HW77" s="866" t="str">
        <f t="shared" si="588"/>
        <v/>
      </c>
      <c r="HX77" s="867" t="str">
        <f t="shared" si="589"/>
        <v/>
      </c>
      <c r="HY77" s="866" t="str">
        <f t="shared" si="590"/>
        <v/>
      </c>
      <c r="HZ77" s="868" t="str">
        <f t="shared" si="591"/>
        <v/>
      </c>
      <c r="IA77" s="869" t="str">
        <f t="shared" si="592"/>
        <v/>
      </c>
      <c r="IB77" s="870" t="str">
        <f t="shared" si="593"/>
        <v/>
      </c>
      <c r="IC77" s="841" t="str">
        <f t="shared" si="594"/>
        <v/>
      </c>
      <c r="ID77" s="351" t="str">
        <f t="shared" si="595"/>
        <v/>
      </c>
      <c r="IE77" s="843" t="str">
        <f t="shared" si="596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2"/>
        <v>5.2430000000000003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5.1429999999999998</v>
      </c>
      <c r="IK77" s="677" cm="1">
        <f t="array" ref="IK77">IFERROR(ROUND(VALUE(IF($IJ77&lt;1,$IJ77+LARGE((IF($M$9:$M$150="",0,$M$9:$M$150)-MOD(IF($M$9:$M$150="",0,$M$9:$M$150),1)),1),$IJ77)),4),"")</f>
        <v>5.1429999999999998</v>
      </c>
      <c r="IL77" s="482">
        <f t="shared" si="597"/>
        <v>1613</v>
      </c>
      <c r="IM77" s="482" t="str">
        <f t="shared" si="733"/>
        <v>CPS-32193r1</v>
      </c>
      <c r="IN77" s="670">
        <f t="shared" si="598"/>
        <v>19.000414423783297</v>
      </c>
      <c r="IO77" s="702">
        <v>2.6305436827796E-2</v>
      </c>
      <c r="IP77" s="5">
        <f t="shared" si="599"/>
        <v>0.4</v>
      </c>
      <c r="IQ77" s="714">
        <v>360</v>
      </c>
      <c r="IR77" s="9">
        <f t="shared" si="600"/>
        <v>-4.6915141496066752</v>
      </c>
      <c r="IS77" s="5">
        <f t="shared" si="601"/>
        <v>-3.091109322785718</v>
      </c>
      <c r="IT77" s="5">
        <f t="shared" si="602"/>
        <v>0.3125</v>
      </c>
      <c r="IU77" s="5">
        <f t="shared" si="603"/>
        <v>0.27063295049487057</v>
      </c>
      <c r="IV77" s="670">
        <f t="shared" si="604"/>
        <v>84.999987727520178</v>
      </c>
      <c r="IW77" s="9">
        <f t="shared" si="605"/>
        <v>-4.6871636932366263</v>
      </c>
      <c r="IX77" s="5">
        <f t="shared" si="606"/>
        <v>-3.1073236680653533</v>
      </c>
      <c r="IY77" s="5">
        <f t="shared" si="607"/>
        <v>0.255</v>
      </c>
      <c r="IZ77" s="5">
        <f t="shared" si="608"/>
        <v>0.255</v>
      </c>
      <c r="JA77" s="705">
        <f t="shared" si="609"/>
        <v>85.029987723188711</v>
      </c>
    </row>
    <row r="78" spans="1:261" ht="15" customHeight="1" x14ac:dyDescent="0.25">
      <c r="A78" s="75">
        <f t="shared" si="516"/>
        <v>0</v>
      </c>
      <c r="B78" s="578">
        <f t="shared" si="517"/>
        <v>-2.1617739775194926</v>
      </c>
      <c r="C78" s="572">
        <f t="shared" si="518"/>
        <v>1.413009647055693</v>
      </c>
      <c r="D78" s="576">
        <f t="shared" si="519"/>
        <v>-0.17170051784876192</v>
      </c>
      <c r="E78" s="580">
        <f t="shared" si="520"/>
        <v>-0.57586791508508806</v>
      </c>
      <c r="F78" s="572">
        <f t="shared" si="521"/>
        <v>-0.77198406028951916</v>
      </c>
      <c r="G78" s="579">
        <f t="shared" si="522"/>
        <v>0.26910361393794424</v>
      </c>
      <c r="H78" s="580">
        <f t="shared" si="523"/>
        <v>0.3125</v>
      </c>
      <c r="I78" s="572">
        <f t="shared" si="524"/>
        <v>0.52</v>
      </c>
      <c r="J78" s="483">
        <f t="shared" si="525"/>
        <v>6.1120000000000001</v>
      </c>
      <c r="K78" s="806">
        <f t="shared" si="526"/>
        <v>1613</v>
      </c>
      <c r="L78" s="309"/>
      <c r="M78" s="164">
        <f t="shared" si="527"/>
        <v>6.1120000000000001</v>
      </c>
      <c r="N78" s="575">
        <f t="shared" si="528"/>
        <v>-2.1617739775194926</v>
      </c>
      <c r="O78" s="572">
        <f t="shared" si="529"/>
        <v>1.413009647055693</v>
      </c>
      <c r="P78" s="576">
        <f t="shared" si="530"/>
        <v>-0.17170051784876192</v>
      </c>
      <c r="Q78" s="528">
        <f t="shared" si="610"/>
        <v>146.82999179476437</v>
      </c>
      <c r="R78" s="572">
        <f>IF(M78="","",SQRT(N78^2+O78^2))</f>
        <v>2.5826077891450923</v>
      </c>
      <c r="S78" s="577">
        <f>IF(M78="","",P78)</f>
        <v>-0.17170051784876192</v>
      </c>
      <c r="T78" s="578">
        <f>IF(M78="","",X78*COS(RADIANS(W78)))</f>
        <v>1.4096121990892345</v>
      </c>
      <c r="U78" s="572">
        <f>IF(M78="","",X78*SIN(RADIANS(W78)))</f>
        <v>2.1639908596691702</v>
      </c>
      <c r="V78" s="579">
        <f>IF(M78="","",Y78)</f>
        <v>-0.17170051784876192</v>
      </c>
      <c r="W78" s="528">
        <f t="shared" si="253"/>
        <v>56.91999178176998</v>
      </c>
      <c r="X78" s="572">
        <f>IF(M78="","",R78)</f>
        <v>2.5826077891450923</v>
      </c>
      <c r="Y78" s="573">
        <f t="shared" si="734"/>
        <v>-0.17170051784876192</v>
      </c>
      <c r="Z78" s="575">
        <f t="shared" si="531"/>
        <v>0.57586791508508806</v>
      </c>
      <c r="AA78" s="572">
        <f t="shared" si="532"/>
        <v>0.77198406028951916</v>
      </c>
      <c r="AB78" s="572">
        <f t="shared" si="533"/>
        <v>-0.26910361393794424</v>
      </c>
      <c r="AC78" s="579">
        <f>IF(M78="","",SQRT(Z78^2+AA78^2+AB78^2))</f>
        <v>1</v>
      </c>
      <c r="AD78" s="580">
        <f>IF(M78="","",Z78*(1/SQRT(Z78^2+AA78^2+AB78^2)))</f>
        <v>0.57586791508508806</v>
      </c>
      <c r="AE78" s="572">
        <f>IF(M78="","",AA78*(1/SQRT(Z78^2+AA78^2+AB78^2)))</f>
        <v>0.77198406028951916</v>
      </c>
      <c r="AF78" s="576">
        <f>IF(M78="","",AB78*(1/SQRT(Z78^2+AA78^2+AB78^2)))</f>
        <v>-0.26910361393794424</v>
      </c>
      <c r="AG78" s="545">
        <f>IF(M78="","",DEGREES(ATAN2(-AF78,AE78)))</f>
        <v>70.78210888918764</v>
      </c>
      <c r="AH78" s="546">
        <f>IF(M78="","",DEGREES(ACOS(AD78)))</f>
        <v>54.839564498941378</v>
      </c>
      <c r="AI78" s="528">
        <f>IF(M78="","",DEGREES(-ACOS(-AF78)))</f>
        <v>-74.389066370868505</v>
      </c>
      <c r="AJ78" s="529">
        <f>IF(M78="","",DEGREES(ATAN2(-AE78,AD78)))</f>
        <v>143.27859651127017</v>
      </c>
      <c r="AK78" s="578">
        <f>IF(M78="","",(COS(RADIANS((90-$Q$8)-W78))*AD78)+(-SIN(RADIANS((90-$Q$8)-W78))*AE78))</f>
        <v>0.96126170705176639</v>
      </c>
      <c r="AL78" s="572">
        <f>IF(M78="","",(SIN(RADIANS((90-$Q$8)-W78))*AD78)+(COS(RADIANS((90-$Q$8)-W78))*AE78))</f>
        <v>-5.9658826014784172E-2</v>
      </c>
      <c r="AM78" s="577">
        <f>IF(M78="","",AF78)</f>
        <v>-0.26910361393794424</v>
      </c>
      <c r="AN78" s="524">
        <f>IF(M78="","",DEGREES(ATAN2(-AM78,AL78)))</f>
        <v>-12.49999819522351</v>
      </c>
      <c r="AO78" s="525">
        <f t="shared" si="515"/>
        <v>15.999997689886111</v>
      </c>
      <c r="AP78" s="528">
        <f>IF(M78="","",DEGREES(ATAN2(AK78,AL78)))</f>
        <v>-3.5513952834942084</v>
      </c>
      <c r="AQ78" s="529">
        <f t="shared" si="534"/>
        <v>0.58846113659643862</v>
      </c>
      <c r="AS78" s="932">
        <f t="shared" si="633"/>
        <v>-303.08000821823003</v>
      </c>
      <c r="AT78" s="928">
        <f t="shared" si="535"/>
        <v>-3.1344032568560248E-2</v>
      </c>
      <c r="AU78" s="418"/>
      <c r="AV78" s="164">
        <f t="shared" si="536"/>
        <v>6.1120000000000001</v>
      </c>
      <c r="AW78" s="797">
        <f>IFERROR(INDEX(MassProp!C$9:C$150,MATCH($M78,MassProp!$B$9:$B$150,0)),"")</f>
        <v>2.5207000000000002</v>
      </c>
      <c r="AX78" s="744">
        <f>IFERROR(INDEX(MassProp!D$9:D$150,MATCH($M78,MassProp!$B$9:$B$150,0)),"")</f>
        <v>0.26779999999999998</v>
      </c>
      <c r="AY78" s="731">
        <f>IFERROR(INDEX(MassProp!E$9:E$150,MATCH($M78,MassProp!$B$9:$B$150,0)),"")</f>
        <v>3.5200000000000002E-2</v>
      </c>
      <c r="AZ78" s="297">
        <f t="shared" si="634"/>
        <v>0.55752935436540607</v>
      </c>
      <c r="BA78" s="296">
        <f t="shared" si="537"/>
        <v>2.9137700377093994E-2</v>
      </c>
      <c r="BB78" s="177">
        <f t="shared" si="611"/>
        <v>0.13247736590189357</v>
      </c>
      <c r="BC78" s="9"/>
      <c r="BD78" s="5">
        <f t="shared" si="612"/>
        <v>2.5207000000000002</v>
      </c>
      <c r="BE78" s="6">
        <f t="shared" si="538"/>
        <v>-3.9223151946868345E-2</v>
      </c>
      <c r="BF78" s="4">
        <f t="shared" si="539"/>
        <v>-2.1617739775194926</v>
      </c>
      <c r="BG78" s="5">
        <f t="shared" si="540"/>
        <v>1.413009647055693</v>
      </c>
      <c r="BH78" s="10">
        <f t="shared" si="541"/>
        <v>-0.17170051784876192</v>
      </c>
      <c r="BI78" s="9">
        <f t="shared" si="635"/>
        <v>-2.1617739775194926</v>
      </c>
      <c r="BJ78" s="5">
        <f t="shared" si="542"/>
        <v>1.7421711675794833</v>
      </c>
      <c r="BK78" s="8">
        <f t="shared" si="543"/>
        <v>0.77257311484806723</v>
      </c>
      <c r="BL78" s="173">
        <f t="shared" si="544"/>
        <v>-1.3442312297835999</v>
      </c>
      <c r="BM78" s="5">
        <f t="shared" si="545"/>
        <v>0.86923275892474761</v>
      </c>
      <c r="BN78" s="6">
        <f t="shared" si="546"/>
        <v>1.7853040701510697E-2</v>
      </c>
      <c r="BO78" s="4">
        <f t="shared" si="636"/>
        <v>0.57586791508508806</v>
      </c>
      <c r="BP78" s="5">
        <f t="shared" si="735"/>
        <v>0.77198406028951883</v>
      </c>
      <c r="BQ78" s="5">
        <f t="shared" si="637"/>
        <v>-0.26910361393794391</v>
      </c>
      <c r="BR78" s="6">
        <f t="shared" si="638"/>
        <v>0.10787011888891603</v>
      </c>
      <c r="BS78" s="4">
        <f t="shared" si="613"/>
        <v>0</v>
      </c>
      <c r="BT78" s="5">
        <f t="shared" si="613"/>
        <v>0</v>
      </c>
      <c r="BU78" s="10">
        <f t="shared" si="614"/>
        <v>-3.9223151946868345E-2</v>
      </c>
      <c r="BV78" s="9">
        <f t="shared" si="615"/>
        <v>0</v>
      </c>
      <c r="BW78" s="5">
        <f t="shared" si="616"/>
        <v>1</v>
      </c>
      <c r="BX78" s="8">
        <f t="shared" si="617"/>
        <v>-3.9223151946868345E-2</v>
      </c>
      <c r="BY78" s="173">
        <f t="shared" si="618"/>
        <v>1</v>
      </c>
      <c r="BZ78" s="5">
        <f t="shared" si="619"/>
        <v>0</v>
      </c>
      <c r="CA78" s="6">
        <f t="shared" si="620"/>
        <v>-3.9223151946868345E-2</v>
      </c>
      <c r="CB78" s="4">
        <f t="shared" si="639"/>
        <v>0</v>
      </c>
      <c r="CC78" s="5">
        <f t="shared" si="640"/>
        <v>0</v>
      </c>
      <c r="CD78" s="5">
        <f t="shared" si="641"/>
        <v>-1</v>
      </c>
      <c r="CE78" s="6">
        <f t="shared" si="642"/>
        <v>-3.9223151946868345E-2</v>
      </c>
      <c r="CF78" s="4">
        <f t="shared" si="643"/>
        <v>-0.77198406028951883</v>
      </c>
      <c r="CG78" s="5">
        <f t="shared" si="644"/>
        <v>0.57586791508508806</v>
      </c>
      <c r="CH78" s="5">
        <f t="shared" si="645"/>
        <v>0</v>
      </c>
      <c r="CI78" s="4">
        <f t="shared" si="621"/>
        <v>0</v>
      </c>
      <c r="CJ78" s="5">
        <f t="shared" si="622"/>
        <v>-0.15340369953162264</v>
      </c>
      <c r="CK78" s="8">
        <f t="shared" si="623"/>
        <v>-3.9223151946868345E-2</v>
      </c>
      <c r="CL78" s="173">
        <f t="shared" si="624"/>
        <v>-0.77198406028951883</v>
      </c>
      <c r="CM78" s="5">
        <f t="shared" si="625"/>
        <v>0.42246421555346542</v>
      </c>
      <c r="CN78" s="6">
        <f t="shared" si="626"/>
        <v>-3.9223151946868345E-2</v>
      </c>
      <c r="CO78" s="167">
        <f t="shared" si="547"/>
        <v>0.3125</v>
      </c>
      <c r="CP78" s="4">
        <f t="shared" si="646"/>
        <v>0.92758324496553757</v>
      </c>
      <c r="CQ78" s="5">
        <f t="shared" si="647"/>
        <v>-5.1418044813088279</v>
      </c>
      <c r="CR78" s="5">
        <f t="shared" si="648"/>
        <v>7.0468115047236246</v>
      </c>
      <c r="CS78" s="8">
        <f t="shared" si="649"/>
        <v>0.2921361951594541</v>
      </c>
      <c r="CT78" s="9">
        <f t="shared" si="650"/>
        <v>3.0629599882963041</v>
      </c>
      <c r="CU78" s="6">
        <f t="shared" si="651"/>
        <v>2.4802670042307775</v>
      </c>
      <c r="CV78" s="4">
        <f t="shared" si="652"/>
        <v>-2.3645562882693181</v>
      </c>
      <c r="CW78" s="5">
        <f t="shared" si="653"/>
        <v>1.6104566829176157</v>
      </c>
      <c r="CX78" s="8">
        <f t="shared" si="654"/>
        <v>-3.9223151946868345E-2</v>
      </c>
      <c r="CY78" s="9">
        <f t="shared" si="655"/>
        <v>-1.9147265925281969</v>
      </c>
      <c r="CZ78" s="5">
        <f t="shared" si="656"/>
        <v>1.2749024890490925</v>
      </c>
      <c r="DA78" s="6">
        <f t="shared" si="657"/>
        <v>-3.9223151946868345E-2</v>
      </c>
      <c r="DB78" s="4">
        <f t="shared" si="658"/>
        <v>0</v>
      </c>
      <c r="DC78" s="5">
        <f t="shared" si="658"/>
        <v>0</v>
      </c>
      <c r="DD78" s="10">
        <f t="shared" si="659"/>
        <v>-10</v>
      </c>
      <c r="DE78" s="9">
        <f t="shared" si="660"/>
        <v>0</v>
      </c>
      <c r="DF78" s="5">
        <f t="shared" si="660"/>
        <v>0</v>
      </c>
      <c r="DG78" s="10">
        <f t="shared" si="661"/>
        <v>10</v>
      </c>
      <c r="DH78" s="70">
        <f t="shared" si="662"/>
        <v>2.5207000000000002</v>
      </c>
      <c r="DI78" s="4">
        <f t="shared" si="663"/>
        <v>0</v>
      </c>
      <c r="DJ78" s="5">
        <f t="shared" si="664"/>
        <v>0</v>
      </c>
      <c r="DK78" s="10">
        <f t="shared" si="665"/>
        <v>20</v>
      </c>
      <c r="DL78" s="9">
        <f t="shared" si="666"/>
        <v>-2.3645562882693181</v>
      </c>
      <c r="DM78" s="173">
        <f t="shared" si="667"/>
        <v>1.6104566829176157</v>
      </c>
      <c r="DN78" s="178">
        <f t="shared" si="668"/>
        <v>9.9607768480531309</v>
      </c>
      <c r="DO78" s="9">
        <f t="shared" si="669"/>
        <v>0.44982969574112119</v>
      </c>
      <c r="DP78" s="173">
        <f t="shared" si="670"/>
        <v>-0.33555419386852314</v>
      </c>
      <c r="DQ78" s="11">
        <f t="shared" si="671"/>
        <v>0</v>
      </c>
      <c r="DR78" s="173">
        <f t="shared" si="672"/>
        <v>199.21553696106261</v>
      </c>
      <c r="DS78" s="5">
        <f t="shared" si="673"/>
        <v>0</v>
      </c>
      <c r="DT78" s="5">
        <f t="shared" si="674"/>
        <v>400</v>
      </c>
      <c r="DU78" s="5">
        <f t="shared" si="675"/>
        <v>0.31494337219330409</v>
      </c>
      <c r="DV78" s="5">
        <f t="shared" si="676"/>
        <v>-1.6040431297115387</v>
      </c>
      <c r="DW78" s="5">
        <f t="shared" si="677"/>
        <v>107.40177258465926</v>
      </c>
      <c r="DX78" s="167">
        <f t="shared" si="678"/>
        <v>101.04784409465925</v>
      </c>
      <c r="DY78" s="9">
        <f t="shared" si="679"/>
        <v>125.97734887732163</v>
      </c>
      <c r="DZ78" s="5">
        <f t="shared" si="680"/>
        <v>-641.61725188461548</v>
      </c>
      <c r="EA78" s="10">
        <f t="shared" si="681"/>
        <v>732.30747117919964</v>
      </c>
      <c r="EB78" s="6">
        <f t="shared" si="682"/>
        <v>319418.54413375491</v>
      </c>
      <c r="EC78" s="173">
        <f t="shared" si="683"/>
        <v>9.5794086371903742</v>
      </c>
      <c r="ED78" s="5">
        <f t="shared" si="684"/>
        <v>0.60682337360436989</v>
      </c>
      <c r="EE78" s="4">
        <f t="shared" si="685"/>
        <v>1.9445461843778959</v>
      </c>
      <c r="EF78" s="5">
        <f t="shared" si="686"/>
        <v>-1.6039540600719684</v>
      </c>
      <c r="EG78" s="10">
        <f t="shared" si="687"/>
        <v>-3.9223151946868345E-2</v>
      </c>
      <c r="EH78" s="9">
        <f t="shared" si="688"/>
        <v>-2.0915891147522636</v>
      </c>
      <c r="EI78" s="5">
        <f t="shared" si="689"/>
        <v>1.4068345549672236</v>
      </c>
      <c r="EJ78" s="6">
        <f t="shared" si="690"/>
        <v>-3.9223151946868345E-2</v>
      </c>
      <c r="EK78" s="236" t="b">
        <f t="shared" si="691"/>
        <v>0</v>
      </c>
      <c r="EL78" s="238" t="b">
        <f t="shared" si="692"/>
        <v>1</v>
      </c>
      <c r="EM78" s="4">
        <f t="shared" si="693"/>
        <v>-2.0915891147522636</v>
      </c>
      <c r="EN78" s="5">
        <f t="shared" si="694"/>
        <v>1.4068345549672236</v>
      </c>
      <c r="EO78" s="10">
        <f t="shared" si="695"/>
        <v>-3.9223151946868345E-2</v>
      </c>
      <c r="EP78" s="9">
        <f t="shared" si="696"/>
        <v>146.0746249044555</v>
      </c>
      <c r="EQ78" s="5">
        <f t="shared" si="697"/>
        <v>2.5206999999999966</v>
      </c>
      <c r="ER78" s="7">
        <f t="shared" si="698"/>
        <v>-3.9223151946868345E-2</v>
      </c>
      <c r="ES78" s="21">
        <f t="shared" si="548"/>
        <v>0.57586791508508806</v>
      </c>
      <c r="ET78" s="5">
        <f t="shared" si="549"/>
        <v>0.77198406028951916</v>
      </c>
      <c r="EU78" s="10">
        <f t="shared" si="550"/>
        <v>-0.26910361393794424</v>
      </c>
      <c r="EV78" s="174">
        <f t="shared" si="551"/>
        <v>303.9253750955445</v>
      </c>
      <c r="EW78" s="9">
        <f t="shared" si="552"/>
        <v>0.96196466826772298</v>
      </c>
      <c r="EX78" s="5">
        <f t="shared" si="553"/>
        <v>-4.6981080980622258E-2</v>
      </c>
      <c r="EY78" s="6">
        <f t="shared" si="699"/>
        <v>-0.26910361393794424</v>
      </c>
      <c r="EZ78" s="51">
        <f t="shared" si="700"/>
        <v>0.60291254730658206</v>
      </c>
      <c r="FA78" s="173">
        <f t="shared" si="554"/>
        <v>0.55808174976603164</v>
      </c>
      <c r="FB78" s="5">
        <f t="shared" si="555"/>
        <v>0.82971925080396047</v>
      </c>
      <c r="FC78" s="6">
        <f t="shared" si="556"/>
        <v>-1.0522614855578793E-2</v>
      </c>
      <c r="FD78" s="4">
        <f t="shared" si="557"/>
        <v>0.99994463575570069</v>
      </c>
      <c r="FE78" s="5">
        <f t="shared" si="558"/>
        <v>1.1102230246251565E-16</v>
      </c>
      <c r="FF78" s="7">
        <f t="shared" si="701"/>
        <v>-1.0522614855578793E-2</v>
      </c>
      <c r="FG78" s="173">
        <f t="shared" si="559"/>
        <v>-3.7979967487977717E-2</v>
      </c>
      <c r="FH78" s="5">
        <f t="shared" si="560"/>
        <v>-4.6981080980622369E-2</v>
      </c>
      <c r="FI78" s="10">
        <f t="shared" si="561"/>
        <v>-0.25858099908236543</v>
      </c>
      <c r="FJ78" s="279">
        <f t="shared" si="702"/>
        <v>15.259633846534109</v>
      </c>
      <c r="FK78" s="4">
        <f t="shared" si="562"/>
        <v>0.96311123187591274</v>
      </c>
      <c r="FL78" s="5">
        <f t="shared" si="627"/>
        <v>0.99994463575570069</v>
      </c>
      <c r="FM78" s="8">
        <f t="shared" si="628"/>
        <v>6.0412746175750376E-2</v>
      </c>
      <c r="FN78" s="9">
        <f t="shared" si="629"/>
        <v>2.7960283931854728</v>
      </c>
      <c r="FO78" s="10">
        <f t="shared" si="563"/>
        <v>1</v>
      </c>
      <c r="FP78" s="277">
        <f t="shared" si="630"/>
        <v>2.7960283931854728</v>
      </c>
      <c r="FQ78" s="173">
        <f t="shared" si="703"/>
        <v>4.8780534818513389E-2</v>
      </c>
      <c r="FR78" s="10">
        <f t="shared" si="704"/>
        <v>0.99880952109139398</v>
      </c>
      <c r="FS78" s="9">
        <f t="shared" si="705"/>
        <v>4.6564526403550084E-2</v>
      </c>
      <c r="FT78" s="6">
        <f t="shared" si="706"/>
        <v>0.95343547359644987</v>
      </c>
      <c r="FU78" s="4">
        <f t="shared" si="707"/>
        <v>0.99889577936333895</v>
      </c>
      <c r="FV78" s="5">
        <f t="shared" si="708"/>
        <v>0.99999999999999989</v>
      </c>
      <c r="FW78" s="8">
        <f t="shared" si="709"/>
        <v>0.26135533477781187</v>
      </c>
      <c r="FX78" s="9">
        <f t="shared" si="710"/>
        <v>15.025718916939013</v>
      </c>
      <c r="FY78" s="10">
        <f t="shared" si="564"/>
        <v>1</v>
      </c>
      <c r="FZ78" s="277">
        <f t="shared" si="711"/>
        <v>15.025718916939013</v>
      </c>
      <c r="GA78" s="177">
        <f t="shared" si="712"/>
        <v>15.008366894569582</v>
      </c>
      <c r="GB78" s="4">
        <f t="shared" si="713"/>
        <v>-4.7112706398564692E-2</v>
      </c>
      <c r="GC78" s="5">
        <f t="shared" si="714"/>
        <v>0.96465977444369444</v>
      </c>
      <c r="GD78" s="10">
        <f t="shared" si="715"/>
        <v>-0.25925260358585223</v>
      </c>
      <c r="GE78" s="311">
        <f t="shared" si="716"/>
        <v>1.2710250844281115</v>
      </c>
      <c r="GF78" s="341">
        <f t="shared" si="717"/>
        <v>0.78676653376195382</v>
      </c>
      <c r="GG78" s="285">
        <f t="shared" si="565"/>
        <v>3.706670070934337E-2</v>
      </c>
      <c r="GH78" s="286">
        <f t="shared" si="566"/>
        <v>0.75896202699865367</v>
      </c>
      <c r="GI78" s="281">
        <f t="shared" si="567"/>
        <v>0.20397127229200285</v>
      </c>
      <c r="GJ78" s="167">
        <f t="shared" si="718"/>
        <v>2.5207000000000002</v>
      </c>
      <c r="GK78" s="174">
        <f t="shared" si="568"/>
        <v>1.3199085093877982</v>
      </c>
      <c r="GL78" s="174">
        <f t="shared" si="719"/>
        <v>3.5200000000000002E-2</v>
      </c>
      <c r="GM78" s="177">
        <f t="shared" si="720"/>
        <v>0.55752935436540607</v>
      </c>
      <c r="GN78" s="280">
        <f t="shared" si="721"/>
        <v>2.9137700377093994E-2</v>
      </c>
      <c r="GO78" s="4">
        <f t="shared" si="722"/>
        <v>2.7960283931854728</v>
      </c>
      <c r="GP78" s="8">
        <f t="shared" si="723"/>
        <v>15.025718916939013</v>
      </c>
      <c r="GQ78" s="177">
        <f t="shared" si="724"/>
        <v>15.259633846534109</v>
      </c>
      <c r="GR78" s="371">
        <f t="shared" si="725"/>
        <v>1805.878222351065</v>
      </c>
      <c r="GS78" s="342">
        <f t="shared" si="569"/>
        <v>66.937947585407969</v>
      </c>
      <c r="GT78" s="343">
        <f t="shared" si="570"/>
        <v>50.714081399820067</v>
      </c>
      <c r="GU78" s="344">
        <f t="shared" si="571"/>
        <v>1370.5929961482898</v>
      </c>
      <c r="GV78" s="343">
        <f t="shared" si="726"/>
        <v>1038.4000000000001</v>
      </c>
      <c r="GW78" s="345">
        <f t="shared" si="572"/>
        <v>29500</v>
      </c>
      <c r="GX78" s="346">
        <f t="shared" si="573"/>
        <v>218.12457333333336</v>
      </c>
      <c r="GY78" s="344">
        <f t="shared" si="574"/>
        <v>368.34727861736718</v>
      </c>
      <c r="GZ78" s="345">
        <f t="shared" si="575"/>
        <v>279.07031131136091</v>
      </c>
      <c r="HA78" s="342">
        <f t="shared" si="576"/>
        <v>66.937947585407969</v>
      </c>
      <c r="HB78" s="5">
        <f t="shared" si="727"/>
        <v>303.9253750955445</v>
      </c>
      <c r="HC78" s="343">
        <f t="shared" si="728"/>
        <v>37.358915262322739</v>
      </c>
      <c r="HD78" s="363">
        <f t="shared" si="729"/>
        <v>-55.542778804894283</v>
      </c>
      <c r="HE78" s="344">
        <f t="shared" si="577"/>
        <v>1038.4000000000001</v>
      </c>
      <c r="HF78" s="5">
        <f t="shared" si="578"/>
        <v>393.9253750955445</v>
      </c>
      <c r="HG78" s="343">
        <f t="shared" si="730"/>
        <v>861.62817342752135</v>
      </c>
      <c r="HH78" s="349">
        <f t="shared" si="731"/>
        <v>579.5441749823334</v>
      </c>
      <c r="HI78" s="317">
        <f t="shared" si="579"/>
        <v>6.1120000000000001</v>
      </c>
      <c r="HK78" s="310" t="str">
        <f t="shared" si="631"/>
        <v/>
      </c>
      <c r="HL78" s="348" t="str">
        <f t="shared" si="580"/>
        <v/>
      </c>
      <c r="HM78" s="909" t="str">
        <f t="shared" si="581"/>
        <v/>
      </c>
      <c r="HN78" s="910" t="str">
        <f t="shared" si="582"/>
        <v/>
      </c>
      <c r="HO78" s="911"/>
      <c r="HP78" s="912"/>
      <c r="HQ78" s="910" t="str">
        <f t="shared" si="583"/>
        <v/>
      </c>
      <c r="HR78" s="913" t="str">
        <f t="shared" si="584"/>
        <v/>
      </c>
      <c r="HS78" s="865" t="str">
        <f t="shared" si="632"/>
        <v/>
      </c>
      <c r="HT78" s="875" t="str">
        <f t="shared" si="585"/>
        <v/>
      </c>
      <c r="HU78" s="876" t="str">
        <f t="shared" si="586"/>
        <v/>
      </c>
      <c r="HV78" s="872" t="str">
        <f t="shared" si="587"/>
        <v/>
      </c>
      <c r="HW78" s="866" t="str">
        <f t="shared" si="588"/>
        <v/>
      </c>
      <c r="HX78" s="867" t="str">
        <f t="shared" si="589"/>
        <v/>
      </c>
      <c r="HY78" s="866" t="str">
        <f t="shared" si="590"/>
        <v/>
      </c>
      <c r="HZ78" s="868" t="str">
        <f t="shared" si="591"/>
        <v/>
      </c>
      <c r="IA78" s="869" t="str">
        <f t="shared" si="592"/>
        <v/>
      </c>
      <c r="IB78" s="870" t="str">
        <f t="shared" si="593"/>
        <v/>
      </c>
      <c r="IC78" s="841" t="str">
        <f t="shared" si="594"/>
        <v/>
      </c>
      <c r="ID78" s="351" t="str">
        <f t="shared" si="595"/>
        <v/>
      </c>
      <c r="IE78" s="843" t="str">
        <f t="shared" si="596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2"/>
        <v>6.1120000000000001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7"/>
        <v>1613</v>
      </c>
      <c r="IM78" s="482" t="str">
        <f t="shared" si="733"/>
        <v/>
      </c>
      <c r="IN78" s="670" t="str">
        <f t="shared" si="598"/>
        <v/>
      </c>
      <c r="IO78" s="702">
        <v>2.40725916634844E-2</v>
      </c>
      <c r="IP78" s="5" t="str">
        <f t="shared" si="599"/>
        <v/>
      </c>
      <c r="IQ78" s="714">
        <v>430</v>
      </c>
      <c r="IR78" s="9" t="str">
        <f t="shared" si="600"/>
        <v/>
      </c>
      <c r="IS78" s="5" t="str">
        <f t="shared" si="601"/>
        <v/>
      </c>
      <c r="IT78" s="5" t="str">
        <f t="shared" si="602"/>
        <v/>
      </c>
      <c r="IU78" s="5" t="str">
        <f t="shared" si="603"/>
        <v/>
      </c>
      <c r="IV78" s="670" t="str">
        <f t="shared" si="604"/>
        <v/>
      </c>
      <c r="IW78" s="9" t="str">
        <f t="shared" si="605"/>
        <v/>
      </c>
      <c r="IX78" s="5" t="str">
        <f t="shared" si="606"/>
        <v/>
      </c>
      <c r="IY78" s="5" t="str">
        <f t="shared" si="607"/>
        <v/>
      </c>
      <c r="IZ78" s="5" t="str">
        <f t="shared" si="608"/>
        <v/>
      </c>
      <c r="JA78" s="705" t="str">
        <f t="shared" si="609"/>
        <v/>
      </c>
    </row>
    <row r="79" spans="1:261" ht="15" customHeight="1" x14ac:dyDescent="0.25">
      <c r="A79" s="75">
        <f t="shared" si="516"/>
        <v>0</v>
      </c>
      <c r="B79" s="578">
        <f t="shared" si="517"/>
        <v>-2.733345284140098</v>
      </c>
      <c r="C79" s="572">
        <f t="shared" si="518"/>
        <v>1.8332720301617103</v>
      </c>
      <c r="D79" s="576">
        <f t="shared" si="519"/>
        <v>-0.40700122751570206</v>
      </c>
      <c r="E79" s="580">
        <f t="shared" si="520"/>
        <v>-0.64522624332815559</v>
      </c>
      <c r="F79" s="572">
        <f t="shared" si="521"/>
        <v>-0.71798549798102596</v>
      </c>
      <c r="G79" s="579">
        <f t="shared" si="522"/>
        <v>0.26111284841917282</v>
      </c>
      <c r="H79" s="580">
        <f t="shared" si="523"/>
        <v>0.3125</v>
      </c>
      <c r="I79" s="572">
        <f t="shared" si="524"/>
        <v>0.52</v>
      </c>
      <c r="J79" s="483">
        <f t="shared" si="525"/>
        <v>6.1180000000000003</v>
      </c>
      <c r="K79" s="806">
        <f t="shared" si="526"/>
        <v>1613</v>
      </c>
      <c r="L79" s="309"/>
      <c r="M79" s="164">
        <f t="shared" si="527"/>
        <v>6.1180000000000003</v>
      </c>
      <c r="N79" s="575">
        <f t="shared" si="528"/>
        <v>-2.733345284140098</v>
      </c>
      <c r="O79" s="572">
        <f t="shared" si="529"/>
        <v>1.8332720301617103</v>
      </c>
      <c r="P79" s="576">
        <f t="shared" si="530"/>
        <v>-0.40700122751570206</v>
      </c>
      <c r="Q79" s="528">
        <f t="shared" si="610"/>
        <v>146.14999189294423</v>
      </c>
      <c r="R79" s="572">
        <f>IF(M79="","",SQRT(N79^2+O79^2))</f>
        <v>3.2912099262891377</v>
      </c>
      <c r="S79" s="577">
        <f>IF(M79="","",P79)</f>
        <v>-0.40700122751570206</v>
      </c>
      <c r="T79" s="578">
        <f>IF(M79="","",X79*COS(RADIANS(W79)))</f>
        <v>1.8289762421074769</v>
      </c>
      <c r="U79" s="572">
        <f>IF(M79="","",X79*SIN(RADIANS(W79)))</f>
        <v>2.7362216073831744</v>
      </c>
      <c r="V79" s="579">
        <f>IF(M79="","",Y79)</f>
        <v>-0.40700122751570206</v>
      </c>
      <c r="W79" s="528">
        <f t="shared" ref="W79:W129" si="736">IF(M79="","",IF(Q79-$Q$8&lt;0,360+Q79-$Q$8,Q79-$Q$8))</f>
        <v>56.239991879949841</v>
      </c>
      <c r="X79" s="572">
        <f>IF(M79="","",R79)</f>
        <v>3.2912099262891377</v>
      </c>
      <c r="Y79" s="573">
        <f t="shared" si="734"/>
        <v>-0.40700122751570206</v>
      </c>
      <c r="Z79" s="575">
        <f t="shared" si="531"/>
        <v>0.64522624332815559</v>
      </c>
      <c r="AA79" s="572">
        <f t="shared" si="532"/>
        <v>0.71798549798102596</v>
      </c>
      <c r="AB79" s="572">
        <f t="shared" si="533"/>
        <v>-0.26111284841917282</v>
      </c>
      <c r="AC79" s="579">
        <f>IF(M79="","",SQRT(Z79^2+AA79^2+AB79^2))</f>
        <v>1</v>
      </c>
      <c r="AD79" s="580">
        <f>IF(M79="","",Z79*(1/SQRT(Z79^2+AA79^2+AB79^2)))</f>
        <v>0.64522624332815559</v>
      </c>
      <c r="AE79" s="572">
        <f>IF(M79="","",AA79*(1/SQRT(Z79^2+AA79^2+AB79^2)))</f>
        <v>0.71798549798102596</v>
      </c>
      <c r="AF79" s="576">
        <f>IF(M79="","",AB79*(1/SQRT(Z79^2+AA79^2+AB79^2)))</f>
        <v>-0.26111284841917282</v>
      </c>
      <c r="AG79" s="545">
        <f>IF(M79="","",DEGREES(ATAN2(-AF79,AE79)))</f>
        <v>70.014975518115023</v>
      </c>
      <c r="AH79" s="546">
        <f>IF(M79="","",DEGREES(ACOS(AD79)))</f>
        <v>49.817359464258473</v>
      </c>
      <c r="AI79" s="528">
        <f>IF(M79="","",DEGREES(-ACOS(-AF79)))</f>
        <v>-74.863895126258313</v>
      </c>
      <c r="AJ79" s="529">
        <f>IF(M79="","",DEGREES(ATAN2(-AE79,AD79)))</f>
        <v>138.05517203083855</v>
      </c>
      <c r="AK79" s="578">
        <f>IF(M79="","",(COS(RADIANS((90-$Q$8)-W79))*AD79)+(-SIN(RADIANS((90-$Q$8)-W79))*AE79))</f>
        <v>0.95569032983370761</v>
      </c>
      <c r="AL79" s="572">
        <f>IF(M79="","",(SIN(RADIANS((90-$Q$8)-W79))*AD79)+(COS(RADIANS((90-$Q$8)-W79))*AE79))</f>
        <v>-0.13592672236453451</v>
      </c>
      <c r="AM79" s="577">
        <f>IF(M79="","",AF79)</f>
        <v>-0.26111284841917282</v>
      </c>
      <c r="AN79" s="524">
        <f>IF(M79="","",DEGREES(ATAN2(-AM79,AL79)))</f>
        <v>-27.499996029491861</v>
      </c>
      <c r="AO79" s="525">
        <f t="shared" si="515"/>
        <v>17.119997528178182</v>
      </c>
      <c r="AP79" s="528">
        <f>IF(M79="","",DEGREES(ATAN2(AK79,AL79)))</f>
        <v>-8.094819862105691</v>
      </c>
      <c r="AQ79" s="529">
        <f t="shared" si="534"/>
        <v>0.46177086308875331</v>
      </c>
      <c r="AS79" s="932">
        <f t="shared" si="633"/>
        <v>-303.76000812005014</v>
      </c>
      <c r="AT79" s="928">
        <f t="shared" si="535"/>
        <v>-0.2663299274661392</v>
      </c>
      <c r="AU79" s="418"/>
      <c r="AV79" s="164">
        <f t="shared" si="536"/>
        <v>6.1180000000000003</v>
      </c>
      <c r="AW79" s="797">
        <f>IFERROR(INDEX(MassProp!C$9:C$150,MATCH($M79,MassProp!$B$9:$B$150,0)),"")</f>
        <v>3.3212999999999999</v>
      </c>
      <c r="AX79" s="744">
        <f>IFERROR(INDEX(MassProp!D$9:D$150,MATCH($M79,MassProp!$B$9:$B$150,0)),"")</f>
        <v>0.29099999999999998</v>
      </c>
      <c r="AY79" s="731">
        <f>IFERROR(INDEX(MassProp!E$9:E$150,MATCH($M79,MassProp!$B$9:$B$150,0)),"")</f>
        <v>3.2000000000000001E-2</v>
      </c>
      <c r="AZ79" s="297">
        <f t="shared" si="634"/>
        <v>0.66780828474714027</v>
      </c>
      <c r="BA79" s="296">
        <f t="shared" si="537"/>
        <v>3.4901117865715391E-2</v>
      </c>
      <c r="BB79" s="177">
        <f t="shared" si="611"/>
        <v>0.39066326079947256</v>
      </c>
      <c r="BC79" s="9"/>
      <c r="BD79" s="5">
        <f t="shared" si="612"/>
        <v>3.3212999999999999</v>
      </c>
      <c r="BE79" s="6">
        <f t="shared" si="538"/>
        <v>-1.6337966716229502E-2</v>
      </c>
      <c r="BF79" s="4">
        <f t="shared" si="539"/>
        <v>-2.733345284140098</v>
      </c>
      <c r="BG79" s="5">
        <f t="shared" si="540"/>
        <v>1.8332720301617103</v>
      </c>
      <c r="BH79" s="10">
        <f t="shared" si="541"/>
        <v>-0.40700122751570206</v>
      </c>
      <c r="BI79" s="9">
        <f t="shared" si="635"/>
        <v>-2.733345284140098</v>
      </c>
      <c r="BJ79" s="5">
        <f t="shared" si="542"/>
        <v>2.1750465523755076</v>
      </c>
      <c r="BK79" s="8">
        <f t="shared" si="543"/>
        <v>0.53278075569398409</v>
      </c>
      <c r="BL79" s="173">
        <f t="shared" si="544"/>
        <v>-1.9693537299193491</v>
      </c>
      <c r="BM79" s="5">
        <f t="shared" si="545"/>
        <v>1.2269000315878404</v>
      </c>
      <c r="BN79" s="6">
        <f t="shared" si="546"/>
        <v>-0.18647933648241841</v>
      </c>
      <c r="BO79" s="4">
        <f t="shared" si="636"/>
        <v>0.64522624332815615</v>
      </c>
      <c r="BP79" s="5">
        <f t="shared" si="735"/>
        <v>0.71798549798102607</v>
      </c>
      <c r="BQ79" s="5">
        <f t="shared" si="637"/>
        <v>-0.26111284841917293</v>
      </c>
      <c r="BR79" s="6">
        <f t="shared" si="638"/>
        <v>0.34109012806738004</v>
      </c>
      <c r="BS79" s="4">
        <f t="shared" si="613"/>
        <v>0</v>
      </c>
      <c r="BT79" s="5">
        <f t="shared" si="613"/>
        <v>0</v>
      </c>
      <c r="BU79" s="10">
        <f t="shared" si="614"/>
        <v>-1.6337966716229502E-2</v>
      </c>
      <c r="BV79" s="9">
        <f t="shared" si="615"/>
        <v>0</v>
      </c>
      <c r="BW79" s="5">
        <f t="shared" si="616"/>
        <v>1</v>
      </c>
      <c r="BX79" s="8">
        <f t="shared" si="617"/>
        <v>-1.6337966716229502E-2</v>
      </c>
      <c r="BY79" s="173">
        <f t="shared" si="618"/>
        <v>1</v>
      </c>
      <c r="BZ79" s="5">
        <f t="shared" si="619"/>
        <v>0</v>
      </c>
      <c r="CA79" s="6">
        <f t="shared" si="620"/>
        <v>-1.6337966716229502E-2</v>
      </c>
      <c r="CB79" s="4">
        <f t="shared" si="639"/>
        <v>0</v>
      </c>
      <c r="CC79" s="5">
        <f t="shared" si="640"/>
        <v>0</v>
      </c>
      <c r="CD79" s="5">
        <f t="shared" si="641"/>
        <v>-1</v>
      </c>
      <c r="CE79" s="6">
        <f t="shared" si="642"/>
        <v>-1.6337966716229502E-2</v>
      </c>
      <c r="CF79" s="4">
        <f t="shared" si="643"/>
        <v>-0.71798549798102607</v>
      </c>
      <c r="CG79" s="5">
        <f t="shared" si="644"/>
        <v>0.64522624332815615</v>
      </c>
      <c r="CH79" s="5">
        <f t="shared" si="645"/>
        <v>0</v>
      </c>
      <c r="CI79" s="4">
        <f t="shared" si="621"/>
        <v>0</v>
      </c>
      <c r="CJ79" s="5">
        <f t="shared" si="622"/>
        <v>-0.48100718199068554</v>
      </c>
      <c r="CK79" s="8">
        <f t="shared" si="623"/>
        <v>-1.6337966716229502E-2</v>
      </c>
      <c r="CL79" s="173">
        <f t="shared" si="624"/>
        <v>-0.71798549798102607</v>
      </c>
      <c r="CM79" s="5">
        <f t="shared" si="625"/>
        <v>0.16421906133747061</v>
      </c>
      <c r="CN79" s="6">
        <f t="shared" si="626"/>
        <v>-1.6337966716229502E-2</v>
      </c>
      <c r="CO79" s="167">
        <f t="shared" si="547"/>
        <v>0.3125</v>
      </c>
      <c r="CP79" s="4">
        <f t="shared" si="646"/>
        <v>0.93182008039042685</v>
      </c>
      <c r="CQ79" s="5">
        <f t="shared" si="647"/>
        <v>-6.9114719141139052</v>
      </c>
      <c r="CR79" s="5">
        <f t="shared" si="648"/>
        <v>12.882026247470105</v>
      </c>
      <c r="CS79" s="8">
        <f t="shared" si="649"/>
        <v>-0.24647891445139436</v>
      </c>
      <c r="CT79" s="9" t="e">
        <f t="shared" si="650"/>
        <v>#NUM!</v>
      </c>
      <c r="CU79" s="6" t="e">
        <f t="shared" si="651"/>
        <v>#NUM!</v>
      </c>
      <c r="CV79" s="4" t="e">
        <f t="shared" si="652"/>
        <v>#NUM!</v>
      </c>
      <c r="CW79" s="5" t="e">
        <f t="shared" si="653"/>
        <v>#NUM!</v>
      </c>
      <c r="CX79" s="8" t="e">
        <f t="shared" si="654"/>
        <v>#NUM!</v>
      </c>
      <c r="CY79" s="9" t="e">
        <f t="shared" si="655"/>
        <v>#NUM!</v>
      </c>
      <c r="CZ79" s="5" t="e">
        <f t="shared" si="656"/>
        <v>#NUM!</v>
      </c>
      <c r="DA79" s="6" t="e">
        <f t="shared" si="657"/>
        <v>#NUM!</v>
      </c>
      <c r="DB79" s="4">
        <f t="shared" si="658"/>
        <v>0</v>
      </c>
      <c r="DC79" s="5">
        <f t="shared" si="658"/>
        <v>0</v>
      </c>
      <c r="DD79" s="10">
        <f t="shared" si="659"/>
        <v>-10</v>
      </c>
      <c r="DE79" s="9">
        <f t="shared" si="660"/>
        <v>0</v>
      </c>
      <c r="DF79" s="5">
        <f t="shared" si="660"/>
        <v>0</v>
      </c>
      <c r="DG79" s="10">
        <f t="shared" si="661"/>
        <v>10</v>
      </c>
      <c r="DH79" s="70">
        <f t="shared" si="662"/>
        <v>3.3212999999999999</v>
      </c>
      <c r="DI79" s="4">
        <f t="shared" si="663"/>
        <v>0</v>
      </c>
      <c r="DJ79" s="5">
        <f t="shared" si="664"/>
        <v>0</v>
      </c>
      <c r="DK79" s="10">
        <f t="shared" si="665"/>
        <v>20</v>
      </c>
      <c r="DL79" s="9" t="e">
        <f t="shared" si="666"/>
        <v>#NUM!</v>
      </c>
      <c r="DM79" s="173" t="e">
        <f t="shared" si="667"/>
        <v>#NUM!</v>
      </c>
      <c r="DN79" s="178" t="e">
        <f t="shared" si="668"/>
        <v>#NUM!</v>
      </c>
      <c r="DO79" s="9" t="e">
        <f t="shared" si="669"/>
        <v>#NUM!</v>
      </c>
      <c r="DP79" s="173" t="e">
        <f t="shared" si="670"/>
        <v>#NUM!</v>
      </c>
      <c r="DQ79" s="11" t="e">
        <f t="shared" si="671"/>
        <v>#NUM!</v>
      </c>
      <c r="DR79" s="173" t="e">
        <f t="shared" si="672"/>
        <v>#NUM!</v>
      </c>
      <c r="DS79" s="5" t="e">
        <f t="shared" si="673"/>
        <v>#NUM!</v>
      </c>
      <c r="DT79" s="5">
        <f t="shared" si="674"/>
        <v>400</v>
      </c>
      <c r="DU79" s="5" t="e">
        <f t="shared" si="675"/>
        <v>#NUM!</v>
      </c>
      <c r="DV79" s="5" t="e">
        <f t="shared" si="676"/>
        <v>#NUM!</v>
      </c>
      <c r="DW79" s="5" t="e">
        <f t="shared" si="677"/>
        <v>#NUM!</v>
      </c>
      <c r="DX79" s="167" t="e">
        <f t="shared" si="678"/>
        <v>#NUM!</v>
      </c>
      <c r="DY79" s="9" t="e">
        <f t="shared" si="679"/>
        <v>#NUM!</v>
      </c>
      <c r="DZ79" s="5" t="e">
        <f t="shared" si="680"/>
        <v>#NUM!</v>
      </c>
      <c r="EA79" s="10" t="e">
        <f t="shared" si="681"/>
        <v>#NUM!</v>
      </c>
      <c r="EB79" s="6" t="e">
        <f t="shared" si="682"/>
        <v>#NUM!</v>
      </c>
      <c r="EC79" s="173" t="e">
        <f t="shared" si="683"/>
        <v>#NUM!</v>
      </c>
      <c r="ED79" s="5" t="e">
        <f t="shared" si="684"/>
        <v>#NUM!</v>
      </c>
      <c r="EE79" s="4" t="e">
        <f t="shared" si="685"/>
        <v>#NUM!</v>
      </c>
      <c r="EF79" s="5" t="e">
        <f t="shared" si="686"/>
        <v>#NUM!</v>
      </c>
      <c r="EG79" s="10" t="e">
        <f t="shared" si="687"/>
        <v>#NUM!</v>
      </c>
      <c r="EH79" s="9" t="e">
        <f t="shared" si="688"/>
        <v>#NUM!</v>
      </c>
      <c r="EI79" s="5" t="e">
        <f t="shared" si="689"/>
        <v>#NUM!</v>
      </c>
      <c r="EJ79" s="6" t="e">
        <f t="shared" si="690"/>
        <v>#NUM!</v>
      </c>
      <c r="EK79" s="236" t="e">
        <f t="shared" si="691"/>
        <v>#NUM!</v>
      </c>
      <c r="EL79" s="238" t="e">
        <f t="shared" si="692"/>
        <v>#NUM!</v>
      </c>
      <c r="EM79" s="4" t="e">
        <f t="shared" si="693"/>
        <v>#NUM!</v>
      </c>
      <c r="EN79" s="5" t="e">
        <f t="shared" si="694"/>
        <v>#NUM!</v>
      </c>
      <c r="EO79" s="10" t="e">
        <f t="shared" si="695"/>
        <v>#NUM!</v>
      </c>
      <c r="EP79" s="9" t="e">
        <f t="shared" si="696"/>
        <v>#NUM!</v>
      </c>
      <c r="EQ79" s="5" t="e">
        <f t="shared" si="697"/>
        <v>#NUM!</v>
      </c>
      <c r="ER79" s="7" t="e">
        <f t="shared" si="698"/>
        <v>#NUM!</v>
      </c>
      <c r="ES79" s="21">
        <f t="shared" si="548"/>
        <v>0.64522624332815559</v>
      </c>
      <c r="ET79" s="5">
        <f t="shared" si="549"/>
        <v>0.71798549798102596</v>
      </c>
      <c r="EU79" s="10">
        <f t="shared" si="550"/>
        <v>-0.26111284841917282</v>
      </c>
      <c r="EV79" s="174" t="e">
        <f t="shared" si="551"/>
        <v>#NUM!</v>
      </c>
      <c r="EW79" s="9" t="e">
        <f t="shared" si="552"/>
        <v>#NUM!</v>
      </c>
      <c r="EX79" s="5" t="e">
        <f t="shared" si="553"/>
        <v>#NUM!</v>
      </c>
      <c r="EY79" s="6">
        <f t="shared" si="699"/>
        <v>-0.26111284841917282</v>
      </c>
      <c r="EZ79" s="51" t="e">
        <f t="shared" si="700"/>
        <v>#NUM!</v>
      </c>
      <c r="FA79" s="173" t="e">
        <f t="shared" si="554"/>
        <v>#NUM!</v>
      </c>
      <c r="FB79" s="5" t="e">
        <f t="shared" si="555"/>
        <v>#NUM!</v>
      </c>
      <c r="FC79" s="6" t="e">
        <f t="shared" si="556"/>
        <v>#NUM!</v>
      </c>
      <c r="FD79" s="4" t="e">
        <f t="shared" si="557"/>
        <v>#NUM!</v>
      </c>
      <c r="FE79" s="5" t="e">
        <f t="shared" si="558"/>
        <v>#NUM!</v>
      </c>
      <c r="FF79" s="7" t="e">
        <f t="shared" si="701"/>
        <v>#NUM!</v>
      </c>
      <c r="FG79" s="173" t="e">
        <f t="shared" si="559"/>
        <v>#NUM!</v>
      </c>
      <c r="FH79" s="5" t="e">
        <f t="shared" si="560"/>
        <v>#NUM!</v>
      </c>
      <c r="FI79" s="10" t="e">
        <f t="shared" si="561"/>
        <v>#NUM!</v>
      </c>
      <c r="FJ79" s="279" t="e">
        <f t="shared" si="702"/>
        <v>#NUM!</v>
      </c>
      <c r="FK79" s="4">
        <f t="shared" si="562"/>
        <v>0.96530828256595114</v>
      </c>
      <c r="FL79" s="5" t="e">
        <f t="shared" si="627"/>
        <v>#NUM!</v>
      </c>
      <c r="FM79" s="8" t="e">
        <f t="shared" si="628"/>
        <v>#NUM!</v>
      </c>
      <c r="FN79" s="9" t="e">
        <f t="shared" si="629"/>
        <v>#NUM!</v>
      </c>
      <c r="FO79" s="10" t="e">
        <f t="shared" si="563"/>
        <v>#NUM!</v>
      </c>
      <c r="FP79" s="277" t="e">
        <f t="shared" si="630"/>
        <v>#NUM!</v>
      </c>
      <c r="FQ79" s="173" t="e">
        <f t="shared" si="703"/>
        <v>#NUM!</v>
      </c>
      <c r="FR79" s="10" t="e">
        <f t="shared" si="704"/>
        <v>#NUM!</v>
      </c>
      <c r="FS79" s="9" t="e">
        <f t="shared" si="705"/>
        <v>#NUM!</v>
      </c>
      <c r="FT79" s="6" t="e">
        <f t="shared" si="706"/>
        <v>#NUM!</v>
      </c>
      <c r="FU79" s="4" t="e">
        <f t="shared" si="707"/>
        <v>#NUM!</v>
      </c>
      <c r="FV79" s="5" t="e">
        <f t="shared" si="708"/>
        <v>#NUM!</v>
      </c>
      <c r="FW79" s="8" t="e">
        <f t="shared" si="709"/>
        <v>#NUM!</v>
      </c>
      <c r="FX79" s="9" t="e">
        <f t="shared" si="710"/>
        <v>#NUM!</v>
      </c>
      <c r="FY79" s="10" t="e">
        <f t="shared" si="564"/>
        <v>#NUM!</v>
      </c>
      <c r="FZ79" s="277" t="e">
        <f t="shared" si="711"/>
        <v>#NUM!</v>
      </c>
      <c r="GA79" s="177" t="e">
        <f t="shared" si="712"/>
        <v>#NUM!</v>
      </c>
      <c r="GB79" s="4" t="e">
        <f t="shared" si="713"/>
        <v>#NUM!</v>
      </c>
      <c r="GC79" s="5" t="e">
        <f t="shared" si="714"/>
        <v>#NUM!</v>
      </c>
      <c r="GD79" s="10" t="e">
        <f t="shared" si="715"/>
        <v>#NUM!</v>
      </c>
      <c r="GE79" s="311" t="e">
        <f t="shared" si="716"/>
        <v>#NUM!</v>
      </c>
      <c r="GF79" s="341" t="e">
        <f t="shared" si="717"/>
        <v>#NUM!</v>
      </c>
      <c r="GG79" s="285" t="e">
        <f t="shared" si="565"/>
        <v>#NUM!</v>
      </c>
      <c r="GH79" s="286" t="e">
        <f t="shared" si="566"/>
        <v>#NUM!</v>
      </c>
      <c r="GI79" s="281" t="e">
        <f t="shared" si="567"/>
        <v>#NUM!</v>
      </c>
      <c r="GJ79" s="167">
        <f t="shared" si="718"/>
        <v>3.3212999999999999</v>
      </c>
      <c r="GK79" s="174">
        <f t="shared" si="568"/>
        <v>1.7390840748623446</v>
      </c>
      <c r="GL79" s="174">
        <f t="shared" si="719"/>
        <v>3.2000000000000001E-2</v>
      </c>
      <c r="GM79" s="177">
        <f t="shared" si="720"/>
        <v>0.66780828474714027</v>
      </c>
      <c r="GN79" s="280">
        <f t="shared" si="721"/>
        <v>3.4901117865715391E-2</v>
      </c>
      <c r="GO79" s="4" t="e">
        <f t="shared" si="722"/>
        <v>#NUM!</v>
      </c>
      <c r="GP79" s="8" t="e">
        <f t="shared" si="723"/>
        <v>#NUM!</v>
      </c>
      <c r="GQ79" s="177" t="e">
        <f t="shared" si="724"/>
        <v>#NUM!</v>
      </c>
      <c r="GR79" s="371" t="e">
        <f t="shared" si="725"/>
        <v>#NUM!</v>
      </c>
      <c r="GS79" s="342" t="e">
        <f t="shared" si="569"/>
        <v>#NUM!</v>
      </c>
      <c r="GT79" s="343" t="e">
        <f t="shared" si="570"/>
        <v>#NUM!</v>
      </c>
      <c r="GU79" s="344">
        <f t="shared" si="571"/>
        <v>1641.6953666700533</v>
      </c>
      <c r="GV79" s="343">
        <f t="shared" si="726"/>
        <v>944</v>
      </c>
      <c r="GW79" s="345">
        <f t="shared" si="572"/>
        <v>29500</v>
      </c>
      <c r="GX79" s="346">
        <f t="shared" si="573"/>
        <v>261.2756</v>
      </c>
      <c r="GY79" s="344" t="e">
        <f t="shared" si="574"/>
        <v>#NUM!</v>
      </c>
      <c r="GZ79" s="345" t="e">
        <f t="shared" si="575"/>
        <v>#NUM!</v>
      </c>
      <c r="HA79" s="342" t="e">
        <f t="shared" si="576"/>
        <v>#NUM!</v>
      </c>
      <c r="HB79" s="5" t="e">
        <f t="shared" si="727"/>
        <v>#NUM!</v>
      </c>
      <c r="HC79" s="343" t="e">
        <f t="shared" si="728"/>
        <v>#NUM!</v>
      </c>
      <c r="HD79" s="363" t="e">
        <f t="shared" si="729"/>
        <v>#NUM!</v>
      </c>
      <c r="HE79" s="344" t="e">
        <f t="shared" si="577"/>
        <v>#NUM!</v>
      </c>
      <c r="HF79" s="5" t="e">
        <f t="shared" si="578"/>
        <v>#NUM!</v>
      </c>
      <c r="HG79" s="343" t="e">
        <f t="shared" si="730"/>
        <v>#NUM!</v>
      </c>
      <c r="HH79" s="349" t="e">
        <f t="shared" si="731"/>
        <v>#NUM!</v>
      </c>
      <c r="HI79" s="317">
        <f t="shared" si="579"/>
        <v>6.1180000000000003</v>
      </c>
      <c r="HK79" s="310" t="str">
        <f t="shared" si="631"/>
        <v/>
      </c>
      <c r="HL79" s="348" t="str">
        <f t="shared" si="580"/>
        <v/>
      </c>
      <c r="HM79" s="909" t="str">
        <f t="shared" si="581"/>
        <v/>
      </c>
      <c r="HN79" s="910" t="str">
        <f t="shared" si="582"/>
        <v/>
      </c>
      <c r="HO79" s="911"/>
      <c r="HP79" s="912"/>
      <c r="HQ79" s="910" t="str">
        <f t="shared" si="583"/>
        <v/>
      </c>
      <c r="HR79" s="913" t="str">
        <f t="shared" si="584"/>
        <v/>
      </c>
      <c r="HS79" s="865" t="str">
        <f t="shared" si="632"/>
        <v/>
      </c>
      <c r="HT79" s="875" t="str">
        <f t="shared" si="585"/>
        <v/>
      </c>
      <c r="HU79" s="876" t="str">
        <f t="shared" si="586"/>
        <v/>
      </c>
      <c r="HV79" s="872" t="str">
        <f t="shared" si="587"/>
        <v/>
      </c>
      <c r="HW79" s="866" t="str">
        <f t="shared" si="588"/>
        <v/>
      </c>
      <c r="HX79" s="867" t="str">
        <f t="shared" si="589"/>
        <v/>
      </c>
      <c r="HY79" s="866" t="str">
        <f t="shared" si="590"/>
        <v/>
      </c>
      <c r="HZ79" s="868" t="str">
        <f t="shared" si="591"/>
        <v/>
      </c>
      <c r="IA79" s="869" t="str">
        <f t="shared" si="592"/>
        <v/>
      </c>
      <c r="IB79" s="870" t="str">
        <f t="shared" si="593"/>
        <v/>
      </c>
      <c r="IC79" s="841" t="str">
        <f t="shared" si="594"/>
        <v/>
      </c>
      <c r="ID79" s="351" t="str">
        <f t="shared" si="595"/>
        <v/>
      </c>
      <c r="IE79" s="843" t="str">
        <f t="shared" si="596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2"/>
        <v>6.1180000000000003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7"/>
        <v>1613</v>
      </c>
      <c r="IM79" s="482" t="str">
        <f t="shared" si="733"/>
        <v/>
      </c>
      <c r="IN79" s="670" t="str">
        <f t="shared" si="598"/>
        <v/>
      </c>
      <c r="IO79" s="702">
        <v>1.6560195245810601E-2</v>
      </c>
      <c r="IP79" s="5" t="str">
        <f t="shared" si="599"/>
        <v/>
      </c>
      <c r="IQ79" s="714">
        <v>320</v>
      </c>
      <c r="IR79" s="9" t="str">
        <f t="shared" si="600"/>
        <v/>
      </c>
      <c r="IS79" s="5" t="str">
        <f t="shared" si="601"/>
        <v/>
      </c>
      <c r="IT79" s="5" t="str">
        <f t="shared" si="602"/>
        <v/>
      </c>
      <c r="IU79" s="5" t="str">
        <f t="shared" si="603"/>
        <v/>
      </c>
      <c r="IV79" s="670" t="str">
        <f t="shared" si="604"/>
        <v/>
      </c>
      <c r="IW79" s="9" t="str">
        <f t="shared" si="605"/>
        <v/>
      </c>
      <c r="IX79" s="5" t="str">
        <f t="shared" si="606"/>
        <v/>
      </c>
      <c r="IY79" s="5" t="str">
        <f t="shared" si="607"/>
        <v/>
      </c>
      <c r="IZ79" s="5" t="str">
        <f t="shared" si="608"/>
        <v/>
      </c>
      <c r="JA79" s="705" t="str">
        <f t="shared" si="609"/>
        <v/>
      </c>
    </row>
    <row r="80" spans="1:261" ht="15" customHeight="1" x14ac:dyDescent="0.25">
      <c r="A80" s="75">
        <f t="shared" si="516"/>
        <v>0</v>
      </c>
      <c r="B80" s="578">
        <f t="shared" si="517"/>
        <v>-3.1992328127409468</v>
      </c>
      <c r="C80" s="572">
        <f t="shared" si="518"/>
        <v>2.2103015329908278</v>
      </c>
      <c r="D80" s="576">
        <f t="shared" si="519"/>
        <v>-0.85560258049738325</v>
      </c>
      <c r="E80" s="580">
        <f t="shared" si="520"/>
        <v>-0.72696682415140312</v>
      </c>
      <c r="F80" s="572">
        <f t="shared" si="521"/>
        <v>-0.63637760281450162</v>
      </c>
      <c r="G80" s="579">
        <f t="shared" si="522"/>
        <v>0.25795887893090946</v>
      </c>
      <c r="H80" s="580">
        <f t="shared" si="523"/>
        <v>0.3125</v>
      </c>
      <c r="I80" s="572">
        <f t="shared" si="524"/>
        <v>0.52</v>
      </c>
      <c r="J80" s="483">
        <f t="shared" si="525"/>
        <v>6.1239999999999997</v>
      </c>
      <c r="K80" s="806">
        <f t="shared" si="526"/>
        <v>1613</v>
      </c>
      <c r="L80" s="309"/>
      <c r="M80" s="164">
        <f t="shared" si="527"/>
        <v>6.1239999999999997</v>
      </c>
      <c r="N80" s="575">
        <f t="shared" si="528"/>
        <v>-3.1992328127409468</v>
      </c>
      <c r="O80" s="572">
        <f t="shared" si="529"/>
        <v>2.2103015329908278</v>
      </c>
      <c r="P80" s="576">
        <f t="shared" si="530"/>
        <v>-0.85560258049738325</v>
      </c>
      <c r="Q80" s="528">
        <f t="shared" si="610"/>
        <v>145.3599920070061</v>
      </c>
      <c r="R80" s="572">
        <f t="shared" si="101"/>
        <v>3.888511727751371</v>
      </c>
      <c r="S80" s="577">
        <f t="shared" si="102"/>
        <v>-0.85560258049738325</v>
      </c>
      <c r="T80" s="578">
        <f t="shared" si="103"/>
        <v>2.2052734657833004</v>
      </c>
      <c r="U80" s="572">
        <f t="shared" si="104"/>
        <v>3.2027007974476889</v>
      </c>
      <c r="V80" s="579">
        <f t="shared" si="141"/>
        <v>-0.85560258049738325</v>
      </c>
      <c r="W80" s="528">
        <f t="shared" si="736"/>
        <v>55.449991994011711</v>
      </c>
      <c r="X80" s="572">
        <f t="shared" si="105"/>
        <v>3.888511727751371</v>
      </c>
      <c r="Y80" s="573">
        <f t="shared" si="734"/>
        <v>-0.85560258049738325</v>
      </c>
      <c r="Z80" s="575">
        <f t="shared" si="531"/>
        <v>0.72696682415140312</v>
      </c>
      <c r="AA80" s="572">
        <f t="shared" si="532"/>
        <v>0.63637760281450162</v>
      </c>
      <c r="AB80" s="572">
        <f t="shared" si="533"/>
        <v>-0.25795887893090946</v>
      </c>
      <c r="AC80" s="579">
        <f t="shared" si="106"/>
        <v>1</v>
      </c>
      <c r="AD80" s="580">
        <f t="shared" si="142"/>
        <v>0.72696682415140312</v>
      </c>
      <c r="AE80" s="572">
        <f t="shared" si="107"/>
        <v>0.63637760281450162</v>
      </c>
      <c r="AF80" s="576">
        <f t="shared" si="108"/>
        <v>-0.25795887893090946</v>
      </c>
      <c r="AG80" s="545">
        <f t="shared" si="109"/>
        <v>67.934578078145222</v>
      </c>
      <c r="AH80" s="546">
        <f t="shared" si="110"/>
        <v>43.367288725814497</v>
      </c>
      <c r="AI80" s="528">
        <f t="shared" si="111"/>
        <v>-75.051016359680915</v>
      </c>
      <c r="AJ80" s="529">
        <f t="shared" si="112"/>
        <v>131.19849436757715</v>
      </c>
      <c r="AK80" s="578">
        <f t="shared" si="238"/>
        <v>0.93679439567471801</v>
      </c>
      <c r="AL80" s="572">
        <f t="shared" si="113"/>
        <v>-0.2363757115550344</v>
      </c>
      <c r="AM80" s="577">
        <f t="shared" si="114"/>
        <v>-0.25795887893090946</v>
      </c>
      <c r="AN80" s="524">
        <f t="shared" si="115"/>
        <v>-42.499993863760125</v>
      </c>
      <c r="AO80" s="525">
        <f t="shared" si="515"/>
        <v>20.47999704305424</v>
      </c>
      <c r="AP80" s="528">
        <f t="shared" si="117"/>
        <v>-14.161497639428925</v>
      </c>
      <c r="AQ80" s="529">
        <f t="shared" si="534"/>
        <v>0.39084212348317066</v>
      </c>
      <c r="AS80" s="932">
        <f t="shared" si="633"/>
        <v>-304.55000800598827</v>
      </c>
      <c r="AT80" s="928">
        <f t="shared" si="535"/>
        <v>-0.71456553975988601</v>
      </c>
      <c r="AU80" s="418"/>
      <c r="AV80" s="164">
        <f t="shared" si="536"/>
        <v>6.1239999999999997</v>
      </c>
      <c r="AW80" s="797">
        <f>IFERROR(INDEX(MassProp!C$9:C$150,MATCH($M80,MassProp!$B$9:$B$150,0)),"")</f>
        <v>4.0052000000000003</v>
      </c>
      <c r="AX80" s="744">
        <f>IFERROR(INDEX(MassProp!D$9:D$150,MATCH($M80,MassProp!$B$9:$B$150,0)),"")</f>
        <v>-0.1827</v>
      </c>
      <c r="AY80" s="731">
        <f>IFERROR(INDEX(MassProp!E$9:E$150,MATCH($M80,MassProp!$B$9:$B$150,0)),"")</f>
        <v>2.5600000000000001E-2</v>
      </c>
      <c r="AZ80" s="297">
        <f t="shared" si="634"/>
        <v>0.64424872166704816</v>
      </c>
      <c r="BA80" s="296">
        <f t="shared" si="537"/>
        <v>3.3669843701103326E-2</v>
      </c>
      <c r="BB80" s="177">
        <f t="shared" si="611"/>
        <v>0.36519887309321941</v>
      </c>
      <c r="BC80" s="9"/>
      <c r="BD80" s="5">
        <f t="shared" si="612"/>
        <v>4.0052000000000003</v>
      </c>
      <c r="BE80" s="6">
        <f t="shared" si="538"/>
        <v>-0.49040370740416384</v>
      </c>
      <c r="BF80" s="4">
        <f t="shared" si="539"/>
        <v>-3.1992328127409468</v>
      </c>
      <c r="BG80" s="5">
        <f t="shared" si="540"/>
        <v>2.2103015329908278</v>
      </c>
      <c r="BH80" s="10">
        <f t="shared" si="541"/>
        <v>-0.85560258049738325</v>
      </c>
      <c r="BI80" s="9">
        <f t="shared" si="635"/>
        <v>-3.1992328127409468</v>
      </c>
      <c r="BJ80" s="5">
        <f t="shared" si="542"/>
        <v>2.585966566406162</v>
      </c>
      <c r="BK80" s="8">
        <f t="shared" si="543"/>
        <v>7.11529334700578E-2</v>
      </c>
      <c r="BL80" s="173">
        <f t="shared" si="544"/>
        <v>-2.5125602294938632</v>
      </c>
      <c r="BM80" s="5">
        <f t="shared" si="545"/>
        <v>1.536581020237116</v>
      </c>
      <c r="BN80" s="6">
        <f t="shared" si="546"/>
        <v>-0.58250656421070701</v>
      </c>
      <c r="BO80" s="4">
        <f t="shared" si="636"/>
        <v>0.72696682415140312</v>
      </c>
      <c r="BP80" s="5">
        <f t="shared" si="735"/>
        <v>0.63637760281450129</v>
      </c>
      <c r="BQ80" s="5">
        <f t="shared" si="637"/>
        <v>-0.25795887893090907</v>
      </c>
      <c r="BR80" s="6">
        <f t="shared" si="638"/>
        <v>0.69843944406182867</v>
      </c>
      <c r="BS80" s="4">
        <f t="shared" si="613"/>
        <v>0</v>
      </c>
      <c r="BT80" s="5">
        <f t="shared" si="613"/>
        <v>0</v>
      </c>
      <c r="BU80" s="10">
        <f t="shared" si="614"/>
        <v>-0.49040370740416384</v>
      </c>
      <c r="BV80" s="9">
        <f t="shared" si="615"/>
        <v>0</v>
      </c>
      <c r="BW80" s="5">
        <f t="shared" si="616"/>
        <v>1</v>
      </c>
      <c r="BX80" s="8">
        <f t="shared" si="617"/>
        <v>-0.49040370740416384</v>
      </c>
      <c r="BY80" s="173">
        <f t="shared" si="618"/>
        <v>1</v>
      </c>
      <c r="BZ80" s="5">
        <f t="shared" si="619"/>
        <v>0</v>
      </c>
      <c r="CA80" s="6">
        <f t="shared" si="620"/>
        <v>-0.49040370740416384</v>
      </c>
      <c r="CB80" s="4">
        <f t="shared" si="639"/>
        <v>0</v>
      </c>
      <c r="CC80" s="5">
        <f t="shared" si="640"/>
        <v>0</v>
      </c>
      <c r="CD80" s="5">
        <f t="shared" si="641"/>
        <v>-1</v>
      </c>
      <c r="CE80" s="6">
        <f t="shared" si="642"/>
        <v>-0.49040370740416384</v>
      </c>
      <c r="CF80" s="4">
        <f t="shared" si="643"/>
        <v>-0.63637760281450129</v>
      </c>
      <c r="CG80" s="5">
        <f t="shared" si="644"/>
        <v>0.72696682415140312</v>
      </c>
      <c r="CH80" s="5">
        <f t="shared" si="645"/>
        <v>0</v>
      </c>
      <c r="CI80" s="4">
        <f t="shared" si="621"/>
        <v>0</v>
      </c>
      <c r="CJ80" s="5">
        <f t="shared" si="622"/>
        <v>-1.296311232511796</v>
      </c>
      <c r="CK80" s="8">
        <f t="shared" si="623"/>
        <v>-0.49040370740416389</v>
      </c>
      <c r="CL80" s="173">
        <f t="shared" si="624"/>
        <v>-0.63637760281450129</v>
      </c>
      <c r="CM80" s="5">
        <f t="shared" si="625"/>
        <v>-0.56934440836039291</v>
      </c>
      <c r="CN80" s="6">
        <f t="shared" si="626"/>
        <v>-0.49040370740416389</v>
      </c>
      <c r="CO80" s="167">
        <f t="shared" si="547"/>
        <v>0.3125</v>
      </c>
      <c r="CP80" s="4">
        <f t="shared" si="646"/>
        <v>0.93345721678070825</v>
      </c>
      <c r="CQ80" s="5">
        <f t="shared" si="647"/>
        <v>-9.1702225077675781</v>
      </c>
      <c r="CR80" s="5">
        <f t="shared" si="648"/>
        <v>22.56713764421287</v>
      </c>
      <c r="CS80" s="8">
        <f t="shared" si="649"/>
        <v>-0.16884914232929304</v>
      </c>
      <c r="CT80" s="9" t="e">
        <f t="shared" si="650"/>
        <v>#NUM!</v>
      </c>
      <c r="CU80" s="6" t="e">
        <f t="shared" si="651"/>
        <v>#NUM!</v>
      </c>
      <c r="CV80" s="4" t="e">
        <f t="shared" si="652"/>
        <v>#NUM!</v>
      </c>
      <c r="CW80" s="5" t="e">
        <f t="shared" si="653"/>
        <v>#NUM!</v>
      </c>
      <c r="CX80" s="8" t="e">
        <f t="shared" si="654"/>
        <v>#NUM!</v>
      </c>
      <c r="CY80" s="9" t="e">
        <f t="shared" si="655"/>
        <v>#NUM!</v>
      </c>
      <c r="CZ80" s="5" t="e">
        <f t="shared" si="656"/>
        <v>#NUM!</v>
      </c>
      <c r="DA80" s="6" t="e">
        <f t="shared" si="657"/>
        <v>#NUM!</v>
      </c>
      <c r="DB80" s="4">
        <f t="shared" si="658"/>
        <v>0</v>
      </c>
      <c r="DC80" s="5">
        <f t="shared" si="658"/>
        <v>0</v>
      </c>
      <c r="DD80" s="10">
        <f t="shared" si="659"/>
        <v>-10</v>
      </c>
      <c r="DE80" s="9">
        <f t="shared" si="660"/>
        <v>0</v>
      </c>
      <c r="DF80" s="5">
        <f t="shared" si="660"/>
        <v>0</v>
      </c>
      <c r="DG80" s="10">
        <f t="shared" si="661"/>
        <v>10</v>
      </c>
      <c r="DH80" s="70">
        <f t="shared" si="662"/>
        <v>4.0052000000000003</v>
      </c>
      <c r="DI80" s="4">
        <f t="shared" si="663"/>
        <v>0</v>
      </c>
      <c r="DJ80" s="5">
        <f t="shared" si="664"/>
        <v>0</v>
      </c>
      <c r="DK80" s="10">
        <f t="shared" si="665"/>
        <v>20</v>
      </c>
      <c r="DL80" s="9" t="e">
        <f t="shared" si="666"/>
        <v>#NUM!</v>
      </c>
      <c r="DM80" s="173" t="e">
        <f t="shared" si="667"/>
        <v>#NUM!</v>
      </c>
      <c r="DN80" s="178" t="e">
        <f t="shared" si="668"/>
        <v>#NUM!</v>
      </c>
      <c r="DO80" s="9" t="e">
        <f t="shared" si="669"/>
        <v>#NUM!</v>
      </c>
      <c r="DP80" s="173" t="e">
        <f t="shared" si="670"/>
        <v>#NUM!</v>
      </c>
      <c r="DQ80" s="11" t="e">
        <f t="shared" si="671"/>
        <v>#NUM!</v>
      </c>
      <c r="DR80" s="173" t="e">
        <f t="shared" si="672"/>
        <v>#NUM!</v>
      </c>
      <c r="DS80" s="5" t="e">
        <f t="shared" si="673"/>
        <v>#NUM!</v>
      </c>
      <c r="DT80" s="5">
        <f t="shared" si="674"/>
        <v>400</v>
      </c>
      <c r="DU80" s="5" t="e">
        <f t="shared" si="675"/>
        <v>#NUM!</v>
      </c>
      <c r="DV80" s="5" t="e">
        <f t="shared" si="676"/>
        <v>#NUM!</v>
      </c>
      <c r="DW80" s="5" t="e">
        <f t="shared" si="677"/>
        <v>#NUM!</v>
      </c>
      <c r="DX80" s="167" t="e">
        <f t="shared" si="678"/>
        <v>#NUM!</v>
      </c>
      <c r="DY80" s="9" t="e">
        <f t="shared" si="679"/>
        <v>#NUM!</v>
      </c>
      <c r="DZ80" s="5" t="e">
        <f t="shared" si="680"/>
        <v>#NUM!</v>
      </c>
      <c r="EA80" s="10" t="e">
        <f t="shared" si="681"/>
        <v>#NUM!</v>
      </c>
      <c r="EB80" s="6" t="e">
        <f t="shared" si="682"/>
        <v>#NUM!</v>
      </c>
      <c r="EC80" s="173" t="e">
        <f t="shared" si="683"/>
        <v>#NUM!</v>
      </c>
      <c r="ED80" s="5" t="e">
        <f t="shared" si="684"/>
        <v>#NUM!</v>
      </c>
      <c r="EE80" s="4" t="e">
        <f t="shared" si="685"/>
        <v>#NUM!</v>
      </c>
      <c r="EF80" s="5" t="e">
        <f t="shared" si="686"/>
        <v>#NUM!</v>
      </c>
      <c r="EG80" s="10" t="e">
        <f t="shared" si="687"/>
        <v>#NUM!</v>
      </c>
      <c r="EH80" s="9" t="e">
        <f t="shared" si="688"/>
        <v>#NUM!</v>
      </c>
      <c r="EI80" s="5" t="e">
        <f t="shared" si="689"/>
        <v>#NUM!</v>
      </c>
      <c r="EJ80" s="6" t="e">
        <f t="shared" si="690"/>
        <v>#NUM!</v>
      </c>
      <c r="EK80" s="236" t="e">
        <f t="shared" si="691"/>
        <v>#NUM!</v>
      </c>
      <c r="EL80" s="238" t="e">
        <f t="shared" si="692"/>
        <v>#NUM!</v>
      </c>
      <c r="EM80" s="4" t="e">
        <f t="shared" si="693"/>
        <v>#NUM!</v>
      </c>
      <c r="EN80" s="5" t="e">
        <f t="shared" si="694"/>
        <v>#NUM!</v>
      </c>
      <c r="EO80" s="10" t="e">
        <f t="shared" si="695"/>
        <v>#NUM!</v>
      </c>
      <c r="EP80" s="9" t="e">
        <f t="shared" si="696"/>
        <v>#NUM!</v>
      </c>
      <c r="EQ80" s="5" t="e">
        <f t="shared" si="697"/>
        <v>#NUM!</v>
      </c>
      <c r="ER80" s="7" t="e">
        <f t="shared" si="698"/>
        <v>#NUM!</v>
      </c>
      <c r="ES80" s="21">
        <f t="shared" si="548"/>
        <v>0.72696682415140312</v>
      </c>
      <c r="ET80" s="5">
        <f t="shared" si="549"/>
        <v>0.63637760281450162</v>
      </c>
      <c r="EU80" s="10">
        <f t="shared" si="550"/>
        <v>-0.25795887893090946</v>
      </c>
      <c r="EV80" s="174" t="e">
        <f t="shared" si="551"/>
        <v>#NUM!</v>
      </c>
      <c r="EW80" s="9" t="e">
        <f t="shared" si="552"/>
        <v>#NUM!</v>
      </c>
      <c r="EX80" s="5" t="e">
        <f t="shared" si="553"/>
        <v>#NUM!</v>
      </c>
      <c r="EY80" s="6">
        <f t="shared" si="699"/>
        <v>-0.25795887893090946</v>
      </c>
      <c r="EZ80" s="51" t="e">
        <f t="shared" si="700"/>
        <v>#NUM!</v>
      </c>
      <c r="FA80" s="173" t="e">
        <f t="shared" si="554"/>
        <v>#NUM!</v>
      </c>
      <c r="FB80" s="5" t="e">
        <f t="shared" si="555"/>
        <v>#NUM!</v>
      </c>
      <c r="FC80" s="6" t="e">
        <f t="shared" si="556"/>
        <v>#NUM!</v>
      </c>
      <c r="FD80" s="4" t="e">
        <f t="shared" si="557"/>
        <v>#NUM!</v>
      </c>
      <c r="FE80" s="5" t="e">
        <f t="shared" si="558"/>
        <v>#NUM!</v>
      </c>
      <c r="FF80" s="7" t="e">
        <f t="shared" si="701"/>
        <v>#NUM!</v>
      </c>
      <c r="FG80" s="173" t="e">
        <f t="shared" si="559"/>
        <v>#NUM!</v>
      </c>
      <c r="FH80" s="5" t="e">
        <f t="shared" si="560"/>
        <v>#NUM!</v>
      </c>
      <c r="FI80" s="10" t="e">
        <f t="shared" si="561"/>
        <v>#NUM!</v>
      </c>
      <c r="FJ80" s="279" t="e">
        <f t="shared" si="702"/>
        <v>#NUM!</v>
      </c>
      <c r="FK80" s="4">
        <f t="shared" si="562"/>
        <v>0.96615589672718383</v>
      </c>
      <c r="FL80" s="5" t="e">
        <f t="shared" si="627"/>
        <v>#NUM!</v>
      </c>
      <c r="FM80" s="8" t="e">
        <f t="shared" si="628"/>
        <v>#NUM!</v>
      </c>
      <c r="FN80" s="9" t="e">
        <f t="shared" si="629"/>
        <v>#NUM!</v>
      </c>
      <c r="FO80" s="10" t="e">
        <f t="shared" si="563"/>
        <v>#NUM!</v>
      </c>
      <c r="FP80" s="277" t="e">
        <f t="shared" si="630"/>
        <v>#NUM!</v>
      </c>
      <c r="FQ80" s="173" t="e">
        <f t="shared" si="703"/>
        <v>#NUM!</v>
      </c>
      <c r="FR80" s="10" t="e">
        <f t="shared" si="704"/>
        <v>#NUM!</v>
      </c>
      <c r="FS80" s="9" t="e">
        <f t="shared" si="705"/>
        <v>#NUM!</v>
      </c>
      <c r="FT80" s="6" t="e">
        <f t="shared" si="706"/>
        <v>#NUM!</v>
      </c>
      <c r="FU80" s="4" t="e">
        <f t="shared" si="707"/>
        <v>#NUM!</v>
      </c>
      <c r="FV80" s="5" t="e">
        <f t="shared" si="708"/>
        <v>#NUM!</v>
      </c>
      <c r="FW80" s="8" t="e">
        <f t="shared" si="709"/>
        <v>#NUM!</v>
      </c>
      <c r="FX80" s="9" t="e">
        <f t="shared" si="710"/>
        <v>#NUM!</v>
      </c>
      <c r="FY80" s="10" t="e">
        <f t="shared" si="564"/>
        <v>#NUM!</v>
      </c>
      <c r="FZ80" s="277" t="e">
        <f t="shared" si="711"/>
        <v>#NUM!</v>
      </c>
      <c r="GA80" s="177" t="e">
        <f t="shared" si="712"/>
        <v>#NUM!</v>
      </c>
      <c r="GB80" s="4" t="e">
        <f t="shared" si="713"/>
        <v>#NUM!</v>
      </c>
      <c r="GC80" s="5" t="e">
        <f t="shared" si="714"/>
        <v>#NUM!</v>
      </c>
      <c r="GD80" s="10" t="e">
        <f t="shared" si="715"/>
        <v>#NUM!</v>
      </c>
      <c r="GE80" s="311" t="e">
        <f t="shared" si="716"/>
        <v>#NUM!</v>
      </c>
      <c r="GF80" s="341" t="e">
        <f t="shared" si="717"/>
        <v>#NUM!</v>
      </c>
      <c r="GG80" s="285" t="e">
        <f t="shared" si="565"/>
        <v>#NUM!</v>
      </c>
      <c r="GH80" s="286" t="e">
        <f t="shared" si="566"/>
        <v>#NUM!</v>
      </c>
      <c r="GI80" s="281" t="e">
        <f t="shared" si="567"/>
        <v>#NUM!</v>
      </c>
      <c r="GJ80" s="167">
        <f t="shared" si="718"/>
        <v>4.0052000000000003</v>
      </c>
      <c r="GK80" s="174">
        <f t="shared" si="568"/>
        <v>2.0971638075099226</v>
      </c>
      <c r="GL80" s="174">
        <f t="shared" si="719"/>
        <v>2.5600000000000001E-2</v>
      </c>
      <c r="GM80" s="177">
        <f t="shared" si="720"/>
        <v>0.64424872166704816</v>
      </c>
      <c r="GN80" s="280">
        <f t="shared" si="721"/>
        <v>3.3669843701103326E-2</v>
      </c>
      <c r="GO80" s="4" t="e">
        <f t="shared" si="722"/>
        <v>#NUM!</v>
      </c>
      <c r="GP80" s="8" t="e">
        <f t="shared" si="723"/>
        <v>#NUM!</v>
      </c>
      <c r="GQ80" s="177" t="e">
        <f t="shared" si="724"/>
        <v>#NUM!</v>
      </c>
      <c r="GR80" s="371" t="e">
        <f t="shared" si="725"/>
        <v>#NUM!</v>
      </c>
      <c r="GS80" s="342" t="e">
        <f t="shared" si="569"/>
        <v>#NUM!</v>
      </c>
      <c r="GT80" s="343" t="e">
        <f t="shared" si="570"/>
        <v>#NUM!</v>
      </c>
      <c r="GU80" s="344">
        <f t="shared" si="571"/>
        <v>1583.7781074314937</v>
      </c>
      <c r="GV80" s="343">
        <f t="shared" si="726"/>
        <v>755.2</v>
      </c>
      <c r="GW80" s="345">
        <f t="shared" si="572"/>
        <v>29500</v>
      </c>
      <c r="GX80" s="346">
        <f t="shared" si="573"/>
        <v>252.06058666666672</v>
      </c>
      <c r="GY80" s="344" t="e">
        <f t="shared" si="574"/>
        <v>#NUM!</v>
      </c>
      <c r="GZ80" s="345" t="e">
        <f t="shared" si="575"/>
        <v>#NUM!</v>
      </c>
      <c r="HA80" s="342" t="e">
        <f t="shared" si="576"/>
        <v>#NUM!</v>
      </c>
      <c r="HB80" s="5" t="e">
        <f t="shared" si="727"/>
        <v>#NUM!</v>
      </c>
      <c r="HC80" s="343" t="e">
        <f t="shared" si="728"/>
        <v>#NUM!</v>
      </c>
      <c r="HD80" s="363" t="e">
        <f t="shared" si="729"/>
        <v>#NUM!</v>
      </c>
      <c r="HE80" s="344" t="e">
        <f t="shared" si="577"/>
        <v>#NUM!</v>
      </c>
      <c r="HF80" s="5" t="e">
        <f t="shared" si="578"/>
        <v>#NUM!</v>
      </c>
      <c r="HG80" s="343" t="e">
        <f t="shared" si="730"/>
        <v>#NUM!</v>
      </c>
      <c r="HH80" s="349" t="e">
        <f t="shared" si="731"/>
        <v>#NUM!</v>
      </c>
      <c r="HI80" s="317">
        <f t="shared" si="579"/>
        <v>6.1239999999999997</v>
      </c>
      <c r="HK80" s="310" t="str">
        <f t="shared" si="631"/>
        <v/>
      </c>
      <c r="HL80" s="348" t="str">
        <f t="shared" si="580"/>
        <v/>
      </c>
      <c r="HM80" s="909" t="str">
        <f t="shared" si="581"/>
        <v/>
      </c>
      <c r="HN80" s="910" t="str">
        <f t="shared" si="582"/>
        <v/>
      </c>
      <c r="HO80" s="911"/>
      <c r="HP80" s="912"/>
      <c r="HQ80" s="910" t="str">
        <f t="shared" si="583"/>
        <v/>
      </c>
      <c r="HR80" s="913" t="str">
        <f t="shared" si="584"/>
        <v/>
      </c>
      <c r="HS80" s="865" t="str">
        <f t="shared" si="632"/>
        <v/>
      </c>
      <c r="HT80" s="875" t="str">
        <f t="shared" si="585"/>
        <v/>
      </c>
      <c r="HU80" s="876" t="str">
        <f t="shared" si="586"/>
        <v/>
      </c>
      <c r="HV80" s="872" t="str">
        <f t="shared" si="587"/>
        <v/>
      </c>
      <c r="HW80" s="866" t="str">
        <f t="shared" si="588"/>
        <v/>
      </c>
      <c r="HX80" s="867" t="str">
        <f t="shared" si="589"/>
        <v/>
      </c>
      <c r="HY80" s="866" t="str">
        <f t="shared" si="590"/>
        <v/>
      </c>
      <c r="HZ80" s="868" t="str">
        <f t="shared" si="591"/>
        <v/>
      </c>
      <c r="IA80" s="869" t="str">
        <f t="shared" si="592"/>
        <v/>
      </c>
      <c r="IB80" s="870" t="str">
        <f t="shared" si="593"/>
        <v/>
      </c>
      <c r="IC80" s="841" t="str">
        <f t="shared" si="594"/>
        <v/>
      </c>
      <c r="ID80" s="351" t="str">
        <f t="shared" si="595"/>
        <v/>
      </c>
      <c r="IE80" s="843" t="str">
        <f t="shared" si="596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2"/>
        <v>6.1239999999999997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7"/>
        <v>1613</v>
      </c>
      <c r="IM80" s="482" t="str">
        <f t="shared" si="733"/>
        <v/>
      </c>
      <c r="IN80" s="670" t="str">
        <f t="shared" si="598"/>
        <v/>
      </c>
      <c r="IO80" s="702">
        <v>1.3197723955070099E-2</v>
      </c>
      <c r="IP80" s="5" t="str">
        <f t="shared" si="599"/>
        <v/>
      </c>
      <c r="IQ80" s="714">
        <v>400</v>
      </c>
      <c r="IR80" s="9" t="str">
        <f t="shared" si="600"/>
        <v/>
      </c>
      <c r="IS80" s="5" t="str">
        <f t="shared" si="601"/>
        <v/>
      </c>
      <c r="IT80" s="5" t="str">
        <f t="shared" si="602"/>
        <v/>
      </c>
      <c r="IU80" s="5" t="str">
        <f t="shared" si="603"/>
        <v/>
      </c>
      <c r="IV80" s="670" t="str">
        <f t="shared" si="604"/>
        <v/>
      </c>
      <c r="IW80" s="9" t="str">
        <f t="shared" si="605"/>
        <v/>
      </c>
      <c r="IX80" s="5" t="str">
        <f t="shared" si="606"/>
        <v/>
      </c>
      <c r="IY80" s="5" t="str">
        <f t="shared" si="607"/>
        <v/>
      </c>
      <c r="IZ80" s="5" t="str">
        <f t="shared" si="608"/>
        <v/>
      </c>
      <c r="JA80" s="705" t="str">
        <f t="shared" si="609"/>
        <v/>
      </c>
    </row>
    <row r="81" spans="1:261" ht="15" customHeight="1" x14ac:dyDescent="0.25">
      <c r="A81" s="75">
        <f t="shared" si="516"/>
        <v>0</v>
      </c>
      <c r="B81" s="578">
        <f t="shared" si="517"/>
        <v>-3.53119281644523</v>
      </c>
      <c r="C81" s="572">
        <f t="shared" si="518"/>
        <v>2.5002246108388846</v>
      </c>
      <c r="D81" s="576">
        <f t="shared" si="519"/>
        <v>-1.4612044069924921</v>
      </c>
      <c r="E81" s="580">
        <f t="shared" si="520"/>
        <v>-0.80676282185167514</v>
      </c>
      <c r="F81" s="572">
        <f t="shared" si="521"/>
        <v>-0.54951965478260978</v>
      </c>
      <c r="G81" s="579">
        <f t="shared" si="522"/>
        <v>0.21716790344229908</v>
      </c>
      <c r="H81" s="580">
        <f t="shared" si="523"/>
        <v>0.3125</v>
      </c>
      <c r="I81" s="572">
        <f t="shared" si="524"/>
        <v>0.52</v>
      </c>
      <c r="J81" s="483">
        <f t="shared" si="525"/>
        <v>6.13</v>
      </c>
      <c r="K81" s="806">
        <f t="shared" si="526"/>
        <v>1613</v>
      </c>
      <c r="L81" s="309"/>
      <c r="M81" s="164">
        <f t="shared" si="527"/>
        <v>6.13</v>
      </c>
      <c r="N81" s="575">
        <f t="shared" si="528"/>
        <v>-3.53119281644523</v>
      </c>
      <c r="O81" s="572">
        <f t="shared" si="529"/>
        <v>2.5002246108388846</v>
      </c>
      <c r="P81" s="576">
        <f t="shared" si="530"/>
        <v>-1.4612044069924921</v>
      </c>
      <c r="Q81" s="528">
        <f t="shared" si="610"/>
        <v>144.69999210229827</v>
      </c>
      <c r="R81" s="572">
        <f t="shared" si="101"/>
        <v>4.3267130493665569</v>
      </c>
      <c r="S81" s="577">
        <f t="shared" si="102"/>
        <v>-1.4612044069924921</v>
      </c>
      <c r="T81" s="578">
        <f t="shared" si="103"/>
        <v>2.4946747446885347</v>
      </c>
      <c r="U81" s="572">
        <f t="shared" si="104"/>
        <v>3.535115801465639</v>
      </c>
      <c r="V81" s="579">
        <f t="shared" si="141"/>
        <v>-1.4612044069924921</v>
      </c>
      <c r="W81" s="528">
        <f t="shared" si="736"/>
        <v>54.78999208930388</v>
      </c>
      <c r="X81" s="572">
        <f t="shared" si="105"/>
        <v>4.3267130493665569</v>
      </c>
      <c r="Y81" s="573">
        <f t="shared" si="734"/>
        <v>-1.4612044069924921</v>
      </c>
      <c r="Z81" s="575">
        <f t="shared" si="531"/>
        <v>0.80676282185167514</v>
      </c>
      <c r="AA81" s="572">
        <f t="shared" si="532"/>
        <v>0.54951965478260978</v>
      </c>
      <c r="AB81" s="572">
        <f t="shared" si="533"/>
        <v>-0.21716790344229908</v>
      </c>
      <c r="AC81" s="579">
        <f t="shared" si="106"/>
        <v>1</v>
      </c>
      <c r="AD81" s="580">
        <f t="shared" si="142"/>
        <v>0.80676282185167514</v>
      </c>
      <c r="AE81" s="572">
        <f t="shared" si="107"/>
        <v>0.54951965478260978</v>
      </c>
      <c r="AF81" s="576">
        <f t="shared" si="108"/>
        <v>-0.21716790344229908</v>
      </c>
      <c r="AG81" s="545">
        <f t="shared" si="109"/>
        <v>68.436272387266797</v>
      </c>
      <c r="AH81" s="546">
        <f t="shared" si="110"/>
        <v>36.219154534676235</v>
      </c>
      <c r="AI81" s="528">
        <f t="shared" si="111"/>
        <v>-77.457255412874872</v>
      </c>
      <c r="AJ81" s="529">
        <f t="shared" si="112"/>
        <v>124.26040233011676</v>
      </c>
      <c r="AK81" s="578">
        <f t="shared" si="238"/>
        <v>0.91467774142003622</v>
      </c>
      <c r="AL81" s="572">
        <f t="shared" si="113"/>
        <v>-0.34088521684757439</v>
      </c>
      <c r="AM81" s="577">
        <f t="shared" si="114"/>
        <v>-0.21716790344229908</v>
      </c>
      <c r="AN81" s="524">
        <f t="shared" si="115"/>
        <v>-57.499991698028374</v>
      </c>
      <c r="AO81" s="525">
        <f t="shared" si="515"/>
        <v>23.839996557930323</v>
      </c>
      <c r="AP81" s="528">
        <f t="shared" si="117"/>
        <v>-20.439589772181503</v>
      </c>
      <c r="AQ81" s="529">
        <f t="shared" si="534"/>
        <v>0.35125941947911193</v>
      </c>
      <c r="AS81" s="932">
        <f t="shared" si="633"/>
        <v>-305.21000791069611</v>
      </c>
      <c r="AT81" s="928">
        <f t="shared" si="535"/>
        <v>-1.3198618107435562</v>
      </c>
      <c r="AU81" s="418"/>
      <c r="AV81" s="164">
        <f t="shared" si="536"/>
        <v>6.13</v>
      </c>
      <c r="AW81" s="797">
        <f>IFERROR(INDEX(MassProp!C$9:C$150,MATCH($M81,MassProp!$B$9:$B$150,0)),"")</f>
        <v>4.5156999999999998</v>
      </c>
      <c r="AX81" s="744">
        <f>IFERROR(INDEX(MassProp!D$9:D$150,MATCH($M81,MassProp!$B$9:$B$150,0)),"")</f>
        <v>-0.84099999999999997</v>
      </c>
      <c r="AY81" s="731">
        <f>IFERROR(INDEX(MassProp!E$9:E$150,MATCH($M81,MassProp!$B$9:$B$150,0)),"")</f>
        <v>1.7399999999999999E-2</v>
      </c>
      <c r="AZ81" s="297">
        <f t="shared" si="634"/>
        <v>0.49369836753422214</v>
      </c>
      <c r="BA81" s="296">
        <f t="shared" si="537"/>
        <v>2.5801753750250924E-2</v>
      </c>
      <c r="BB81" s="177">
        <f t="shared" si="611"/>
        <v>0.31219514407688953</v>
      </c>
      <c r="BC81" s="9"/>
      <c r="BD81" s="5">
        <f t="shared" si="612"/>
        <v>4.5156999999999998</v>
      </c>
      <c r="BE81" s="6">
        <f t="shared" si="538"/>
        <v>-1.1490092629156026</v>
      </c>
      <c r="BF81" s="4">
        <f t="shared" si="539"/>
        <v>-3.53119281644523</v>
      </c>
      <c r="BG81" s="5">
        <f t="shared" si="540"/>
        <v>2.5002246108388846</v>
      </c>
      <c r="BH81" s="10">
        <f t="shared" si="541"/>
        <v>-1.4612044069924921</v>
      </c>
      <c r="BI81" s="9">
        <f t="shared" si="635"/>
        <v>-3.53119281644523</v>
      </c>
      <c r="BJ81" s="5">
        <f t="shared" si="542"/>
        <v>2.867760473790506</v>
      </c>
      <c r="BK81" s="8">
        <f t="shared" si="543"/>
        <v>-0.53119505787582499</v>
      </c>
      <c r="BL81" s="173">
        <f t="shared" si="544"/>
        <v>-2.9403174071769795</v>
      </c>
      <c r="BM81" s="5">
        <f t="shared" si="545"/>
        <v>1.7499276439970826</v>
      </c>
      <c r="BN81" s="6">
        <f t="shared" si="546"/>
        <v>-1.1646901370659513</v>
      </c>
      <c r="BO81" s="4">
        <f t="shared" si="636"/>
        <v>0.80676282185167492</v>
      </c>
      <c r="BP81" s="5">
        <f t="shared" si="735"/>
        <v>0.54951965478260989</v>
      </c>
      <c r="BQ81" s="5">
        <f t="shared" si="637"/>
        <v>-0.21716790344229864</v>
      </c>
      <c r="BR81" s="6">
        <f t="shared" si="638"/>
        <v>1.1575858185033403</v>
      </c>
      <c r="BS81" s="4">
        <f t="shared" si="613"/>
        <v>0</v>
      </c>
      <c r="BT81" s="5">
        <f t="shared" si="613"/>
        <v>0</v>
      </c>
      <c r="BU81" s="10">
        <f t="shared" si="614"/>
        <v>-1.1490092629156026</v>
      </c>
      <c r="BV81" s="9">
        <f t="shared" si="615"/>
        <v>0</v>
      </c>
      <c r="BW81" s="5">
        <f t="shared" si="616"/>
        <v>1</v>
      </c>
      <c r="BX81" s="8">
        <f t="shared" si="617"/>
        <v>-1.1490092629156026</v>
      </c>
      <c r="BY81" s="173">
        <f t="shared" si="618"/>
        <v>1</v>
      </c>
      <c r="BZ81" s="5">
        <f t="shared" si="619"/>
        <v>0</v>
      </c>
      <c r="CA81" s="6">
        <f t="shared" si="620"/>
        <v>-1.1490092629156026</v>
      </c>
      <c r="CB81" s="4">
        <f t="shared" si="639"/>
        <v>0</v>
      </c>
      <c r="CC81" s="5">
        <f t="shared" si="640"/>
        <v>0</v>
      </c>
      <c r="CD81" s="5">
        <f t="shared" si="641"/>
        <v>-1</v>
      </c>
      <c r="CE81" s="6">
        <f t="shared" si="642"/>
        <v>-1.1490092629156026</v>
      </c>
      <c r="CF81" s="4">
        <f t="shared" si="643"/>
        <v>-0.54951965478260989</v>
      </c>
      <c r="CG81" s="5">
        <f t="shared" si="644"/>
        <v>0.80676282185167492</v>
      </c>
      <c r="CH81" s="5">
        <f t="shared" si="645"/>
        <v>0</v>
      </c>
      <c r="CI81" s="4">
        <f t="shared" si="621"/>
        <v>0</v>
      </c>
      <c r="CJ81" s="5">
        <f t="shared" si="622"/>
        <v>-2.5606249729559849</v>
      </c>
      <c r="CK81" s="8">
        <f t="shared" si="623"/>
        <v>-1.1490092629156026</v>
      </c>
      <c r="CL81" s="173">
        <f t="shared" si="624"/>
        <v>-0.54951965478260989</v>
      </c>
      <c r="CM81" s="5">
        <f t="shared" si="625"/>
        <v>-1.75386215110431</v>
      </c>
      <c r="CN81" s="6">
        <f t="shared" si="626"/>
        <v>-1.1490092629156026</v>
      </c>
      <c r="CO81" s="167">
        <f t="shared" si="547"/>
        <v>0.3125</v>
      </c>
      <c r="CP81" s="4">
        <f t="shared" si="646"/>
        <v>0.95283810171447614</v>
      </c>
      <c r="CQ81" s="5">
        <f t="shared" si="647"/>
        <v>-12.046730297306077</v>
      </c>
      <c r="CR81" s="5">
        <f t="shared" si="648"/>
        <v>38.081330774696291</v>
      </c>
      <c r="CS81" s="8">
        <f t="shared" si="649"/>
        <v>-1.7660848458547207E-2</v>
      </c>
      <c r="CT81" s="9" t="e">
        <f t="shared" si="650"/>
        <v>#NUM!</v>
      </c>
      <c r="CU81" s="6" t="e">
        <f t="shared" si="651"/>
        <v>#NUM!</v>
      </c>
      <c r="CV81" s="4" t="e">
        <f t="shared" si="652"/>
        <v>#NUM!</v>
      </c>
      <c r="CW81" s="5" t="e">
        <f t="shared" si="653"/>
        <v>#NUM!</v>
      </c>
      <c r="CX81" s="8" t="e">
        <f t="shared" si="654"/>
        <v>#NUM!</v>
      </c>
      <c r="CY81" s="9" t="e">
        <f t="shared" si="655"/>
        <v>#NUM!</v>
      </c>
      <c r="CZ81" s="5" t="e">
        <f t="shared" si="656"/>
        <v>#NUM!</v>
      </c>
      <c r="DA81" s="6" t="e">
        <f t="shared" si="657"/>
        <v>#NUM!</v>
      </c>
      <c r="DB81" s="4">
        <f t="shared" si="658"/>
        <v>0</v>
      </c>
      <c r="DC81" s="5">
        <f t="shared" si="658"/>
        <v>0</v>
      </c>
      <c r="DD81" s="10">
        <f t="shared" si="659"/>
        <v>-10</v>
      </c>
      <c r="DE81" s="9">
        <f t="shared" si="660"/>
        <v>0</v>
      </c>
      <c r="DF81" s="5">
        <f t="shared" si="660"/>
        <v>0</v>
      </c>
      <c r="DG81" s="10">
        <f t="shared" si="661"/>
        <v>10</v>
      </c>
      <c r="DH81" s="70">
        <f t="shared" si="662"/>
        <v>4.5156999999999998</v>
      </c>
      <c r="DI81" s="4">
        <f t="shared" si="663"/>
        <v>0</v>
      </c>
      <c r="DJ81" s="5">
        <f t="shared" si="664"/>
        <v>0</v>
      </c>
      <c r="DK81" s="10">
        <f t="shared" si="665"/>
        <v>20</v>
      </c>
      <c r="DL81" s="9" t="e">
        <f t="shared" si="666"/>
        <v>#NUM!</v>
      </c>
      <c r="DM81" s="173" t="e">
        <f t="shared" si="667"/>
        <v>#NUM!</v>
      </c>
      <c r="DN81" s="178" t="e">
        <f t="shared" si="668"/>
        <v>#NUM!</v>
      </c>
      <c r="DO81" s="9" t="e">
        <f t="shared" si="669"/>
        <v>#NUM!</v>
      </c>
      <c r="DP81" s="173" t="e">
        <f t="shared" si="670"/>
        <v>#NUM!</v>
      </c>
      <c r="DQ81" s="11" t="e">
        <f t="shared" si="671"/>
        <v>#NUM!</v>
      </c>
      <c r="DR81" s="173" t="e">
        <f t="shared" si="672"/>
        <v>#NUM!</v>
      </c>
      <c r="DS81" s="5" t="e">
        <f t="shared" si="673"/>
        <v>#NUM!</v>
      </c>
      <c r="DT81" s="5">
        <f t="shared" si="674"/>
        <v>400</v>
      </c>
      <c r="DU81" s="5" t="e">
        <f t="shared" si="675"/>
        <v>#NUM!</v>
      </c>
      <c r="DV81" s="5" t="e">
        <f t="shared" si="676"/>
        <v>#NUM!</v>
      </c>
      <c r="DW81" s="5" t="e">
        <f t="shared" si="677"/>
        <v>#NUM!</v>
      </c>
      <c r="DX81" s="167" t="e">
        <f t="shared" si="678"/>
        <v>#NUM!</v>
      </c>
      <c r="DY81" s="9" t="e">
        <f t="shared" si="679"/>
        <v>#NUM!</v>
      </c>
      <c r="DZ81" s="5" t="e">
        <f t="shared" si="680"/>
        <v>#NUM!</v>
      </c>
      <c r="EA81" s="10" t="e">
        <f t="shared" si="681"/>
        <v>#NUM!</v>
      </c>
      <c r="EB81" s="6" t="e">
        <f t="shared" si="682"/>
        <v>#NUM!</v>
      </c>
      <c r="EC81" s="173" t="e">
        <f t="shared" si="683"/>
        <v>#NUM!</v>
      </c>
      <c r="ED81" s="5" t="e">
        <f t="shared" si="684"/>
        <v>#NUM!</v>
      </c>
      <c r="EE81" s="4" t="e">
        <f t="shared" si="685"/>
        <v>#NUM!</v>
      </c>
      <c r="EF81" s="5" t="e">
        <f t="shared" si="686"/>
        <v>#NUM!</v>
      </c>
      <c r="EG81" s="10" t="e">
        <f t="shared" si="687"/>
        <v>#NUM!</v>
      </c>
      <c r="EH81" s="9" t="e">
        <f t="shared" si="688"/>
        <v>#NUM!</v>
      </c>
      <c r="EI81" s="5" t="e">
        <f t="shared" si="689"/>
        <v>#NUM!</v>
      </c>
      <c r="EJ81" s="6" t="e">
        <f t="shared" si="690"/>
        <v>#NUM!</v>
      </c>
      <c r="EK81" s="236" t="e">
        <f t="shared" si="691"/>
        <v>#NUM!</v>
      </c>
      <c r="EL81" s="238" t="e">
        <f t="shared" si="692"/>
        <v>#NUM!</v>
      </c>
      <c r="EM81" s="4" t="e">
        <f t="shared" si="693"/>
        <v>#NUM!</v>
      </c>
      <c r="EN81" s="5" t="e">
        <f t="shared" si="694"/>
        <v>#NUM!</v>
      </c>
      <c r="EO81" s="10" t="e">
        <f t="shared" si="695"/>
        <v>#NUM!</v>
      </c>
      <c r="EP81" s="9" t="e">
        <f t="shared" si="696"/>
        <v>#NUM!</v>
      </c>
      <c r="EQ81" s="5" t="e">
        <f t="shared" si="697"/>
        <v>#NUM!</v>
      </c>
      <c r="ER81" s="7" t="e">
        <f t="shared" si="698"/>
        <v>#NUM!</v>
      </c>
      <c r="ES81" s="21">
        <f t="shared" si="548"/>
        <v>0.80676282185167514</v>
      </c>
      <c r="ET81" s="5">
        <f t="shared" si="549"/>
        <v>0.54951965478260978</v>
      </c>
      <c r="EU81" s="10">
        <f t="shared" si="550"/>
        <v>-0.21716790344229908</v>
      </c>
      <c r="EV81" s="174" t="e">
        <f t="shared" si="551"/>
        <v>#NUM!</v>
      </c>
      <c r="EW81" s="9" t="e">
        <f t="shared" si="552"/>
        <v>#NUM!</v>
      </c>
      <c r="EX81" s="5" t="e">
        <f t="shared" si="553"/>
        <v>#NUM!</v>
      </c>
      <c r="EY81" s="6">
        <f t="shared" si="699"/>
        <v>-0.21716790344229908</v>
      </c>
      <c r="EZ81" s="51" t="e">
        <f t="shared" si="700"/>
        <v>#NUM!</v>
      </c>
      <c r="FA81" s="173" t="e">
        <f t="shared" si="554"/>
        <v>#NUM!</v>
      </c>
      <c r="FB81" s="5" t="e">
        <f t="shared" si="555"/>
        <v>#NUM!</v>
      </c>
      <c r="FC81" s="6" t="e">
        <f t="shared" si="556"/>
        <v>#NUM!</v>
      </c>
      <c r="FD81" s="4" t="e">
        <f t="shared" si="557"/>
        <v>#NUM!</v>
      </c>
      <c r="FE81" s="5" t="e">
        <f t="shared" si="558"/>
        <v>#NUM!</v>
      </c>
      <c r="FF81" s="7" t="e">
        <f t="shared" si="701"/>
        <v>#NUM!</v>
      </c>
      <c r="FG81" s="173" t="e">
        <f t="shared" si="559"/>
        <v>#NUM!</v>
      </c>
      <c r="FH81" s="5" t="e">
        <f t="shared" si="560"/>
        <v>#NUM!</v>
      </c>
      <c r="FI81" s="10" t="e">
        <f t="shared" si="561"/>
        <v>#NUM!</v>
      </c>
      <c r="FJ81" s="279" t="e">
        <f t="shared" si="702"/>
        <v>#NUM!</v>
      </c>
      <c r="FK81" s="4">
        <f t="shared" si="562"/>
        <v>0.976134264184224</v>
      </c>
      <c r="FL81" s="5" t="e">
        <f t="shared" si="627"/>
        <v>#NUM!</v>
      </c>
      <c r="FM81" s="8" t="e">
        <f t="shared" si="628"/>
        <v>#NUM!</v>
      </c>
      <c r="FN81" s="9" t="e">
        <f t="shared" si="629"/>
        <v>#NUM!</v>
      </c>
      <c r="FO81" s="10" t="e">
        <f t="shared" si="563"/>
        <v>#NUM!</v>
      </c>
      <c r="FP81" s="277" t="e">
        <f t="shared" si="630"/>
        <v>#NUM!</v>
      </c>
      <c r="FQ81" s="173" t="e">
        <f t="shared" si="703"/>
        <v>#NUM!</v>
      </c>
      <c r="FR81" s="10" t="e">
        <f t="shared" si="704"/>
        <v>#NUM!</v>
      </c>
      <c r="FS81" s="9" t="e">
        <f t="shared" si="705"/>
        <v>#NUM!</v>
      </c>
      <c r="FT81" s="6" t="e">
        <f t="shared" si="706"/>
        <v>#NUM!</v>
      </c>
      <c r="FU81" s="4" t="e">
        <f t="shared" si="707"/>
        <v>#NUM!</v>
      </c>
      <c r="FV81" s="5" t="e">
        <f t="shared" si="708"/>
        <v>#NUM!</v>
      </c>
      <c r="FW81" s="8" t="e">
        <f t="shared" si="709"/>
        <v>#NUM!</v>
      </c>
      <c r="FX81" s="9" t="e">
        <f t="shared" si="710"/>
        <v>#NUM!</v>
      </c>
      <c r="FY81" s="10" t="e">
        <f t="shared" si="564"/>
        <v>#NUM!</v>
      </c>
      <c r="FZ81" s="277" t="e">
        <f t="shared" si="711"/>
        <v>#NUM!</v>
      </c>
      <c r="GA81" s="177" t="e">
        <f t="shared" si="712"/>
        <v>#NUM!</v>
      </c>
      <c r="GB81" s="4" t="e">
        <f t="shared" si="713"/>
        <v>#NUM!</v>
      </c>
      <c r="GC81" s="5" t="e">
        <f t="shared" si="714"/>
        <v>#NUM!</v>
      </c>
      <c r="GD81" s="10" t="e">
        <f t="shared" si="715"/>
        <v>#NUM!</v>
      </c>
      <c r="GE81" s="311" t="e">
        <f t="shared" si="716"/>
        <v>#NUM!</v>
      </c>
      <c r="GF81" s="341" t="e">
        <f t="shared" si="717"/>
        <v>#NUM!</v>
      </c>
      <c r="GG81" s="285" t="e">
        <f t="shared" si="565"/>
        <v>#NUM!</v>
      </c>
      <c r="GH81" s="286" t="e">
        <f t="shared" si="566"/>
        <v>#NUM!</v>
      </c>
      <c r="GI81" s="281" t="e">
        <f t="shared" si="567"/>
        <v>#NUM!</v>
      </c>
      <c r="GJ81" s="167">
        <f t="shared" si="718"/>
        <v>4.5156999999999998</v>
      </c>
      <c r="GK81" s="174">
        <f t="shared" si="568"/>
        <v>2.3644557832098765</v>
      </c>
      <c r="GL81" s="174">
        <f t="shared" si="719"/>
        <v>1.7399999999999999E-2</v>
      </c>
      <c r="GM81" s="177">
        <f t="shared" si="720"/>
        <v>0.49369836753422214</v>
      </c>
      <c r="GN81" s="280">
        <f t="shared" si="721"/>
        <v>2.5801753750250924E-2</v>
      </c>
      <c r="GO81" s="4" t="e">
        <f t="shared" si="722"/>
        <v>#NUM!</v>
      </c>
      <c r="GP81" s="8" t="e">
        <f t="shared" si="723"/>
        <v>#NUM!</v>
      </c>
      <c r="GQ81" s="177" t="e">
        <f t="shared" si="724"/>
        <v>#NUM!</v>
      </c>
      <c r="GR81" s="371" t="e">
        <f t="shared" si="725"/>
        <v>#NUM!</v>
      </c>
      <c r="GS81" s="342" t="e">
        <f t="shared" si="569"/>
        <v>#NUM!</v>
      </c>
      <c r="GT81" s="343" t="e">
        <f t="shared" si="570"/>
        <v>#NUM!</v>
      </c>
      <c r="GU81" s="344">
        <f t="shared" si="571"/>
        <v>1213.6751535216295</v>
      </c>
      <c r="GV81" s="343">
        <f t="shared" si="726"/>
        <v>513.29999999999995</v>
      </c>
      <c r="GW81" s="345">
        <f t="shared" si="572"/>
        <v>29500</v>
      </c>
      <c r="GX81" s="346">
        <f t="shared" si="573"/>
        <v>193.15906749999996</v>
      </c>
      <c r="GY81" s="344" t="e">
        <f t="shared" si="574"/>
        <v>#NUM!</v>
      </c>
      <c r="GZ81" s="345" t="e">
        <f t="shared" si="575"/>
        <v>#NUM!</v>
      </c>
      <c r="HA81" s="342" t="e">
        <f t="shared" si="576"/>
        <v>#NUM!</v>
      </c>
      <c r="HB81" s="5" t="e">
        <f t="shared" si="727"/>
        <v>#NUM!</v>
      </c>
      <c r="HC81" s="343" t="e">
        <f t="shared" si="728"/>
        <v>#NUM!</v>
      </c>
      <c r="HD81" s="363" t="e">
        <f t="shared" si="729"/>
        <v>#NUM!</v>
      </c>
      <c r="HE81" s="344" t="e">
        <f t="shared" si="577"/>
        <v>#NUM!</v>
      </c>
      <c r="HF81" s="5" t="e">
        <f t="shared" si="578"/>
        <v>#NUM!</v>
      </c>
      <c r="HG81" s="343" t="e">
        <f t="shared" si="730"/>
        <v>#NUM!</v>
      </c>
      <c r="HH81" s="349" t="e">
        <f t="shared" si="731"/>
        <v>#NUM!</v>
      </c>
      <c r="HI81" s="317">
        <f t="shared" si="579"/>
        <v>6.13</v>
      </c>
      <c r="HK81" s="310" t="str">
        <f t="shared" si="631"/>
        <v/>
      </c>
      <c r="HL81" s="348" t="str">
        <f t="shared" si="580"/>
        <v/>
      </c>
      <c r="HM81" s="909" t="str">
        <f t="shared" si="581"/>
        <v/>
      </c>
      <c r="HN81" s="910" t="str">
        <f t="shared" si="582"/>
        <v/>
      </c>
      <c r="HO81" s="911"/>
      <c r="HP81" s="912"/>
      <c r="HQ81" s="910" t="str">
        <f t="shared" si="583"/>
        <v/>
      </c>
      <c r="HR81" s="913" t="str">
        <f t="shared" si="584"/>
        <v/>
      </c>
      <c r="HS81" s="865" t="str">
        <f t="shared" si="632"/>
        <v/>
      </c>
      <c r="HT81" s="875" t="str">
        <f t="shared" si="585"/>
        <v/>
      </c>
      <c r="HU81" s="876" t="str">
        <f t="shared" si="586"/>
        <v/>
      </c>
      <c r="HV81" s="872" t="str">
        <f t="shared" si="587"/>
        <v/>
      </c>
      <c r="HW81" s="866" t="str">
        <f t="shared" si="588"/>
        <v/>
      </c>
      <c r="HX81" s="867" t="str">
        <f t="shared" si="589"/>
        <v/>
      </c>
      <c r="HY81" s="866" t="str">
        <f t="shared" si="590"/>
        <v/>
      </c>
      <c r="HZ81" s="868" t="str">
        <f t="shared" si="591"/>
        <v/>
      </c>
      <c r="IA81" s="869" t="str">
        <f t="shared" si="592"/>
        <v/>
      </c>
      <c r="IB81" s="870" t="str">
        <f t="shared" si="593"/>
        <v/>
      </c>
      <c r="IC81" s="841" t="str">
        <f t="shared" si="594"/>
        <v/>
      </c>
      <c r="ID81" s="351" t="str">
        <f t="shared" si="595"/>
        <v/>
      </c>
      <c r="IE81" s="843" t="str">
        <f t="shared" si="596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2"/>
        <v>6.13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7"/>
        <v>1613</v>
      </c>
      <c r="IM81" s="482" t="str">
        <f t="shared" si="733"/>
        <v/>
      </c>
      <c r="IN81" s="670" t="str">
        <f t="shared" si="598"/>
        <v/>
      </c>
      <c r="IO81" s="702">
        <v>1.0657420664600599E-2</v>
      </c>
      <c r="IP81" s="5" t="str">
        <f t="shared" si="599"/>
        <v/>
      </c>
      <c r="IQ81" s="714">
        <v>480</v>
      </c>
      <c r="IR81" s="9" t="str">
        <f t="shared" si="600"/>
        <v/>
      </c>
      <c r="IS81" s="5" t="str">
        <f t="shared" si="601"/>
        <v/>
      </c>
      <c r="IT81" s="5" t="str">
        <f t="shared" si="602"/>
        <v/>
      </c>
      <c r="IU81" s="5" t="str">
        <f t="shared" si="603"/>
        <v/>
      </c>
      <c r="IV81" s="670" t="str">
        <f t="shared" si="604"/>
        <v/>
      </c>
      <c r="IW81" s="9" t="str">
        <f t="shared" si="605"/>
        <v/>
      </c>
      <c r="IX81" s="5" t="str">
        <f t="shared" si="606"/>
        <v/>
      </c>
      <c r="IY81" s="5" t="str">
        <f t="shared" si="607"/>
        <v/>
      </c>
      <c r="IZ81" s="5" t="str">
        <f t="shared" si="608"/>
        <v/>
      </c>
      <c r="JA81" s="705" t="str">
        <f t="shared" si="609"/>
        <v/>
      </c>
    </row>
    <row r="82" spans="1:261" ht="15" customHeight="1" x14ac:dyDescent="0.25">
      <c r="A82" s="75">
        <f t="shared" si="516"/>
        <v>0</v>
      </c>
      <c r="B82" s="578">
        <f t="shared" si="517"/>
        <v>-3.7201860614474498</v>
      </c>
      <c r="C82" s="572">
        <f t="shared" si="518"/>
        <v>2.6742103221044835</v>
      </c>
      <c r="D82" s="576">
        <f t="shared" si="519"/>
        <v>-2.1642065272468862</v>
      </c>
      <c r="E82" s="580">
        <f t="shared" si="520"/>
        <v>-0.87311412183032799</v>
      </c>
      <c r="F82" s="572">
        <f t="shared" si="521"/>
        <v>-0.46773781305221446</v>
      </c>
      <c r="G82" s="579">
        <f t="shared" si="522"/>
        <v>0.13745205892087309</v>
      </c>
      <c r="H82" s="580">
        <f t="shared" si="523"/>
        <v>0.3125</v>
      </c>
      <c r="I82" s="572">
        <f t="shared" si="524"/>
        <v>0.52</v>
      </c>
      <c r="J82" s="483">
        <f t="shared" si="525"/>
        <v>6.1360000000000001</v>
      </c>
      <c r="K82" s="806">
        <f t="shared" si="526"/>
        <v>1613</v>
      </c>
      <c r="L82" s="309"/>
      <c r="M82" s="164">
        <f t="shared" si="527"/>
        <v>6.1360000000000001</v>
      </c>
      <c r="N82" s="575">
        <f t="shared" si="528"/>
        <v>-3.7201860614474498</v>
      </c>
      <c r="O82" s="572">
        <f t="shared" si="529"/>
        <v>2.6742103221044835</v>
      </c>
      <c r="P82" s="576">
        <f t="shared" si="530"/>
        <v>-2.1642065272468862</v>
      </c>
      <c r="Q82" s="528">
        <f t="shared" si="610"/>
        <v>144.28999216149495</v>
      </c>
      <c r="R82" s="572">
        <f t="shared" si="101"/>
        <v>4.5816138181472752</v>
      </c>
      <c r="S82" s="577">
        <f t="shared" si="102"/>
        <v>-2.1642065272468862</v>
      </c>
      <c r="T82" s="578">
        <f t="shared" si="103"/>
        <v>2.6683633715778785</v>
      </c>
      <c r="U82" s="572">
        <f t="shared" si="104"/>
        <v>3.7243821092712266</v>
      </c>
      <c r="V82" s="579">
        <f t="shared" si="141"/>
        <v>-2.1642065272468862</v>
      </c>
      <c r="W82" s="528">
        <f t="shared" si="736"/>
        <v>54.379992148500563</v>
      </c>
      <c r="X82" s="572">
        <f t="shared" si="105"/>
        <v>4.5816138181472752</v>
      </c>
      <c r="Y82" s="573">
        <f t="shared" si="734"/>
        <v>-2.1642065272468862</v>
      </c>
      <c r="Z82" s="575">
        <f t="shared" si="531"/>
        <v>0.87311412183032799</v>
      </c>
      <c r="AA82" s="572">
        <f t="shared" si="532"/>
        <v>0.46773781305221446</v>
      </c>
      <c r="AB82" s="572">
        <f t="shared" si="533"/>
        <v>-0.13745205892087309</v>
      </c>
      <c r="AC82" s="579">
        <f t="shared" si="106"/>
        <v>1</v>
      </c>
      <c r="AD82" s="580">
        <f t="shared" si="142"/>
        <v>0.87311412183032799</v>
      </c>
      <c r="AE82" s="572">
        <f t="shared" si="107"/>
        <v>0.46773781305221446</v>
      </c>
      <c r="AF82" s="576">
        <f t="shared" si="108"/>
        <v>-0.13745205892087309</v>
      </c>
      <c r="AG82" s="545">
        <f t="shared" si="109"/>
        <v>73.623751366552042</v>
      </c>
      <c r="AH82" s="546">
        <f t="shared" si="110"/>
        <v>29.177437730910725</v>
      </c>
      <c r="AI82" s="528">
        <f t="shared" si="111"/>
        <v>-82.099565418835454</v>
      </c>
      <c r="AJ82" s="529">
        <f t="shared" si="112"/>
        <v>118.17849348208289</v>
      </c>
      <c r="AK82" s="578">
        <f t="shared" si="238"/>
        <v>0.88941640462191118</v>
      </c>
      <c r="AL82" s="572">
        <f t="shared" si="113"/>
        <v>-0.43594195793459256</v>
      </c>
      <c r="AM82" s="577">
        <f t="shared" si="114"/>
        <v>-0.13745205892087309</v>
      </c>
      <c r="AN82" s="524">
        <f t="shared" si="115"/>
        <v>-72.499989532296652</v>
      </c>
      <c r="AO82" s="525">
        <f t="shared" si="515"/>
        <v>27.199996072806407</v>
      </c>
      <c r="AP82" s="528">
        <f t="shared" si="117"/>
        <v>-26.111498679412055</v>
      </c>
      <c r="AQ82" s="529">
        <f t="shared" si="534"/>
        <v>0.33171734545846032</v>
      </c>
      <c r="AS82" s="932">
        <f t="shared" si="633"/>
        <v>-305.62000785149945</v>
      </c>
      <c r="AT82" s="928">
        <f t="shared" si="535"/>
        <v>-2.0226741162105415</v>
      </c>
      <c r="AU82" s="418"/>
      <c r="AV82" s="164">
        <f t="shared" si="536"/>
        <v>6.1360000000000001</v>
      </c>
      <c r="AW82" s="797">
        <f>IFERROR(INDEX(MassProp!C$9:C$150,MATCH($M82,MassProp!$B$9:$B$150,0)),"")</f>
        <v>4.8231999999999999</v>
      </c>
      <c r="AX82" s="744">
        <f>IFERROR(INDEX(MassProp!D$9:D$150,MATCH($M82,MassProp!$B$9:$B$150,0)),"")</f>
        <v>-1.6242000000000001</v>
      </c>
      <c r="AY82" s="731">
        <f>IFERROR(INDEX(MassProp!E$9:E$150,MATCH($M82,MassProp!$B$9:$B$150,0)),"")</f>
        <v>8.5000000000000006E-3</v>
      </c>
      <c r="AZ82" s="297">
        <f t="shared" si="634"/>
        <v>0.25759690021853549</v>
      </c>
      <c r="BA82" s="296">
        <f t="shared" si="537"/>
        <v>1.3462575984324869E-2</v>
      </c>
      <c r="BB82" s="177">
        <f t="shared" si="611"/>
        <v>0.23180744954387467</v>
      </c>
      <c r="BC82" s="9"/>
      <c r="BD82" s="5">
        <f t="shared" si="612"/>
        <v>4.8231999999999999</v>
      </c>
      <c r="BE82" s="6">
        <f t="shared" si="538"/>
        <v>-1.9323990777030116</v>
      </c>
      <c r="BF82" s="4">
        <f t="shared" si="539"/>
        <v>-3.7201860614474498</v>
      </c>
      <c r="BG82" s="5">
        <f t="shared" si="540"/>
        <v>2.6742103221044835</v>
      </c>
      <c r="BH82" s="10">
        <f t="shared" si="541"/>
        <v>-2.1642065272468862</v>
      </c>
      <c r="BI82" s="9">
        <f t="shared" si="635"/>
        <v>-3.7201860614474498</v>
      </c>
      <c r="BJ82" s="5">
        <f t="shared" si="542"/>
        <v>2.9561540811179734</v>
      </c>
      <c r="BK82" s="8">
        <f t="shared" si="543"/>
        <v>-1.2047755934359405</v>
      </c>
      <c r="BL82" s="173">
        <f t="shared" si="544"/>
        <v>-3.2326701845157801</v>
      </c>
      <c r="BM82" s="5">
        <f t="shared" si="545"/>
        <v>1.8365176248732882</v>
      </c>
      <c r="BN82" s="6">
        <f t="shared" si="546"/>
        <v>-1.9180374496902814</v>
      </c>
      <c r="BO82" s="4">
        <f t="shared" si="636"/>
        <v>0.87311412183032755</v>
      </c>
      <c r="BP82" s="5">
        <f t="shared" si="735"/>
        <v>0.46773781305221407</v>
      </c>
      <c r="BQ82" s="5">
        <f t="shared" si="637"/>
        <v>-0.13745205892087276</v>
      </c>
      <c r="BR82" s="6">
        <f t="shared" si="638"/>
        <v>1.69984305528323</v>
      </c>
      <c r="BS82" s="4">
        <f t="shared" si="613"/>
        <v>0</v>
      </c>
      <c r="BT82" s="5">
        <f t="shared" si="613"/>
        <v>0</v>
      </c>
      <c r="BU82" s="10">
        <f t="shared" si="614"/>
        <v>-1.9323990777030116</v>
      </c>
      <c r="BV82" s="9">
        <f t="shared" si="615"/>
        <v>0</v>
      </c>
      <c r="BW82" s="5">
        <f t="shared" si="616"/>
        <v>1</v>
      </c>
      <c r="BX82" s="8">
        <f t="shared" si="617"/>
        <v>-1.9323990777030116</v>
      </c>
      <c r="BY82" s="173">
        <f t="shared" si="618"/>
        <v>1</v>
      </c>
      <c r="BZ82" s="5">
        <f t="shared" si="619"/>
        <v>0</v>
      </c>
      <c r="CA82" s="6">
        <f t="shared" si="620"/>
        <v>-1.9323990777030116</v>
      </c>
      <c r="CB82" s="4">
        <f t="shared" si="639"/>
        <v>0</v>
      </c>
      <c r="CC82" s="5">
        <f t="shared" si="640"/>
        <v>0</v>
      </c>
      <c r="CD82" s="5">
        <f t="shared" si="641"/>
        <v>-1</v>
      </c>
      <c r="CE82" s="6">
        <f t="shared" si="642"/>
        <v>-1.9323990777030116</v>
      </c>
      <c r="CF82" s="4">
        <f t="shared" si="643"/>
        <v>-0.46773781305221407</v>
      </c>
      <c r="CG82" s="5">
        <f t="shared" si="644"/>
        <v>0.87311412183032755</v>
      </c>
      <c r="CH82" s="5">
        <f t="shared" si="645"/>
        <v>0</v>
      </c>
      <c r="CI82" s="4">
        <f t="shared" si="621"/>
        <v>0</v>
      </c>
      <c r="CJ82" s="5">
        <f t="shared" si="622"/>
        <v>-4.2020448899454248</v>
      </c>
      <c r="CK82" s="8">
        <f t="shared" si="623"/>
        <v>-1.9323990777030116</v>
      </c>
      <c r="CL82" s="173">
        <f t="shared" si="624"/>
        <v>-0.46773781305221407</v>
      </c>
      <c r="CM82" s="5">
        <f t="shared" si="625"/>
        <v>-3.3289307681150975</v>
      </c>
      <c r="CN82" s="6">
        <f t="shared" si="626"/>
        <v>-1.9323990777030116</v>
      </c>
      <c r="CO82" s="167">
        <f t="shared" si="547"/>
        <v>0.3125</v>
      </c>
      <c r="CP82" s="4">
        <f t="shared" si="646"/>
        <v>0.98110693149841166</v>
      </c>
      <c r="CQ82" s="5">
        <f t="shared" si="647"/>
        <v>-15.487654446957855</v>
      </c>
      <c r="CR82" s="5">
        <f t="shared" si="648"/>
        <v>61.078748516695455</v>
      </c>
      <c r="CS82" s="8">
        <f t="shared" si="649"/>
        <v>0.1683061204604428</v>
      </c>
      <c r="CT82" s="9">
        <f t="shared" si="650"/>
        <v>8.1020249811531393</v>
      </c>
      <c r="CU82" s="6">
        <f t="shared" si="651"/>
        <v>7.6838735276914374</v>
      </c>
      <c r="CV82" s="4">
        <f t="shared" si="652"/>
        <v>-3.7896234459789753</v>
      </c>
      <c r="CW82" s="5">
        <f t="shared" si="653"/>
        <v>2.8719475365214731</v>
      </c>
      <c r="CX82" s="8">
        <f t="shared" si="654"/>
        <v>-1.9323990777030116</v>
      </c>
      <c r="CY82" s="9">
        <f t="shared" si="655"/>
        <v>-3.5940381996121942</v>
      </c>
      <c r="CZ82" s="5">
        <f t="shared" si="656"/>
        <v>2.506853597440184</v>
      </c>
      <c r="DA82" s="6">
        <f t="shared" si="657"/>
        <v>-1.9323990777030116</v>
      </c>
      <c r="DB82" s="4">
        <f t="shared" si="658"/>
        <v>0</v>
      </c>
      <c r="DC82" s="5">
        <f t="shared" si="658"/>
        <v>0</v>
      </c>
      <c r="DD82" s="10">
        <f t="shared" si="659"/>
        <v>-10</v>
      </c>
      <c r="DE82" s="9">
        <f t="shared" si="660"/>
        <v>0</v>
      </c>
      <c r="DF82" s="5">
        <f t="shared" si="660"/>
        <v>0</v>
      </c>
      <c r="DG82" s="10">
        <f t="shared" si="661"/>
        <v>10</v>
      </c>
      <c r="DH82" s="70">
        <f t="shared" si="662"/>
        <v>4.8231999999999999</v>
      </c>
      <c r="DI82" s="4">
        <f t="shared" si="663"/>
        <v>0</v>
      </c>
      <c r="DJ82" s="5">
        <f t="shared" si="664"/>
        <v>0</v>
      </c>
      <c r="DK82" s="10">
        <f t="shared" si="665"/>
        <v>20</v>
      </c>
      <c r="DL82" s="9">
        <f t="shared" si="666"/>
        <v>-3.7896234459789753</v>
      </c>
      <c r="DM82" s="173">
        <f t="shared" si="667"/>
        <v>2.8719475365214731</v>
      </c>
      <c r="DN82" s="178">
        <f t="shared" si="668"/>
        <v>8.0676009222969878</v>
      </c>
      <c r="DO82" s="9">
        <f t="shared" si="669"/>
        <v>0.1955852463667811</v>
      </c>
      <c r="DP82" s="173">
        <f t="shared" si="670"/>
        <v>-0.36509393908128907</v>
      </c>
      <c r="DQ82" s="11">
        <f t="shared" si="671"/>
        <v>0</v>
      </c>
      <c r="DR82" s="173">
        <f t="shared" si="672"/>
        <v>161.35201844593976</v>
      </c>
      <c r="DS82" s="5">
        <f t="shared" si="673"/>
        <v>0</v>
      </c>
      <c r="DT82" s="5">
        <f t="shared" si="674"/>
        <v>400</v>
      </c>
      <c r="DU82" s="5">
        <f t="shared" si="675"/>
        <v>0.17154717295024646</v>
      </c>
      <c r="DV82" s="5">
        <f t="shared" si="676"/>
        <v>-1.7897250742625568</v>
      </c>
      <c r="DW82" s="5">
        <f t="shared" si="677"/>
        <v>87.69551315629252</v>
      </c>
      <c r="DX82" s="167">
        <f t="shared" si="678"/>
        <v>64.432254916292521</v>
      </c>
      <c r="DY82" s="9">
        <f t="shared" si="679"/>
        <v>68.618869180098585</v>
      </c>
      <c r="DZ82" s="5">
        <f t="shared" si="680"/>
        <v>-715.8900297050227</v>
      </c>
      <c r="EA82" s="10">
        <f t="shared" si="681"/>
        <v>-261.57189006187764</v>
      </c>
      <c r="EB82" s="6">
        <f t="shared" si="682"/>
        <v>530447.30193640536</v>
      </c>
      <c r="EC82" s="173">
        <f t="shared" si="683"/>
        <v>21.046807960107774</v>
      </c>
      <c r="ED82" s="5">
        <f t="shared" si="684"/>
        <v>-0.18111785885932546</v>
      </c>
      <c r="EE82" s="4">
        <f t="shared" si="685"/>
        <v>0.32682167413303276</v>
      </c>
      <c r="EF82" s="5">
        <f t="shared" si="686"/>
        <v>-4.8121144867217041</v>
      </c>
      <c r="EG82" s="10">
        <f t="shared" si="687"/>
        <v>-1.9323990777030116</v>
      </c>
      <c r="EH82" s="9">
        <f t="shared" si="688"/>
        <v>-3.8250474270254005</v>
      </c>
      <c r="EI82" s="5">
        <f t="shared" si="689"/>
        <v>2.938072569050393</v>
      </c>
      <c r="EJ82" s="6">
        <f t="shared" si="690"/>
        <v>-1.9323990777030116</v>
      </c>
      <c r="EK82" s="236" t="b">
        <f t="shared" si="691"/>
        <v>0</v>
      </c>
      <c r="EL82" s="238" t="b">
        <f t="shared" si="692"/>
        <v>0</v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e">
        <f t="shared" si="696"/>
        <v>#VALUE!</v>
      </c>
      <c r="EQ82" s="5" t="e">
        <f t="shared" si="697"/>
        <v>#VALUE!</v>
      </c>
      <c r="ER82" s="7" t="str">
        <f t="shared" si="698"/>
        <v/>
      </c>
      <c r="ES82" s="21">
        <f t="shared" si="548"/>
        <v>0.87311412183032799</v>
      </c>
      <c r="ET82" s="5">
        <f t="shared" si="549"/>
        <v>0.46773781305221446</v>
      </c>
      <c r="EU82" s="10">
        <f t="shared" si="550"/>
        <v>-0.13745205892087309</v>
      </c>
      <c r="EV82" s="174" t="e">
        <f t="shared" si="551"/>
        <v>#VALUE!</v>
      </c>
      <c r="EW82" s="9" t="e">
        <f t="shared" si="552"/>
        <v>#VALUE!</v>
      </c>
      <c r="EX82" s="5" t="e">
        <f t="shared" si="553"/>
        <v>#VALUE!</v>
      </c>
      <c r="EY82" s="6">
        <f t="shared" si="699"/>
        <v>-0.13745205892087309</v>
      </c>
      <c r="EZ82" s="51" t="e">
        <f t="shared" si="700"/>
        <v>#VALUE!</v>
      </c>
      <c r="FA82" s="173" t="e">
        <f t="shared" si="554"/>
        <v>#VALUE!</v>
      </c>
      <c r="FB82" s="5" t="e">
        <f t="shared" si="555"/>
        <v>#VALUE!</v>
      </c>
      <c r="FC82" s="6" t="e">
        <f t="shared" si="556"/>
        <v>#VALUE!</v>
      </c>
      <c r="FD82" s="4" t="e">
        <f t="shared" si="557"/>
        <v>#VALUE!</v>
      </c>
      <c r="FE82" s="5" t="e">
        <f t="shared" si="558"/>
        <v>#VALUE!</v>
      </c>
      <c r="FF82" s="7" t="e">
        <f t="shared" si="701"/>
        <v>#VALUE!</v>
      </c>
      <c r="FG82" s="173" t="e">
        <f t="shared" si="559"/>
        <v>#VALUE!</v>
      </c>
      <c r="FH82" s="5" t="e">
        <f t="shared" si="560"/>
        <v>#VALUE!</v>
      </c>
      <c r="FI82" s="10" t="e">
        <f t="shared" si="561"/>
        <v>#VALUE!</v>
      </c>
      <c r="FJ82" s="279" t="e">
        <f t="shared" si="702"/>
        <v>#VALUE!</v>
      </c>
      <c r="FK82" s="4">
        <f t="shared" si="562"/>
        <v>0.99050842071050216</v>
      </c>
      <c r="FL82" s="5" t="e">
        <f t="shared" si="627"/>
        <v>#VALUE!</v>
      </c>
      <c r="FM82" s="8" t="e">
        <f t="shared" si="628"/>
        <v>#VALUE!</v>
      </c>
      <c r="FN82" s="9" t="e">
        <f t="shared" si="629"/>
        <v>#VALUE!</v>
      </c>
      <c r="FO82" s="10" t="e">
        <f t="shared" si="563"/>
        <v>#VALUE!</v>
      </c>
      <c r="FP82" s="277" t="e">
        <f t="shared" si="630"/>
        <v>#VALUE!</v>
      </c>
      <c r="FQ82" s="173" t="e">
        <f t="shared" si="703"/>
        <v>#VALUE!</v>
      </c>
      <c r="FR82" s="10" t="e">
        <f t="shared" si="704"/>
        <v>#VALUE!</v>
      </c>
      <c r="FS82" s="9" t="e">
        <f t="shared" si="705"/>
        <v>#VALUE!</v>
      </c>
      <c r="FT82" s="6" t="e">
        <f t="shared" si="706"/>
        <v>#VALUE!</v>
      </c>
      <c r="FU82" s="4" t="e">
        <f t="shared" si="707"/>
        <v>#VALUE!</v>
      </c>
      <c r="FV82" s="5" t="e">
        <f t="shared" si="708"/>
        <v>#VALUE!</v>
      </c>
      <c r="FW82" s="8" t="e">
        <f t="shared" si="709"/>
        <v>#VALUE!</v>
      </c>
      <c r="FX82" s="9" t="e">
        <f t="shared" si="710"/>
        <v>#VALUE!</v>
      </c>
      <c r="FY82" s="10" t="e">
        <f t="shared" si="564"/>
        <v>#VALUE!</v>
      </c>
      <c r="FZ82" s="277" t="e">
        <f t="shared" si="711"/>
        <v>#VALUE!</v>
      </c>
      <c r="GA82" s="177" t="e">
        <f t="shared" si="712"/>
        <v>#VALUE!</v>
      </c>
      <c r="GB82" s="4" t="e">
        <f t="shared" si="713"/>
        <v>#VALUE!</v>
      </c>
      <c r="GC82" s="5" t="e">
        <f t="shared" si="714"/>
        <v>#VALUE!</v>
      </c>
      <c r="GD82" s="10" t="e">
        <f t="shared" si="715"/>
        <v>#VALUE!</v>
      </c>
      <c r="GE82" s="311" t="e">
        <f t="shared" si="716"/>
        <v>#VALUE!</v>
      </c>
      <c r="GF82" s="341" t="e">
        <f t="shared" si="717"/>
        <v>#VALUE!</v>
      </c>
      <c r="GG82" s="285" t="e">
        <f t="shared" si="565"/>
        <v>#VALUE!</v>
      </c>
      <c r="GH82" s="286" t="e">
        <f t="shared" si="566"/>
        <v>#VALUE!</v>
      </c>
      <c r="GI82" s="281" t="e">
        <f t="shared" si="567"/>
        <v>#VALUE!</v>
      </c>
      <c r="GJ82" s="167">
        <f t="shared" si="718"/>
        <v>4.8231999999999999</v>
      </c>
      <c r="GK82" s="174">
        <f t="shared" si="568"/>
        <v>2.5254598060640734</v>
      </c>
      <c r="GL82" s="174">
        <f t="shared" si="719"/>
        <v>8.5000000000000006E-3</v>
      </c>
      <c r="GM82" s="177">
        <f t="shared" si="720"/>
        <v>0.25759690021853549</v>
      </c>
      <c r="GN82" s="280">
        <f t="shared" si="721"/>
        <v>1.3462575984324869E-2</v>
      </c>
      <c r="GO82" s="4" t="e">
        <f t="shared" si="722"/>
        <v>#VALUE!</v>
      </c>
      <c r="GP82" s="8" t="e">
        <f t="shared" si="723"/>
        <v>#VALUE!</v>
      </c>
      <c r="GQ82" s="177" t="e">
        <f t="shared" si="724"/>
        <v>#VALUE!</v>
      </c>
      <c r="GR82" s="371" t="e">
        <f t="shared" si="725"/>
        <v>#VALUE!</v>
      </c>
      <c r="GS82" s="342" t="e">
        <f t="shared" si="569"/>
        <v>#VALUE!</v>
      </c>
      <c r="GT82" s="343" t="e">
        <f t="shared" si="570"/>
        <v>#VALUE!</v>
      </c>
      <c r="GU82" s="344">
        <f t="shared" si="571"/>
        <v>633.25904637056647</v>
      </c>
      <c r="GV82" s="343">
        <f t="shared" si="726"/>
        <v>250.75000000000003</v>
      </c>
      <c r="GW82" s="345">
        <f t="shared" si="572"/>
        <v>29500</v>
      </c>
      <c r="GX82" s="346">
        <f t="shared" si="573"/>
        <v>100.78478333333334</v>
      </c>
      <c r="GY82" s="344" t="e">
        <f t="shared" si="574"/>
        <v>#VALUE!</v>
      </c>
      <c r="GZ82" s="345" t="e">
        <f t="shared" si="575"/>
        <v>#VALUE!</v>
      </c>
      <c r="HA82" s="342" t="e">
        <f t="shared" si="576"/>
        <v>#VALUE!</v>
      </c>
      <c r="HB82" s="5" t="e">
        <f t="shared" si="727"/>
        <v>#VALUE!</v>
      </c>
      <c r="HC82" s="343" t="e">
        <f t="shared" si="728"/>
        <v>#VALUE!</v>
      </c>
      <c r="HD82" s="363" t="e">
        <f t="shared" si="729"/>
        <v>#VALUE!</v>
      </c>
      <c r="HE82" s="344" t="e">
        <f t="shared" si="577"/>
        <v>#VALUE!</v>
      </c>
      <c r="HF82" s="5" t="e">
        <f t="shared" si="578"/>
        <v>#VALUE!</v>
      </c>
      <c r="HG82" s="343" t="e">
        <f t="shared" si="730"/>
        <v>#VALUE!</v>
      </c>
      <c r="HH82" s="349" t="e">
        <f t="shared" si="731"/>
        <v>#VALUE!</v>
      </c>
      <c r="HI82" s="317">
        <f t="shared" si="579"/>
        <v>6.1360000000000001</v>
      </c>
      <c r="HK82" s="310" t="str">
        <f t="shared" si="631"/>
        <v/>
      </c>
      <c r="HL82" s="348" t="str">
        <f t="shared" si="580"/>
        <v/>
      </c>
      <c r="HM82" s="909" t="str">
        <f t="shared" si="581"/>
        <v/>
      </c>
      <c r="HN82" s="910" t="str">
        <f t="shared" si="582"/>
        <v/>
      </c>
      <c r="HO82" s="911"/>
      <c r="HP82" s="912"/>
      <c r="HQ82" s="910" t="str">
        <f t="shared" si="583"/>
        <v/>
      </c>
      <c r="HR82" s="913" t="str">
        <f t="shared" si="584"/>
        <v/>
      </c>
      <c r="HS82" s="865" t="str">
        <f t="shared" si="632"/>
        <v/>
      </c>
      <c r="HT82" s="875" t="str">
        <f t="shared" si="585"/>
        <v/>
      </c>
      <c r="HU82" s="876" t="str">
        <f t="shared" si="586"/>
        <v/>
      </c>
      <c r="HV82" s="872" t="str">
        <f t="shared" si="587"/>
        <v/>
      </c>
      <c r="HW82" s="866" t="str">
        <f t="shared" si="588"/>
        <v/>
      </c>
      <c r="HX82" s="867" t="str">
        <f t="shared" si="589"/>
        <v/>
      </c>
      <c r="HY82" s="866" t="str">
        <f t="shared" si="590"/>
        <v/>
      </c>
      <c r="HZ82" s="868" t="str">
        <f t="shared" si="591"/>
        <v/>
      </c>
      <c r="IA82" s="869" t="str">
        <f t="shared" si="592"/>
        <v/>
      </c>
      <c r="IB82" s="870" t="str">
        <f t="shared" si="593"/>
        <v/>
      </c>
      <c r="IC82" s="841" t="str">
        <f t="shared" si="594"/>
        <v/>
      </c>
      <c r="ID82" s="351" t="str">
        <f t="shared" si="595"/>
        <v/>
      </c>
      <c r="IE82" s="843" t="str">
        <f t="shared" si="596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2"/>
        <v>6.1360000000000001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7"/>
        <v>1613</v>
      </c>
      <c r="IM82" s="482" t="str">
        <f t="shared" si="733"/>
        <v/>
      </c>
      <c r="IN82" s="670" t="str">
        <f t="shared" si="598"/>
        <v/>
      </c>
      <c r="IO82" s="702">
        <v>0</v>
      </c>
      <c r="IP82" s="5" t="str">
        <f t="shared" si="599"/>
        <v/>
      </c>
      <c r="IQ82" s="714">
        <v>0</v>
      </c>
      <c r="IR82" s="9" t="str">
        <f t="shared" si="600"/>
        <v/>
      </c>
      <c r="IS82" s="5" t="str">
        <f t="shared" si="601"/>
        <v/>
      </c>
      <c r="IT82" s="5" t="str">
        <f t="shared" si="602"/>
        <v/>
      </c>
      <c r="IU82" s="5" t="str">
        <f t="shared" si="603"/>
        <v/>
      </c>
      <c r="IV82" s="670" t="str">
        <f t="shared" si="604"/>
        <v/>
      </c>
      <c r="IW82" s="9" t="str">
        <f t="shared" si="605"/>
        <v/>
      </c>
      <c r="IX82" s="5" t="str">
        <f t="shared" si="606"/>
        <v/>
      </c>
      <c r="IY82" s="5" t="str">
        <f t="shared" si="607"/>
        <v/>
      </c>
      <c r="IZ82" s="5" t="str">
        <f t="shared" si="608"/>
        <v/>
      </c>
      <c r="JA82" s="705" t="str">
        <f t="shared" si="609"/>
        <v/>
      </c>
    </row>
    <row r="83" spans="1:261" ht="15" customHeight="1" x14ac:dyDescent="0.25">
      <c r="A83" s="75">
        <f t="shared" si="516"/>
        <v>0</v>
      </c>
      <c r="B83" s="578">
        <f t="shared" si="517"/>
        <v>-3.8008015205968859</v>
      </c>
      <c r="C83" s="572">
        <f t="shared" si="518"/>
        <v>2.7503114036392367</v>
      </c>
      <c r="D83" s="576">
        <f t="shared" si="519"/>
        <v>-2.9661089457845793</v>
      </c>
      <c r="E83" s="580">
        <f t="shared" si="520"/>
        <v>-0.91122149263413377</v>
      </c>
      <c r="F83" s="572">
        <f t="shared" si="521"/>
        <v>-0.40960511677322387</v>
      </c>
      <c r="G83" s="579">
        <f t="shared" si="522"/>
        <v>4.3577972357775059E-2</v>
      </c>
      <c r="H83" s="580">
        <f t="shared" si="523"/>
        <v>0.3125</v>
      </c>
      <c r="I83" s="572">
        <f t="shared" si="524"/>
        <v>0.52</v>
      </c>
      <c r="J83" s="483">
        <f t="shared" si="525"/>
        <v>6.1420000000000003</v>
      </c>
      <c r="K83" s="806">
        <f t="shared" si="526"/>
        <v>1613</v>
      </c>
      <c r="L83" s="309"/>
      <c r="M83" s="164">
        <f t="shared" si="527"/>
        <v>6.1420000000000003</v>
      </c>
      <c r="N83" s="575">
        <f t="shared" si="528"/>
        <v>-3.8008015205968859</v>
      </c>
      <c r="O83" s="572">
        <f t="shared" si="529"/>
        <v>2.7503114036392367</v>
      </c>
      <c r="P83" s="576">
        <f t="shared" si="530"/>
        <v>-2.9661089457845793</v>
      </c>
      <c r="Q83" s="528">
        <f t="shared" si="610"/>
        <v>144.10999218748373</v>
      </c>
      <c r="R83" s="572">
        <f t="shared" si="101"/>
        <v>4.6915141496066735</v>
      </c>
      <c r="S83" s="577">
        <f t="shared" si="102"/>
        <v>-2.9661089457845793</v>
      </c>
      <c r="T83" s="578">
        <f t="shared" si="103"/>
        <v>2.7443377288299757</v>
      </c>
      <c r="U83" s="572">
        <f t="shared" si="104"/>
        <v>3.8051170081982972</v>
      </c>
      <c r="V83" s="579">
        <f t="shared" si="141"/>
        <v>-2.9661089457845793</v>
      </c>
      <c r="W83" s="528">
        <f t="shared" si="736"/>
        <v>54.199992174489338</v>
      </c>
      <c r="X83" s="572">
        <f t="shared" si="105"/>
        <v>4.6915141496066735</v>
      </c>
      <c r="Y83" s="573">
        <f t="shared" si="734"/>
        <v>-2.9661089457845793</v>
      </c>
      <c r="Z83" s="575">
        <f t="shared" si="531"/>
        <v>0.91122149263413377</v>
      </c>
      <c r="AA83" s="572">
        <f t="shared" si="532"/>
        <v>0.40960511677322387</v>
      </c>
      <c r="AB83" s="572">
        <f t="shared" si="533"/>
        <v>-4.3577972357775059E-2</v>
      </c>
      <c r="AC83" s="579">
        <f t="shared" si="106"/>
        <v>1</v>
      </c>
      <c r="AD83" s="580">
        <f t="shared" si="142"/>
        <v>0.91122149263413377</v>
      </c>
      <c r="AE83" s="572">
        <f t="shared" si="107"/>
        <v>0.40960511677322387</v>
      </c>
      <c r="AF83" s="576">
        <f t="shared" si="108"/>
        <v>-4.3577972357775059E-2</v>
      </c>
      <c r="AG83" s="545">
        <f t="shared" si="109"/>
        <v>83.927134189186191</v>
      </c>
      <c r="AH83" s="546">
        <f t="shared" si="110"/>
        <v>24.325297698981359</v>
      </c>
      <c r="AI83" s="528">
        <f t="shared" si="111"/>
        <v>-87.502375163624492</v>
      </c>
      <c r="AJ83" s="529">
        <f t="shared" si="112"/>
        <v>114.20449556843141</v>
      </c>
      <c r="AK83" s="578">
        <f t="shared" si="238"/>
        <v>0.86602544158358574</v>
      </c>
      <c r="AL83" s="572">
        <f t="shared" si="113"/>
        <v>-0.49809727449077701</v>
      </c>
      <c r="AM83" s="577">
        <f t="shared" si="114"/>
        <v>-4.3577972357775059E-2</v>
      </c>
      <c r="AN83" s="524">
        <f t="shared" si="115"/>
        <v>-84.999987727520164</v>
      </c>
      <c r="AO83" s="525">
        <f t="shared" si="515"/>
        <v>29.99999566853651</v>
      </c>
      <c r="AP83" s="528">
        <f t="shared" si="117"/>
        <v>-29.905496619052304</v>
      </c>
      <c r="AQ83" s="529">
        <f t="shared" si="534"/>
        <v>0.32394692021455679</v>
      </c>
      <c r="AS83" s="932">
        <f t="shared" si="633"/>
        <v>-305.80000782551065</v>
      </c>
      <c r="AT83" s="928">
        <f t="shared" si="535"/>
        <v>-2.8244932014269328</v>
      </c>
      <c r="AU83" s="418"/>
      <c r="AV83" s="164" t="str">
        <f t="shared" si="536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4"/>
        <v/>
      </c>
      <c r="BA83" s="296" t="str">
        <f t="shared" si="537"/>
        <v/>
      </c>
      <c r="BB83" s="177" t="str">
        <f t="shared" si="611"/>
        <v/>
      </c>
      <c r="BC83" s="9"/>
      <c r="BD83" s="5" t="str">
        <f t="shared" si="612"/>
        <v/>
      </c>
      <c r="BE83" s="6" t="str">
        <f t="shared" si="538"/>
        <v/>
      </c>
      <c r="BF83" s="4" t="str">
        <f t="shared" si="539"/>
        <v/>
      </c>
      <c r="BG83" s="5" t="str">
        <f t="shared" si="540"/>
        <v/>
      </c>
      <c r="BH83" s="10" t="str">
        <f t="shared" si="541"/>
        <v/>
      </c>
      <c r="BI83" s="9" t="str">
        <f t="shared" si="635"/>
        <v/>
      </c>
      <c r="BJ83" s="5" t="str">
        <f t="shared" si="542"/>
        <v/>
      </c>
      <c r="BK83" s="8" t="str">
        <f t="shared" si="543"/>
        <v/>
      </c>
      <c r="BL83" s="173" t="str">
        <f t="shared" si="544"/>
        <v/>
      </c>
      <c r="BM83" s="5" t="str">
        <f t="shared" si="545"/>
        <v/>
      </c>
      <c r="BN83" s="6" t="str">
        <f t="shared" si="546"/>
        <v/>
      </c>
      <c r="BO83" s="4" t="str">
        <f t="shared" si="636"/>
        <v/>
      </c>
      <c r="BP83" s="5" t="str">
        <f t="shared" si="735"/>
        <v/>
      </c>
      <c r="BQ83" s="5" t="str">
        <f t="shared" si="637"/>
        <v/>
      </c>
      <c r="BR83" s="6" t="str">
        <f t="shared" si="638"/>
        <v/>
      </c>
      <c r="BS83" s="4" t="str">
        <f t="shared" si="613"/>
        <v/>
      </c>
      <c r="BT83" s="5" t="str">
        <f t="shared" si="613"/>
        <v/>
      </c>
      <c r="BU83" s="10" t="str">
        <f t="shared" si="614"/>
        <v/>
      </c>
      <c r="BV83" s="9" t="str">
        <f t="shared" si="615"/>
        <v/>
      </c>
      <c r="BW83" s="5" t="str">
        <f t="shared" si="616"/>
        <v/>
      </c>
      <c r="BX83" s="8" t="str">
        <f t="shared" si="617"/>
        <v/>
      </c>
      <c r="BY83" s="173" t="str">
        <f t="shared" si="618"/>
        <v/>
      </c>
      <c r="BZ83" s="5" t="str">
        <f t="shared" si="619"/>
        <v/>
      </c>
      <c r="CA83" s="6" t="str">
        <f t="shared" si="620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1"/>
        <v/>
      </c>
      <c r="CJ83" s="5" t="str">
        <f t="shared" si="622"/>
        <v/>
      </c>
      <c r="CK83" s="8" t="str">
        <f t="shared" si="623"/>
        <v/>
      </c>
      <c r="CL83" s="173" t="str">
        <f t="shared" si="624"/>
        <v/>
      </c>
      <c r="CM83" s="5" t="str">
        <f t="shared" si="625"/>
        <v/>
      </c>
      <c r="CN83" s="6" t="str">
        <f t="shared" si="626"/>
        <v/>
      </c>
      <c r="CO83" s="167" t="str">
        <f t="shared" si="547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8"/>
        <v/>
      </c>
      <c r="ET83" s="5" t="str">
        <f t="shared" si="549"/>
        <v/>
      </c>
      <c r="EU83" s="10" t="str">
        <f t="shared" si="550"/>
        <v/>
      </c>
      <c r="EV83" s="174" t="str">
        <f t="shared" si="551"/>
        <v/>
      </c>
      <c r="EW83" s="9" t="str">
        <f t="shared" si="552"/>
        <v/>
      </c>
      <c r="EX83" s="5" t="str">
        <f t="shared" si="553"/>
        <v/>
      </c>
      <c r="EY83" s="6" t="str">
        <f t="shared" si="699"/>
        <v/>
      </c>
      <c r="EZ83" s="51" t="str">
        <f t="shared" si="700"/>
        <v/>
      </c>
      <c r="FA83" s="173" t="str">
        <f t="shared" si="554"/>
        <v/>
      </c>
      <c r="FB83" s="5" t="str">
        <f t="shared" si="555"/>
        <v/>
      </c>
      <c r="FC83" s="6" t="str">
        <f t="shared" si="556"/>
        <v/>
      </c>
      <c r="FD83" s="4" t="str">
        <f t="shared" si="557"/>
        <v/>
      </c>
      <c r="FE83" s="5" t="str">
        <f t="shared" si="558"/>
        <v/>
      </c>
      <c r="FF83" s="7" t="str">
        <f t="shared" si="701"/>
        <v/>
      </c>
      <c r="FG83" s="173" t="str">
        <f t="shared" si="559"/>
        <v/>
      </c>
      <c r="FH83" s="5" t="str">
        <f t="shared" si="560"/>
        <v/>
      </c>
      <c r="FI83" s="10" t="str">
        <f t="shared" si="561"/>
        <v/>
      </c>
      <c r="FJ83" s="279" t="str">
        <f t="shared" si="702"/>
        <v/>
      </c>
      <c r="FK83" s="4" t="str">
        <f t="shared" si="562"/>
        <v/>
      </c>
      <c r="FL83" s="5" t="str">
        <f t="shared" si="627"/>
        <v/>
      </c>
      <c r="FM83" s="8" t="str">
        <f t="shared" si="628"/>
        <v/>
      </c>
      <c r="FN83" s="9" t="str">
        <f t="shared" si="629"/>
        <v/>
      </c>
      <c r="FO83" s="10" t="str">
        <f t="shared" si="563"/>
        <v/>
      </c>
      <c r="FP83" s="277" t="str">
        <f t="shared" si="630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4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5"/>
        <v/>
      </c>
      <c r="GH83" s="286" t="str">
        <f t="shared" si="566"/>
        <v/>
      </c>
      <c r="GI83" s="281" t="str">
        <f t="shared" si="567"/>
        <v/>
      </c>
      <c r="GJ83" s="167" t="str">
        <f t="shared" si="718"/>
        <v/>
      </c>
      <c r="GK83" s="174" t="str">
        <f t="shared" si="568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9"/>
        <v/>
      </c>
      <c r="GT83" s="343" t="str">
        <f t="shared" si="570"/>
        <v/>
      </c>
      <c r="GU83" s="344" t="str">
        <f t="shared" si="571"/>
        <v/>
      </c>
      <c r="GV83" s="343" t="str">
        <f t="shared" si="726"/>
        <v/>
      </c>
      <c r="GW83" s="345" t="str">
        <f t="shared" si="572"/>
        <v/>
      </c>
      <c r="GX83" s="346" t="str">
        <f t="shared" si="573"/>
        <v/>
      </c>
      <c r="GY83" s="344" t="str">
        <f t="shared" si="574"/>
        <v/>
      </c>
      <c r="GZ83" s="345" t="str">
        <f t="shared" si="575"/>
        <v/>
      </c>
      <c r="HA83" s="342" t="str">
        <f t="shared" si="576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7"/>
        <v/>
      </c>
      <c r="HF83" s="5" t="str">
        <f t="shared" si="578"/>
        <v/>
      </c>
      <c r="HG83" s="343" t="str">
        <f t="shared" si="730"/>
        <v/>
      </c>
      <c r="HH83" s="349" t="str">
        <f t="shared" si="731"/>
        <v/>
      </c>
      <c r="HI83" s="317" t="str">
        <f t="shared" si="579"/>
        <v/>
      </c>
      <c r="HK83" s="310" t="str">
        <f t="shared" si="631"/>
        <v/>
      </c>
      <c r="HL83" s="348" t="str">
        <f t="shared" si="580"/>
        <v/>
      </c>
      <c r="HM83" s="909" t="str">
        <f t="shared" si="581"/>
        <v/>
      </c>
      <c r="HN83" s="910" t="str">
        <f t="shared" si="582"/>
        <v/>
      </c>
      <c r="HO83" s="911"/>
      <c r="HP83" s="912"/>
      <c r="HQ83" s="910" t="str">
        <f t="shared" si="583"/>
        <v/>
      </c>
      <c r="HR83" s="913" t="str">
        <f t="shared" si="584"/>
        <v/>
      </c>
      <c r="HS83" s="865" t="str">
        <f t="shared" si="632"/>
        <v/>
      </c>
      <c r="HT83" s="875" t="str">
        <f t="shared" si="585"/>
        <v/>
      </c>
      <c r="HU83" s="876" t="str">
        <f t="shared" si="586"/>
        <v/>
      </c>
      <c r="HV83" s="872" t="str">
        <f t="shared" si="587"/>
        <v/>
      </c>
      <c r="HW83" s="866" t="str">
        <f t="shared" si="588"/>
        <v/>
      </c>
      <c r="HX83" s="867" t="str">
        <f t="shared" si="589"/>
        <v/>
      </c>
      <c r="HY83" s="866" t="str">
        <f t="shared" si="590"/>
        <v/>
      </c>
      <c r="HZ83" s="868" t="str">
        <f t="shared" si="591"/>
        <v/>
      </c>
      <c r="IA83" s="869" t="str">
        <f t="shared" si="592"/>
        <v/>
      </c>
      <c r="IB83" s="870" t="str">
        <f t="shared" si="593"/>
        <v/>
      </c>
      <c r="IC83" s="841" t="str">
        <f t="shared" si="594"/>
        <v/>
      </c>
      <c r="ID83" s="351" t="str">
        <f t="shared" si="595"/>
        <v/>
      </c>
      <c r="IE83" s="843" t="str">
        <f t="shared" si="596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2"/>
        <v>6.1420000000000003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7"/>
        <v>1613</v>
      </c>
      <c r="IM83" s="482" t="str">
        <f t="shared" si="733"/>
        <v/>
      </c>
      <c r="IN83" s="670" t="str">
        <f t="shared" si="598"/>
        <v/>
      </c>
      <c r="IO83" s="702"/>
      <c r="IP83" s="5" t="str">
        <f t="shared" si="599"/>
        <v/>
      </c>
      <c r="IQ83" s="714"/>
      <c r="IR83" s="9" t="str">
        <f t="shared" si="600"/>
        <v/>
      </c>
      <c r="IS83" s="5" t="str">
        <f t="shared" si="601"/>
        <v/>
      </c>
      <c r="IT83" s="5" t="str">
        <f t="shared" si="602"/>
        <v/>
      </c>
      <c r="IU83" s="5" t="str">
        <f t="shared" si="603"/>
        <v/>
      </c>
      <c r="IV83" s="670" t="str">
        <f t="shared" si="604"/>
        <v/>
      </c>
      <c r="IW83" s="9" t="str">
        <f t="shared" si="605"/>
        <v/>
      </c>
      <c r="IX83" s="5" t="str">
        <f t="shared" si="606"/>
        <v/>
      </c>
      <c r="IY83" s="5" t="str">
        <f t="shared" si="607"/>
        <v/>
      </c>
      <c r="IZ83" s="5" t="str">
        <f t="shared" si="608"/>
        <v/>
      </c>
      <c r="JA83" s="705" t="str">
        <f t="shared" si="609"/>
        <v/>
      </c>
    </row>
    <row r="84" spans="1:261" ht="15" customHeight="1" x14ac:dyDescent="0.25">
      <c r="A84" s="75">
        <f t="shared" si="516"/>
        <v>0</v>
      </c>
      <c r="B84" s="578">
        <f t="shared" si="517"/>
        <v>-2.191525364735591</v>
      </c>
      <c r="C84" s="572">
        <f t="shared" si="518"/>
        <v>2.4772422044249782</v>
      </c>
      <c r="D84" s="576">
        <f t="shared" si="519"/>
        <v>-0.38386104208865035</v>
      </c>
      <c r="E84" s="580">
        <f t="shared" si="520"/>
        <v>-0.80905728777847541</v>
      </c>
      <c r="F84" s="572">
        <f t="shared" si="521"/>
        <v>-0.48360013397654383</v>
      </c>
      <c r="G84" s="579">
        <f t="shared" si="522"/>
        <v>0.33400181962139991</v>
      </c>
      <c r="H84" s="580">
        <f t="shared" si="523"/>
        <v>0.26450000000000001</v>
      </c>
      <c r="I84" s="572">
        <f t="shared" si="524"/>
        <v>0.52</v>
      </c>
      <c r="J84" s="483">
        <f t="shared" si="525"/>
        <v>6.218</v>
      </c>
      <c r="K84" s="806">
        <f t="shared" si="526"/>
        <v>1313</v>
      </c>
      <c r="L84" s="309"/>
      <c r="M84" s="164">
        <f t="shared" si="527"/>
        <v>6.218</v>
      </c>
      <c r="N84" s="575">
        <f t="shared" si="528"/>
        <v>-2.191525364735591</v>
      </c>
      <c r="O84" s="572">
        <f t="shared" si="529"/>
        <v>2.4772422044249782</v>
      </c>
      <c r="P84" s="576">
        <f t="shared" si="530"/>
        <v>-0.38386104208865035</v>
      </c>
      <c r="Q84" s="528">
        <f t="shared" si="610"/>
        <v>131.49800976209787</v>
      </c>
      <c r="R84" s="572">
        <f t="shared" si="101"/>
        <v>3.3074933656265726</v>
      </c>
      <c r="S84" s="577">
        <f t="shared" si="102"/>
        <v>-0.38386104208865035</v>
      </c>
      <c r="T84" s="578">
        <f t="shared" si="103"/>
        <v>2.4737967101710874</v>
      </c>
      <c r="U84" s="572">
        <f t="shared" si="104"/>
        <v>2.195413901844137</v>
      </c>
      <c r="V84" s="579">
        <f t="shared" si="141"/>
        <v>-0.38386104208865035</v>
      </c>
      <c r="W84" s="528">
        <f t="shared" si="736"/>
        <v>41.588009749103477</v>
      </c>
      <c r="X84" s="572">
        <f t="shared" si="105"/>
        <v>3.3074933656265726</v>
      </c>
      <c r="Y84" s="573">
        <f t="shared" si="734"/>
        <v>-0.38386104208865035</v>
      </c>
      <c r="Z84" s="575">
        <f t="shared" si="531"/>
        <v>0.80905728777847541</v>
      </c>
      <c r="AA84" s="572">
        <f t="shared" si="532"/>
        <v>0.48360013397654383</v>
      </c>
      <c r="AB84" s="572">
        <f t="shared" si="533"/>
        <v>-0.33400181962139991</v>
      </c>
      <c r="AC84" s="579">
        <f t="shared" si="106"/>
        <v>1</v>
      </c>
      <c r="AD84" s="580">
        <f t="shared" si="142"/>
        <v>0.80905728777847541</v>
      </c>
      <c r="AE84" s="572">
        <f t="shared" si="107"/>
        <v>0.48360013397654383</v>
      </c>
      <c r="AF84" s="576">
        <f t="shared" si="108"/>
        <v>-0.33400181962139991</v>
      </c>
      <c r="AG84" s="545">
        <f t="shared" si="109"/>
        <v>55.368830246633003</v>
      </c>
      <c r="AH84" s="546">
        <f t="shared" si="110"/>
        <v>35.996072118378734</v>
      </c>
      <c r="AI84" s="528">
        <f t="shared" si="111"/>
        <v>-70.488149453785923</v>
      </c>
      <c r="AJ84" s="529">
        <f t="shared" si="112"/>
        <v>120.86814847393391</v>
      </c>
      <c r="AK84" s="578">
        <f t="shared" si="238"/>
        <v>0.92639726837399583</v>
      </c>
      <c r="AL84" s="572">
        <f t="shared" si="113"/>
        <v>-0.17387031270114128</v>
      </c>
      <c r="AM84" s="577">
        <f t="shared" si="114"/>
        <v>-0.33400181962139991</v>
      </c>
      <c r="AN84" s="524">
        <f t="shared" si="115"/>
        <v>-27.499996029491825</v>
      </c>
      <c r="AO84" s="525">
        <f t="shared" si="515"/>
        <v>22.11999680626759</v>
      </c>
      <c r="AP84" s="528">
        <f t="shared" si="117"/>
        <v>-10.629861288163935</v>
      </c>
      <c r="AQ84" s="529">
        <f t="shared" si="534"/>
        <v>0.45949757216817649</v>
      </c>
      <c r="AS84" s="932">
        <f t="shared" si="633"/>
        <v>-318.41199025089651</v>
      </c>
      <c r="AT84" s="928">
        <f t="shared" si="535"/>
        <v>-0.23640641697851048</v>
      </c>
      <c r="AU84" s="418"/>
      <c r="AV84" s="164" t="str">
        <f t="shared" si="536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4"/>
        <v/>
      </c>
      <c r="BA84" s="296" t="str">
        <f t="shared" si="537"/>
        <v/>
      </c>
      <c r="BB84" s="177" t="str">
        <f t="shared" si="611"/>
        <v/>
      </c>
      <c r="BC84" s="9"/>
      <c r="BD84" s="5" t="str">
        <f t="shared" si="612"/>
        <v/>
      </c>
      <c r="BE84" s="6" t="str">
        <f t="shared" si="538"/>
        <v/>
      </c>
      <c r="BF84" s="4" t="str">
        <f t="shared" si="539"/>
        <v/>
      </c>
      <c r="BG84" s="5" t="str">
        <f t="shared" si="540"/>
        <v/>
      </c>
      <c r="BH84" s="10" t="str">
        <f t="shared" si="541"/>
        <v/>
      </c>
      <c r="BI84" s="9" t="str">
        <f t="shared" si="635"/>
        <v/>
      </c>
      <c r="BJ84" s="5" t="str">
        <f t="shared" si="542"/>
        <v/>
      </c>
      <c r="BK84" s="8" t="str">
        <f t="shared" si="543"/>
        <v/>
      </c>
      <c r="BL84" s="173" t="str">
        <f t="shared" si="544"/>
        <v/>
      </c>
      <c r="BM84" s="5" t="str">
        <f t="shared" si="545"/>
        <v/>
      </c>
      <c r="BN84" s="6" t="str">
        <f t="shared" si="546"/>
        <v/>
      </c>
      <c r="BO84" s="4" t="str">
        <f t="shared" si="636"/>
        <v/>
      </c>
      <c r="BP84" s="5" t="str">
        <f t="shared" si="735"/>
        <v/>
      </c>
      <c r="BQ84" s="5" t="str">
        <f t="shared" si="637"/>
        <v/>
      </c>
      <c r="BR84" s="6" t="str">
        <f t="shared" si="638"/>
        <v/>
      </c>
      <c r="BS84" s="4" t="str">
        <f t="shared" si="613"/>
        <v/>
      </c>
      <c r="BT84" s="5" t="str">
        <f t="shared" si="613"/>
        <v/>
      </c>
      <c r="BU84" s="10" t="str">
        <f t="shared" si="614"/>
        <v/>
      </c>
      <c r="BV84" s="9" t="str">
        <f t="shared" si="615"/>
        <v/>
      </c>
      <c r="BW84" s="5" t="str">
        <f t="shared" si="616"/>
        <v/>
      </c>
      <c r="BX84" s="8" t="str">
        <f t="shared" si="617"/>
        <v/>
      </c>
      <c r="BY84" s="173" t="str">
        <f t="shared" si="618"/>
        <v/>
      </c>
      <c r="BZ84" s="5" t="str">
        <f t="shared" si="619"/>
        <v/>
      </c>
      <c r="CA84" s="6" t="str">
        <f t="shared" si="620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1"/>
        <v/>
      </c>
      <c r="CJ84" s="5" t="str">
        <f t="shared" si="622"/>
        <v/>
      </c>
      <c r="CK84" s="8" t="str">
        <f t="shared" si="623"/>
        <v/>
      </c>
      <c r="CL84" s="173" t="str">
        <f t="shared" si="624"/>
        <v/>
      </c>
      <c r="CM84" s="5" t="str">
        <f t="shared" si="625"/>
        <v/>
      </c>
      <c r="CN84" s="6" t="str">
        <f t="shared" si="626"/>
        <v/>
      </c>
      <c r="CO84" s="167" t="str">
        <f t="shared" si="547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8"/>
        <v/>
      </c>
      <c r="ET84" s="5" t="str">
        <f t="shared" si="549"/>
        <v/>
      </c>
      <c r="EU84" s="10" t="str">
        <f t="shared" si="550"/>
        <v/>
      </c>
      <c r="EV84" s="174" t="str">
        <f t="shared" si="551"/>
        <v/>
      </c>
      <c r="EW84" s="9" t="str">
        <f t="shared" si="552"/>
        <v/>
      </c>
      <c r="EX84" s="5" t="str">
        <f t="shared" si="553"/>
        <v/>
      </c>
      <c r="EY84" s="6" t="str">
        <f t="shared" si="699"/>
        <v/>
      </c>
      <c r="EZ84" s="51" t="str">
        <f t="shared" si="700"/>
        <v/>
      </c>
      <c r="FA84" s="173" t="str">
        <f t="shared" si="554"/>
        <v/>
      </c>
      <c r="FB84" s="5" t="str">
        <f t="shared" si="555"/>
        <v/>
      </c>
      <c r="FC84" s="6" t="str">
        <f t="shared" si="556"/>
        <v/>
      </c>
      <c r="FD84" s="4" t="str">
        <f t="shared" si="557"/>
        <v/>
      </c>
      <c r="FE84" s="5" t="str">
        <f t="shared" si="558"/>
        <v/>
      </c>
      <c r="FF84" s="7" t="str">
        <f t="shared" si="701"/>
        <v/>
      </c>
      <c r="FG84" s="173" t="str">
        <f t="shared" si="559"/>
        <v/>
      </c>
      <c r="FH84" s="5" t="str">
        <f t="shared" si="560"/>
        <v/>
      </c>
      <c r="FI84" s="10" t="str">
        <f t="shared" si="561"/>
        <v/>
      </c>
      <c r="FJ84" s="279" t="str">
        <f t="shared" si="702"/>
        <v/>
      </c>
      <c r="FK84" s="4" t="str">
        <f t="shared" si="562"/>
        <v/>
      </c>
      <c r="FL84" s="5" t="str">
        <f t="shared" si="627"/>
        <v/>
      </c>
      <c r="FM84" s="8" t="str">
        <f t="shared" si="628"/>
        <v/>
      </c>
      <c r="FN84" s="9" t="str">
        <f t="shared" si="629"/>
        <v/>
      </c>
      <c r="FO84" s="10" t="str">
        <f t="shared" si="563"/>
        <v/>
      </c>
      <c r="FP84" s="277" t="str">
        <f t="shared" si="630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4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5"/>
        <v/>
      </c>
      <c r="GH84" s="286" t="str">
        <f t="shared" si="566"/>
        <v/>
      </c>
      <c r="GI84" s="281" t="str">
        <f t="shared" si="567"/>
        <v/>
      </c>
      <c r="GJ84" s="167" t="str">
        <f t="shared" si="718"/>
        <v/>
      </c>
      <c r="GK84" s="174" t="str">
        <f t="shared" si="568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9"/>
        <v/>
      </c>
      <c r="GT84" s="343" t="str">
        <f t="shared" si="570"/>
        <v/>
      </c>
      <c r="GU84" s="344" t="str">
        <f t="shared" si="571"/>
        <v/>
      </c>
      <c r="GV84" s="343" t="str">
        <f t="shared" si="726"/>
        <v/>
      </c>
      <c r="GW84" s="345" t="str">
        <f t="shared" si="572"/>
        <v/>
      </c>
      <c r="GX84" s="346" t="str">
        <f t="shared" si="573"/>
        <v/>
      </c>
      <c r="GY84" s="344" t="str">
        <f t="shared" si="574"/>
        <v/>
      </c>
      <c r="GZ84" s="345" t="str">
        <f t="shared" si="575"/>
        <v/>
      </c>
      <c r="HA84" s="342" t="str">
        <f t="shared" si="576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7"/>
        <v/>
      </c>
      <c r="HF84" s="5" t="str">
        <f t="shared" si="578"/>
        <v/>
      </c>
      <c r="HG84" s="343" t="str">
        <f t="shared" si="730"/>
        <v/>
      </c>
      <c r="HH84" s="349" t="str">
        <f t="shared" si="731"/>
        <v/>
      </c>
      <c r="HI84" s="317" t="str">
        <f t="shared" si="579"/>
        <v/>
      </c>
      <c r="HK84" s="310" t="str">
        <f t="shared" si="631"/>
        <v/>
      </c>
      <c r="HL84" s="348" t="str">
        <f t="shared" si="580"/>
        <v/>
      </c>
      <c r="HM84" s="909" t="str">
        <f t="shared" si="581"/>
        <v/>
      </c>
      <c r="HN84" s="910" t="str">
        <f t="shared" si="582"/>
        <v/>
      </c>
      <c r="HO84" s="911"/>
      <c r="HP84" s="912"/>
      <c r="HQ84" s="910" t="str">
        <f t="shared" si="583"/>
        <v/>
      </c>
      <c r="HR84" s="913" t="str">
        <f t="shared" si="584"/>
        <v/>
      </c>
      <c r="HS84" s="865" t="str">
        <f t="shared" si="632"/>
        <v/>
      </c>
      <c r="HT84" s="875" t="str">
        <f t="shared" si="585"/>
        <v/>
      </c>
      <c r="HU84" s="876" t="str">
        <f t="shared" si="586"/>
        <v/>
      </c>
      <c r="HV84" s="872" t="str">
        <f t="shared" si="587"/>
        <v/>
      </c>
      <c r="HW84" s="866" t="str">
        <f t="shared" si="588"/>
        <v/>
      </c>
      <c r="HX84" s="867" t="str">
        <f t="shared" si="589"/>
        <v/>
      </c>
      <c r="HY84" s="866" t="str">
        <f t="shared" si="590"/>
        <v/>
      </c>
      <c r="HZ84" s="868" t="str">
        <f t="shared" si="591"/>
        <v/>
      </c>
      <c r="IA84" s="869" t="str">
        <f t="shared" si="592"/>
        <v/>
      </c>
      <c r="IB84" s="870" t="str">
        <f t="shared" si="593"/>
        <v/>
      </c>
      <c r="IC84" s="841" t="str">
        <f t="shared" si="594"/>
        <v/>
      </c>
      <c r="ID84" s="351" t="str">
        <f t="shared" si="595"/>
        <v/>
      </c>
      <c r="IE84" s="843" t="str">
        <f t="shared" si="596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2"/>
        <v>6.218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0.11799999999999999</v>
      </c>
      <c r="IK84" s="677" cm="1">
        <f t="array" ref="IK84">IFERROR(ROUND(VALUE(IF($IJ84&lt;1,$IJ84+LARGE((IF($M$9:$M$150="",0,$M$9:$M$150)-MOD(IF($M$9:$M$150="",0,$M$9:$M$150),1)),1),$IJ84)),4),"")</f>
        <v>6.1180000000000003</v>
      </c>
      <c r="IL84" s="482">
        <f t="shared" si="597"/>
        <v>1613</v>
      </c>
      <c r="IM84" s="482">
        <f t="shared" si="733"/>
        <v>1313</v>
      </c>
      <c r="IN84" s="670">
        <f t="shared" si="598"/>
        <v>14.651982130846363</v>
      </c>
      <c r="IO84" s="702"/>
      <c r="IP84" s="5">
        <f t="shared" si="599"/>
        <v>0</v>
      </c>
      <c r="IQ84" s="714"/>
      <c r="IR84" s="9">
        <f t="shared" si="600"/>
        <v>-3.2912099262891377</v>
      </c>
      <c r="IS84" s="5">
        <f t="shared" si="601"/>
        <v>-0.40700122751570206</v>
      </c>
      <c r="IT84" s="5">
        <f t="shared" si="602"/>
        <v>0.3125</v>
      </c>
      <c r="IU84" s="5">
        <f t="shared" si="603"/>
        <v>0.29865322807303363</v>
      </c>
      <c r="IV84" s="670">
        <f t="shared" si="604"/>
        <v>27.499996029491861</v>
      </c>
      <c r="IW84" s="9">
        <f t="shared" si="605"/>
        <v>-3.3074933656265726</v>
      </c>
      <c r="IX84" s="5">
        <f t="shared" si="606"/>
        <v>-0.38386104208865035</v>
      </c>
      <c r="IY84" s="5">
        <f t="shared" si="607"/>
        <v>0.26450000000000001</v>
      </c>
      <c r="IZ84" s="5">
        <f t="shared" si="608"/>
        <v>0.2450320774849219</v>
      </c>
      <c r="JA84" s="705">
        <f t="shared" si="609"/>
        <v>27.499996029491825</v>
      </c>
    </row>
    <row r="85" spans="1:261" ht="15" customHeight="1" x14ac:dyDescent="0.25">
      <c r="A85" s="75">
        <f t="shared" si="516"/>
        <v>0</v>
      </c>
      <c r="B85" s="578">
        <f t="shared" si="517"/>
        <v>-2.6682369161524147</v>
      </c>
      <c r="C85" s="572">
        <f t="shared" si="518"/>
        <v>2.8615658511803415</v>
      </c>
      <c r="D85" s="576">
        <f t="shared" si="519"/>
        <v>-0.83623739525817786</v>
      </c>
      <c r="E85" s="580">
        <f t="shared" si="520"/>
        <v>-0.85844864947491828</v>
      </c>
      <c r="F85" s="572">
        <f t="shared" si="521"/>
        <v>-0.40307161229381333</v>
      </c>
      <c r="G85" s="579">
        <f t="shared" si="522"/>
        <v>0.31717375612990883</v>
      </c>
      <c r="H85" s="580">
        <f t="shared" si="523"/>
        <v>0.26450000000000001</v>
      </c>
      <c r="I85" s="572">
        <f t="shared" si="524"/>
        <v>0.52</v>
      </c>
      <c r="J85" s="483">
        <f t="shared" si="525"/>
        <v>6.2240000000000002</v>
      </c>
      <c r="K85" s="806">
        <f t="shared" si="526"/>
        <v>1313</v>
      </c>
      <c r="L85" s="309"/>
      <c r="M85" s="164">
        <f t="shared" si="527"/>
        <v>6.2240000000000002</v>
      </c>
      <c r="N85" s="575">
        <f t="shared" si="528"/>
        <v>-2.6682369161524147</v>
      </c>
      <c r="O85" s="572">
        <f t="shared" si="529"/>
        <v>2.8615658511803415</v>
      </c>
      <c r="P85" s="576">
        <f t="shared" si="530"/>
        <v>-0.83623739525817786</v>
      </c>
      <c r="Q85" s="528">
        <f t="shared" si="610"/>
        <v>132.99768224448914</v>
      </c>
      <c r="R85" s="572">
        <f t="shared" si="101"/>
        <v>3.9125499819631724</v>
      </c>
      <c r="S85" s="577">
        <f t="shared" si="102"/>
        <v>-0.83623739525817786</v>
      </c>
      <c r="T85" s="578">
        <f t="shared" si="103"/>
        <v>2.8573710664485383</v>
      </c>
      <c r="U85" s="572">
        <f t="shared" si="104"/>
        <v>2.6727285589791498</v>
      </c>
      <c r="V85" s="579">
        <f t="shared" si="141"/>
        <v>-0.83623739525817786</v>
      </c>
      <c r="W85" s="528">
        <f t="shared" si="736"/>
        <v>43.087682231494753</v>
      </c>
      <c r="X85" s="572">
        <f t="shared" si="105"/>
        <v>3.9125499819631724</v>
      </c>
      <c r="Y85" s="573">
        <f t="shared" si="734"/>
        <v>-0.83623739525817786</v>
      </c>
      <c r="Z85" s="575">
        <f t="shared" si="531"/>
        <v>0.85844864947491828</v>
      </c>
      <c r="AA85" s="572">
        <f t="shared" si="532"/>
        <v>0.40307161229381333</v>
      </c>
      <c r="AB85" s="572">
        <f t="shared" si="533"/>
        <v>-0.31717375612990883</v>
      </c>
      <c r="AC85" s="579">
        <f t="shared" si="106"/>
        <v>1</v>
      </c>
      <c r="AD85" s="580">
        <f t="shared" si="142"/>
        <v>0.85844864947491828</v>
      </c>
      <c r="AE85" s="572">
        <f t="shared" si="107"/>
        <v>0.40307161229381333</v>
      </c>
      <c r="AF85" s="576">
        <f t="shared" si="108"/>
        <v>-0.31717375612990883</v>
      </c>
      <c r="AG85" s="545">
        <f t="shared" si="109"/>
        <v>51.801082061669021</v>
      </c>
      <c r="AH85" s="546">
        <f t="shared" si="110"/>
        <v>30.857158957504559</v>
      </c>
      <c r="AI85" s="528">
        <f t="shared" si="111"/>
        <v>-71.507908544830741</v>
      </c>
      <c r="AJ85" s="529">
        <f t="shared" si="112"/>
        <v>115.1516945060575</v>
      </c>
      <c r="AK85" s="578">
        <f t="shared" si="238"/>
        <v>0.90273553370237325</v>
      </c>
      <c r="AL85" s="572">
        <f t="shared" si="113"/>
        <v>-0.29063613783137227</v>
      </c>
      <c r="AM85" s="577">
        <f t="shared" si="114"/>
        <v>-0.31717375612990883</v>
      </c>
      <c r="AN85" s="524">
        <f t="shared" si="115"/>
        <v>-42.499993863760089</v>
      </c>
      <c r="AO85" s="525">
        <f t="shared" si="515"/>
        <v>25.479996321143663</v>
      </c>
      <c r="AP85" s="528">
        <f t="shared" si="117"/>
        <v>-17.84598773843166</v>
      </c>
      <c r="AQ85" s="529">
        <f t="shared" si="534"/>
        <v>0.3884409085228398</v>
      </c>
      <c r="AS85" s="932">
        <f t="shared" si="633"/>
        <v>-316.91231776850526</v>
      </c>
      <c r="AT85" s="928">
        <f t="shared" si="535"/>
        <v>-0.68947706296395983</v>
      </c>
      <c r="AU85" s="418"/>
      <c r="AV85" s="164" t="str">
        <f t="shared" si="536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4"/>
        <v/>
      </c>
      <c r="BA85" s="296" t="str">
        <f t="shared" si="537"/>
        <v/>
      </c>
      <c r="BB85" s="177" t="str">
        <f t="shared" si="611"/>
        <v/>
      </c>
      <c r="BC85" s="9"/>
      <c r="BD85" s="5" t="str">
        <f t="shared" si="612"/>
        <v/>
      </c>
      <c r="BE85" s="6" t="str">
        <f t="shared" si="538"/>
        <v/>
      </c>
      <c r="BF85" s="4" t="str">
        <f t="shared" si="539"/>
        <v/>
      </c>
      <c r="BG85" s="5" t="str">
        <f t="shared" si="540"/>
        <v/>
      </c>
      <c r="BH85" s="10" t="str">
        <f t="shared" si="541"/>
        <v/>
      </c>
      <c r="BI85" s="9" t="str">
        <f t="shared" si="635"/>
        <v/>
      </c>
      <c r="BJ85" s="5" t="str">
        <f t="shared" si="542"/>
        <v/>
      </c>
      <c r="BK85" s="8" t="str">
        <f t="shared" si="543"/>
        <v/>
      </c>
      <c r="BL85" s="173" t="str">
        <f t="shared" si="544"/>
        <v/>
      </c>
      <c r="BM85" s="5" t="str">
        <f t="shared" si="545"/>
        <v/>
      </c>
      <c r="BN85" s="6" t="str">
        <f t="shared" si="546"/>
        <v/>
      </c>
      <c r="BO85" s="4" t="str">
        <f t="shared" si="636"/>
        <v/>
      </c>
      <c r="BP85" s="5" t="str">
        <f t="shared" si="735"/>
        <v/>
      </c>
      <c r="BQ85" s="5" t="str">
        <f t="shared" si="637"/>
        <v/>
      </c>
      <c r="BR85" s="6" t="str">
        <f t="shared" si="638"/>
        <v/>
      </c>
      <c r="BS85" s="4" t="str">
        <f t="shared" si="613"/>
        <v/>
      </c>
      <c r="BT85" s="5" t="str">
        <f t="shared" si="613"/>
        <v/>
      </c>
      <c r="BU85" s="10" t="str">
        <f t="shared" si="614"/>
        <v/>
      </c>
      <c r="BV85" s="9" t="str">
        <f t="shared" si="615"/>
        <v/>
      </c>
      <c r="BW85" s="5" t="str">
        <f t="shared" si="616"/>
        <v/>
      </c>
      <c r="BX85" s="8" t="str">
        <f t="shared" si="617"/>
        <v/>
      </c>
      <c r="BY85" s="173" t="str">
        <f t="shared" si="618"/>
        <v/>
      </c>
      <c r="BZ85" s="5" t="str">
        <f t="shared" si="619"/>
        <v/>
      </c>
      <c r="CA85" s="6" t="str">
        <f t="shared" si="620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1"/>
        <v/>
      </c>
      <c r="CJ85" s="5" t="str">
        <f t="shared" si="622"/>
        <v/>
      </c>
      <c r="CK85" s="8" t="str">
        <f t="shared" si="623"/>
        <v/>
      </c>
      <c r="CL85" s="173" t="str">
        <f t="shared" si="624"/>
        <v/>
      </c>
      <c r="CM85" s="5" t="str">
        <f t="shared" si="625"/>
        <v/>
      </c>
      <c r="CN85" s="6" t="str">
        <f t="shared" si="626"/>
        <v/>
      </c>
      <c r="CO85" s="167" t="str">
        <f t="shared" si="547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8"/>
        <v/>
      </c>
      <c r="ET85" s="5" t="str">
        <f t="shared" si="549"/>
        <v/>
      </c>
      <c r="EU85" s="10" t="str">
        <f t="shared" si="550"/>
        <v/>
      </c>
      <c r="EV85" s="174" t="str">
        <f t="shared" si="551"/>
        <v/>
      </c>
      <c r="EW85" s="9" t="str">
        <f t="shared" si="552"/>
        <v/>
      </c>
      <c r="EX85" s="5" t="str">
        <f t="shared" si="553"/>
        <v/>
      </c>
      <c r="EY85" s="6" t="str">
        <f t="shared" si="699"/>
        <v/>
      </c>
      <c r="EZ85" s="51" t="str">
        <f t="shared" si="700"/>
        <v/>
      </c>
      <c r="FA85" s="173" t="str">
        <f t="shared" si="554"/>
        <v/>
      </c>
      <c r="FB85" s="5" t="str">
        <f t="shared" si="555"/>
        <v/>
      </c>
      <c r="FC85" s="6" t="str">
        <f t="shared" si="556"/>
        <v/>
      </c>
      <c r="FD85" s="4" t="str">
        <f t="shared" si="557"/>
        <v/>
      </c>
      <c r="FE85" s="5" t="str">
        <f t="shared" si="558"/>
        <v/>
      </c>
      <c r="FF85" s="7" t="str">
        <f t="shared" si="701"/>
        <v/>
      </c>
      <c r="FG85" s="173" t="str">
        <f t="shared" si="559"/>
        <v/>
      </c>
      <c r="FH85" s="5" t="str">
        <f t="shared" si="560"/>
        <v/>
      </c>
      <c r="FI85" s="10" t="str">
        <f t="shared" si="561"/>
        <v/>
      </c>
      <c r="FJ85" s="279" t="str">
        <f t="shared" si="702"/>
        <v/>
      </c>
      <c r="FK85" s="4" t="str">
        <f t="shared" si="562"/>
        <v/>
      </c>
      <c r="FL85" s="5" t="str">
        <f t="shared" si="627"/>
        <v/>
      </c>
      <c r="FM85" s="8" t="str">
        <f t="shared" si="628"/>
        <v/>
      </c>
      <c r="FN85" s="9" t="str">
        <f t="shared" si="629"/>
        <v/>
      </c>
      <c r="FO85" s="10" t="str">
        <f t="shared" si="563"/>
        <v/>
      </c>
      <c r="FP85" s="277" t="str">
        <f t="shared" si="630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4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5"/>
        <v/>
      </c>
      <c r="GH85" s="286" t="str">
        <f t="shared" si="566"/>
        <v/>
      </c>
      <c r="GI85" s="281" t="str">
        <f t="shared" si="567"/>
        <v/>
      </c>
      <c r="GJ85" s="167" t="str">
        <f t="shared" si="718"/>
        <v/>
      </c>
      <c r="GK85" s="174" t="str">
        <f t="shared" si="568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9"/>
        <v/>
      </c>
      <c r="GT85" s="343" t="str">
        <f t="shared" si="570"/>
        <v/>
      </c>
      <c r="GU85" s="344" t="str">
        <f t="shared" si="571"/>
        <v/>
      </c>
      <c r="GV85" s="343" t="str">
        <f t="shared" si="726"/>
        <v/>
      </c>
      <c r="GW85" s="345" t="str">
        <f t="shared" si="572"/>
        <v/>
      </c>
      <c r="GX85" s="346" t="str">
        <f t="shared" si="573"/>
        <v/>
      </c>
      <c r="GY85" s="344" t="str">
        <f t="shared" si="574"/>
        <v/>
      </c>
      <c r="GZ85" s="345" t="str">
        <f t="shared" si="575"/>
        <v/>
      </c>
      <c r="HA85" s="342" t="str">
        <f t="shared" si="576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7"/>
        <v/>
      </c>
      <c r="HF85" s="5" t="str">
        <f t="shared" si="578"/>
        <v/>
      </c>
      <c r="HG85" s="343" t="str">
        <f t="shared" si="730"/>
        <v/>
      </c>
      <c r="HH85" s="349" t="str">
        <f t="shared" si="731"/>
        <v/>
      </c>
      <c r="HI85" s="317" t="str">
        <f t="shared" si="579"/>
        <v/>
      </c>
      <c r="HK85" s="310" t="str">
        <f t="shared" si="631"/>
        <v/>
      </c>
      <c r="HL85" s="348" t="str">
        <f t="shared" si="580"/>
        <v/>
      </c>
      <c r="HM85" s="909" t="str">
        <f t="shared" si="581"/>
        <v/>
      </c>
      <c r="HN85" s="910" t="str">
        <f t="shared" si="582"/>
        <v/>
      </c>
      <c r="HO85" s="911"/>
      <c r="HP85" s="912"/>
      <c r="HQ85" s="910" t="str">
        <f t="shared" si="583"/>
        <v/>
      </c>
      <c r="HR85" s="913" t="str">
        <f t="shared" si="584"/>
        <v/>
      </c>
      <c r="HS85" s="865" t="str">
        <f t="shared" si="632"/>
        <v/>
      </c>
      <c r="HT85" s="875" t="str">
        <f t="shared" si="585"/>
        <v/>
      </c>
      <c r="HU85" s="876" t="str">
        <f t="shared" si="586"/>
        <v/>
      </c>
      <c r="HV85" s="872" t="str">
        <f t="shared" si="587"/>
        <v/>
      </c>
      <c r="HW85" s="866" t="str">
        <f t="shared" si="588"/>
        <v/>
      </c>
      <c r="HX85" s="867" t="str">
        <f t="shared" si="589"/>
        <v/>
      </c>
      <c r="HY85" s="866" t="str">
        <f t="shared" si="590"/>
        <v/>
      </c>
      <c r="HZ85" s="868" t="str">
        <f t="shared" si="591"/>
        <v/>
      </c>
      <c r="IA85" s="869" t="str">
        <f t="shared" si="592"/>
        <v/>
      </c>
      <c r="IB85" s="870" t="str">
        <f t="shared" si="593"/>
        <v/>
      </c>
      <c r="IC85" s="841" t="str">
        <f t="shared" si="594"/>
        <v/>
      </c>
      <c r="ID85" s="351" t="str">
        <f t="shared" si="595"/>
        <v/>
      </c>
      <c r="IE85" s="843" t="str">
        <f t="shared" si="596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2"/>
        <v>6.2240000000000002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0.124</v>
      </c>
      <c r="IK85" s="677" cm="1">
        <f t="array" ref="IK85">IFERROR(ROUND(VALUE(IF($IJ85&lt;1,$IJ85+LARGE((IF($M$9:$M$150="",0,$M$9:$M$150)-MOD(IF($M$9:$M$150="",0,$M$9:$M$150),1)),1),$IJ85)),4),"")</f>
        <v>6.1239999999999997</v>
      </c>
      <c r="IL85" s="482">
        <f t="shared" si="597"/>
        <v>1613</v>
      </c>
      <c r="IM85" s="482">
        <f t="shared" si="733"/>
        <v>1313</v>
      </c>
      <c r="IN85" s="670">
        <f t="shared" si="598"/>
        <v>12.362309762516958</v>
      </c>
      <c r="IO85" s="702"/>
      <c r="IP85" s="5">
        <f t="shared" si="599"/>
        <v>0</v>
      </c>
      <c r="IQ85" s="714"/>
      <c r="IR85" s="9">
        <f t="shared" si="600"/>
        <v>-3.888511727751371</v>
      </c>
      <c r="IS85" s="5">
        <f t="shared" si="601"/>
        <v>-0.85560258049738325</v>
      </c>
      <c r="IT85" s="5">
        <f t="shared" si="602"/>
        <v>0.3125</v>
      </c>
      <c r="IU85" s="5">
        <f t="shared" si="603"/>
        <v>0.29274824864834936</v>
      </c>
      <c r="IV85" s="670">
        <f t="shared" si="604"/>
        <v>42.499993863760125</v>
      </c>
      <c r="IW85" s="9">
        <f t="shared" si="605"/>
        <v>-3.9125499819631724</v>
      </c>
      <c r="IX85" s="5">
        <f t="shared" si="606"/>
        <v>-0.83623739525817786</v>
      </c>
      <c r="IY85" s="5">
        <f t="shared" si="607"/>
        <v>0.26450000000000001</v>
      </c>
      <c r="IZ85" s="5">
        <f t="shared" si="608"/>
        <v>0.23877354866427777</v>
      </c>
      <c r="JA85" s="705">
        <f t="shared" si="609"/>
        <v>42.499993863760089</v>
      </c>
    </row>
    <row r="86" spans="1:261" ht="15" customHeight="1" x14ac:dyDescent="0.25">
      <c r="A86" s="75">
        <f t="shared" si="516"/>
        <v>0</v>
      </c>
      <c r="B86" s="578">
        <f t="shared" si="517"/>
        <v>-2.654648628690119</v>
      </c>
      <c r="C86" s="572">
        <f t="shared" si="518"/>
        <v>3.4302299464265782</v>
      </c>
      <c r="D86" s="576">
        <f t="shared" si="519"/>
        <v>-1.4684886651116542</v>
      </c>
      <c r="E86" s="580">
        <f t="shared" si="520"/>
        <v>-0.52739457439307647</v>
      </c>
      <c r="F86" s="572">
        <f t="shared" si="521"/>
        <v>0.68147800922289514</v>
      </c>
      <c r="G86" s="579">
        <f t="shared" si="522"/>
        <v>0.5073881017981654</v>
      </c>
      <c r="H86" s="580">
        <f t="shared" si="523"/>
        <v>0.255</v>
      </c>
      <c r="I86" s="572">
        <f t="shared" si="524"/>
        <v>0.41499999999999992</v>
      </c>
      <c r="J86" s="483">
        <f t="shared" si="525"/>
        <v>6.23</v>
      </c>
      <c r="K86" s="806" t="str">
        <f t="shared" si="526"/>
        <v>CPS-32193r1</v>
      </c>
      <c r="L86" s="309"/>
      <c r="M86" s="164">
        <f t="shared" si="527"/>
        <v>6.23</v>
      </c>
      <c r="N86" s="575">
        <f t="shared" si="528"/>
        <v>-2.654648628690119</v>
      </c>
      <c r="O86" s="572">
        <f t="shared" si="529"/>
        <v>3.4302299464265782</v>
      </c>
      <c r="P86" s="576">
        <f t="shared" si="530"/>
        <v>-1.4684886651116542</v>
      </c>
      <c r="Q86" s="528">
        <f t="shared" si="610"/>
        <v>127.73622176834179</v>
      </c>
      <c r="R86" s="572">
        <f t="shared" si="101"/>
        <v>4.3374689425018378</v>
      </c>
      <c r="S86" s="577">
        <f t="shared" si="102"/>
        <v>-1.4684886651116542</v>
      </c>
      <c r="T86" s="578">
        <f t="shared" si="103"/>
        <v>3.4260558045540881</v>
      </c>
      <c r="U86" s="572">
        <f t="shared" si="104"/>
        <v>2.6600335432564099</v>
      </c>
      <c r="V86" s="579">
        <f t="shared" si="141"/>
        <v>-1.4684886651116542</v>
      </c>
      <c r="W86" s="528">
        <f t="shared" si="736"/>
        <v>37.826221755347404</v>
      </c>
      <c r="X86" s="572">
        <f t="shared" si="105"/>
        <v>4.3374689425018378</v>
      </c>
      <c r="Y86" s="573">
        <f t="shared" si="734"/>
        <v>-1.4684886651116542</v>
      </c>
      <c r="Z86" s="575">
        <f t="shared" si="531"/>
        <v>0.52739457439307647</v>
      </c>
      <c r="AA86" s="572">
        <f t="shared" si="532"/>
        <v>-0.68147800922289514</v>
      </c>
      <c r="AB86" s="572">
        <f t="shared" si="533"/>
        <v>-0.5073881017981654</v>
      </c>
      <c r="AC86" s="579">
        <f t="shared" si="106"/>
        <v>1</v>
      </c>
      <c r="AD86" s="580">
        <f t="shared" si="142"/>
        <v>0.52739457439307647</v>
      </c>
      <c r="AE86" s="572">
        <f t="shared" si="107"/>
        <v>-0.68147800922289514</v>
      </c>
      <c r="AF86" s="576">
        <f t="shared" si="108"/>
        <v>-0.5073881017981654</v>
      </c>
      <c r="AG86" s="545">
        <f t="shared" si="109"/>
        <v>-53.33081686326274</v>
      </c>
      <c r="AH86" s="546">
        <f t="shared" si="110"/>
        <v>58.170414847358494</v>
      </c>
      <c r="AI86" s="528">
        <f t="shared" si="111"/>
        <v>-59.509991407820316</v>
      </c>
      <c r="AJ86" s="529">
        <f t="shared" si="112"/>
        <v>37.7362217683418</v>
      </c>
      <c r="AK86" s="578">
        <f t="shared" si="238"/>
        <v>1.1102230246251565E-16</v>
      </c>
      <c r="AL86" s="572">
        <f t="shared" si="113"/>
        <v>-0.86171765338401562</v>
      </c>
      <c r="AM86" s="577">
        <f t="shared" si="114"/>
        <v>-0.5073881017981654</v>
      </c>
      <c r="AN86" s="524">
        <f t="shared" si="115"/>
        <v>-59.509991407820316</v>
      </c>
      <c r="AO86" s="525">
        <f t="shared" si="515"/>
        <v>0</v>
      </c>
      <c r="AP86" s="528">
        <f t="shared" si="117"/>
        <v>-90</v>
      </c>
      <c r="AQ86" s="529">
        <f t="shared" si="534"/>
        <v>0.35038840126196263</v>
      </c>
      <c r="AS86" s="932">
        <f t="shared" si="633"/>
        <v>-322.17377824465257</v>
      </c>
      <c r="AT86" s="928">
        <f t="shared" si="535"/>
        <v>-1.3192924714858865</v>
      </c>
      <c r="AU86" s="418"/>
      <c r="AV86" s="164" t="str">
        <f t="shared" si="536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4"/>
        <v/>
      </c>
      <c r="BA86" s="296" t="str">
        <f t="shared" si="537"/>
        <v/>
      </c>
      <c r="BB86" s="177" t="str">
        <f t="shared" si="611"/>
        <v/>
      </c>
      <c r="BC86" s="9"/>
      <c r="BD86" s="5" t="str">
        <f t="shared" si="612"/>
        <v/>
      </c>
      <c r="BE86" s="6" t="str">
        <f t="shared" si="538"/>
        <v/>
      </c>
      <c r="BF86" s="4" t="str">
        <f t="shared" si="539"/>
        <v/>
      </c>
      <c r="BG86" s="5" t="str">
        <f t="shared" si="540"/>
        <v/>
      </c>
      <c r="BH86" s="10" t="str">
        <f t="shared" si="541"/>
        <v/>
      </c>
      <c r="BI86" s="9" t="str">
        <f t="shared" si="635"/>
        <v/>
      </c>
      <c r="BJ86" s="5" t="str">
        <f t="shared" si="542"/>
        <v/>
      </c>
      <c r="BK86" s="8" t="str">
        <f t="shared" si="543"/>
        <v/>
      </c>
      <c r="BL86" s="173" t="str">
        <f t="shared" si="544"/>
        <v/>
      </c>
      <c r="BM86" s="5" t="str">
        <f t="shared" si="545"/>
        <v/>
      </c>
      <c r="BN86" s="6" t="str">
        <f t="shared" si="546"/>
        <v/>
      </c>
      <c r="BO86" s="4" t="str">
        <f t="shared" si="636"/>
        <v/>
      </c>
      <c r="BP86" s="5" t="str">
        <f t="shared" si="735"/>
        <v/>
      </c>
      <c r="BQ86" s="5" t="str">
        <f t="shared" si="637"/>
        <v/>
      </c>
      <c r="BR86" s="6" t="str">
        <f t="shared" si="638"/>
        <v/>
      </c>
      <c r="BS86" s="4" t="str">
        <f t="shared" si="613"/>
        <v/>
      </c>
      <c r="BT86" s="5" t="str">
        <f t="shared" si="613"/>
        <v/>
      </c>
      <c r="BU86" s="10" t="str">
        <f t="shared" si="614"/>
        <v/>
      </c>
      <c r="BV86" s="9" t="str">
        <f t="shared" si="615"/>
        <v/>
      </c>
      <c r="BW86" s="5" t="str">
        <f t="shared" si="616"/>
        <v/>
      </c>
      <c r="BX86" s="8" t="str">
        <f t="shared" si="617"/>
        <v/>
      </c>
      <c r="BY86" s="173" t="str">
        <f t="shared" si="618"/>
        <v/>
      </c>
      <c r="BZ86" s="5" t="str">
        <f t="shared" si="619"/>
        <v/>
      </c>
      <c r="CA86" s="6" t="str">
        <f t="shared" si="620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1"/>
        <v/>
      </c>
      <c r="CJ86" s="5" t="str">
        <f t="shared" si="622"/>
        <v/>
      </c>
      <c r="CK86" s="8" t="str">
        <f t="shared" si="623"/>
        <v/>
      </c>
      <c r="CL86" s="173" t="str">
        <f t="shared" si="624"/>
        <v/>
      </c>
      <c r="CM86" s="5" t="str">
        <f t="shared" si="625"/>
        <v/>
      </c>
      <c r="CN86" s="6" t="str">
        <f t="shared" si="626"/>
        <v/>
      </c>
      <c r="CO86" s="167" t="str">
        <f t="shared" si="547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8"/>
        <v/>
      </c>
      <c r="ET86" s="5" t="str">
        <f t="shared" si="549"/>
        <v/>
      </c>
      <c r="EU86" s="10" t="str">
        <f t="shared" si="550"/>
        <v/>
      </c>
      <c r="EV86" s="174" t="str">
        <f t="shared" si="551"/>
        <v/>
      </c>
      <c r="EW86" s="9" t="str">
        <f t="shared" si="552"/>
        <v/>
      </c>
      <c r="EX86" s="5" t="str">
        <f t="shared" si="553"/>
        <v/>
      </c>
      <c r="EY86" s="6" t="str">
        <f t="shared" si="699"/>
        <v/>
      </c>
      <c r="EZ86" s="51" t="str">
        <f t="shared" si="700"/>
        <v/>
      </c>
      <c r="FA86" s="173" t="str">
        <f t="shared" si="554"/>
        <v/>
      </c>
      <c r="FB86" s="5" t="str">
        <f t="shared" si="555"/>
        <v/>
      </c>
      <c r="FC86" s="6" t="str">
        <f t="shared" si="556"/>
        <v/>
      </c>
      <c r="FD86" s="4" t="str">
        <f t="shared" si="557"/>
        <v/>
      </c>
      <c r="FE86" s="5" t="str">
        <f t="shared" si="558"/>
        <v/>
      </c>
      <c r="FF86" s="7" t="str">
        <f t="shared" si="701"/>
        <v/>
      </c>
      <c r="FG86" s="173" t="str">
        <f t="shared" si="559"/>
        <v/>
      </c>
      <c r="FH86" s="5" t="str">
        <f t="shared" si="560"/>
        <v/>
      </c>
      <c r="FI86" s="10" t="str">
        <f t="shared" si="561"/>
        <v/>
      </c>
      <c r="FJ86" s="279" t="str">
        <f t="shared" si="702"/>
        <v/>
      </c>
      <c r="FK86" s="4" t="str">
        <f t="shared" si="562"/>
        <v/>
      </c>
      <c r="FL86" s="5" t="str">
        <f t="shared" si="627"/>
        <v/>
      </c>
      <c r="FM86" s="8" t="str">
        <f t="shared" si="628"/>
        <v/>
      </c>
      <c r="FN86" s="9" t="str">
        <f t="shared" si="629"/>
        <v/>
      </c>
      <c r="FO86" s="10" t="str">
        <f t="shared" si="563"/>
        <v/>
      </c>
      <c r="FP86" s="277" t="str">
        <f t="shared" si="630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4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5"/>
        <v/>
      </c>
      <c r="GH86" s="286" t="str">
        <f t="shared" si="566"/>
        <v/>
      </c>
      <c r="GI86" s="281" t="str">
        <f t="shared" si="567"/>
        <v/>
      </c>
      <c r="GJ86" s="167" t="str">
        <f t="shared" si="718"/>
        <v/>
      </c>
      <c r="GK86" s="174" t="str">
        <f t="shared" si="568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9"/>
        <v/>
      </c>
      <c r="GT86" s="343" t="str">
        <f t="shared" si="570"/>
        <v/>
      </c>
      <c r="GU86" s="344" t="str">
        <f t="shared" si="571"/>
        <v/>
      </c>
      <c r="GV86" s="343" t="str">
        <f t="shared" si="726"/>
        <v/>
      </c>
      <c r="GW86" s="345" t="str">
        <f t="shared" si="572"/>
        <v/>
      </c>
      <c r="GX86" s="346" t="str">
        <f t="shared" si="573"/>
        <v/>
      </c>
      <c r="GY86" s="344" t="str">
        <f t="shared" si="574"/>
        <v/>
      </c>
      <c r="GZ86" s="345" t="str">
        <f t="shared" si="575"/>
        <v/>
      </c>
      <c r="HA86" s="342" t="str">
        <f t="shared" si="576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7"/>
        <v/>
      </c>
      <c r="HF86" s="5" t="str">
        <f t="shared" si="578"/>
        <v/>
      </c>
      <c r="HG86" s="343" t="str">
        <f t="shared" si="730"/>
        <v/>
      </c>
      <c r="HH86" s="349" t="str">
        <f t="shared" si="731"/>
        <v/>
      </c>
      <c r="HI86" s="317" t="str">
        <f t="shared" si="579"/>
        <v/>
      </c>
      <c r="HK86" s="310" t="str">
        <f t="shared" si="631"/>
        <v/>
      </c>
      <c r="HL86" s="348" t="str">
        <f t="shared" si="580"/>
        <v/>
      </c>
      <c r="HM86" s="909" t="str">
        <f t="shared" si="581"/>
        <v/>
      </c>
      <c r="HN86" s="910" t="str">
        <f t="shared" si="582"/>
        <v/>
      </c>
      <c r="HO86" s="911"/>
      <c r="HP86" s="912"/>
      <c r="HQ86" s="910" t="str">
        <f t="shared" si="583"/>
        <v/>
      </c>
      <c r="HR86" s="913" t="str">
        <f t="shared" si="584"/>
        <v/>
      </c>
      <c r="HS86" s="865" t="str">
        <f t="shared" si="632"/>
        <v/>
      </c>
      <c r="HT86" s="875" t="str">
        <f t="shared" si="585"/>
        <v/>
      </c>
      <c r="HU86" s="876" t="str">
        <f t="shared" si="586"/>
        <v/>
      </c>
      <c r="HV86" s="872" t="str">
        <f t="shared" si="587"/>
        <v/>
      </c>
      <c r="HW86" s="866" t="str">
        <f t="shared" si="588"/>
        <v/>
      </c>
      <c r="HX86" s="867" t="str">
        <f t="shared" si="589"/>
        <v/>
      </c>
      <c r="HY86" s="866" t="str">
        <f t="shared" si="590"/>
        <v/>
      </c>
      <c r="HZ86" s="868" t="str">
        <f t="shared" si="591"/>
        <v/>
      </c>
      <c r="IA86" s="869" t="str">
        <f t="shared" si="592"/>
        <v/>
      </c>
      <c r="IB86" s="870" t="str">
        <f t="shared" si="593"/>
        <v/>
      </c>
      <c r="IC86" s="841" t="str">
        <f t="shared" si="594"/>
        <v/>
      </c>
      <c r="ID86" s="351" t="str">
        <f t="shared" si="595"/>
        <v/>
      </c>
      <c r="IE86" s="843" t="str">
        <f t="shared" si="596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2"/>
        <v>6.23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</v>
      </c>
      <c r="IK86" s="677" cm="1">
        <f t="array" ref="IK86">IFERROR(ROUND(VALUE(IF($IJ86&lt;1,$IJ86+LARGE((IF($M$9:$M$150="",0,$M$9:$M$150)-MOD(IF($M$9:$M$150="",0,$M$9:$M$150),1)),1),$IJ86)),4),"")</f>
        <v>6.13</v>
      </c>
      <c r="IL86" s="482">
        <f t="shared" si="597"/>
        <v>1613</v>
      </c>
      <c r="IM86" s="482" t="str">
        <f t="shared" si="733"/>
        <v>CPS-32193r1</v>
      </c>
      <c r="IN86" s="670">
        <f t="shared" si="598"/>
        <v>16.963770333956475</v>
      </c>
      <c r="IO86" s="702"/>
      <c r="IP86" s="5">
        <f t="shared" si="599"/>
        <v>0</v>
      </c>
      <c r="IQ86" s="714"/>
      <c r="IR86" s="9">
        <f t="shared" si="600"/>
        <v>-4.3267130493665569</v>
      </c>
      <c r="IS86" s="5">
        <f t="shared" si="601"/>
        <v>-1.4612044069924921</v>
      </c>
      <c r="IT86" s="5">
        <f t="shared" si="602"/>
        <v>0.3125</v>
      </c>
      <c r="IU86" s="5">
        <f t="shared" si="603"/>
        <v>0.28583679419376129</v>
      </c>
      <c r="IV86" s="670">
        <f t="shared" si="604"/>
        <v>57.499991698028374</v>
      </c>
      <c r="IW86" s="9">
        <f t="shared" si="605"/>
        <v>-4.3374689425018378</v>
      </c>
      <c r="IX86" s="5">
        <f t="shared" si="606"/>
        <v>-1.4684886651116542</v>
      </c>
      <c r="IY86" s="5">
        <f t="shared" si="607"/>
        <v>0.255</v>
      </c>
      <c r="IZ86" s="5">
        <f t="shared" si="608"/>
        <v>0.255</v>
      </c>
      <c r="JA86" s="705">
        <f t="shared" si="609"/>
        <v>59.509991407820316</v>
      </c>
    </row>
    <row r="87" spans="1:261" ht="15" customHeight="1" x14ac:dyDescent="0.25">
      <c r="A87" s="75">
        <f t="shared" si="516"/>
        <v>0</v>
      </c>
      <c r="B87" s="578">
        <f t="shared" si="517"/>
        <v>-2.7401340190391257</v>
      </c>
      <c r="C87" s="572">
        <f t="shared" si="518"/>
        <v>3.6764219564425922</v>
      </c>
      <c r="D87" s="576">
        <f t="shared" si="519"/>
        <v>-2.1777235730236608</v>
      </c>
      <c r="E87" s="580">
        <f t="shared" si="520"/>
        <v>-0.58059676134694771</v>
      </c>
      <c r="F87" s="572">
        <f t="shared" si="521"/>
        <v>0.77898331483942629</v>
      </c>
      <c r="G87" s="579">
        <f t="shared" si="522"/>
        <v>0.23683833286698919</v>
      </c>
      <c r="H87" s="580">
        <f t="shared" si="523"/>
        <v>0.255</v>
      </c>
      <c r="I87" s="572">
        <f t="shared" si="524"/>
        <v>0.41499999999999992</v>
      </c>
      <c r="J87" s="483">
        <f t="shared" si="525"/>
        <v>6.2359999999999998</v>
      </c>
      <c r="K87" s="806" t="str">
        <f t="shared" si="526"/>
        <v>CPS-32193r1</v>
      </c>
      <c r="L87" s="309"/>
      <c r="M87" s="164">
        <f t="shared" si="527"/>
        <v>6.2359999999999998</v>
      </c>
      <c r="N87" s="575">
        <f t="shared" si="528"/>
        <v>-2.7401340190391257</v>
      </c>
      <c r="O87" s="572">
        <f t="shared" si="529"/>
        <v>3.6764219564425922</v>
      </c>
      <c r="P87" s="576">
        <f t="shared" si="530"/>
        <v>-2.1777235730236608</v>
      </c>
      <c r="Q87" s="528">
        <f t="shared" si="610"/>
        <v>126.69813197195168</v>
      </c>
      <c r="R87" s="572">
        <f t="shared" si="101"/>
        <v>4.5852385809365135</v>
      </c>
      <c r="S87" s="577">
        <f t="shared" si="102"/>
        <v>-2.1777235730236608</v>
      </c>
      <c r="T87" s="578">
        <f t="shared" si="103"/>
        <v>3.6721132307804871</v>
      </c>
      <c r="U87" s="572">
        <f t="shared" si="104"/>
        <v>2.7459055454322505</v>
      </c>
      <c r="V87" s="579">
        <f t="shared" si="141"/>
        <v>-2.1777235730236608</v>
      </c>
      <c r="W87" s="528">
        <f t="shared" si="736"/>
        <v>36.788131958957294</v>
      </c>
      <c r="X87" s="572">
        <f t="shared" si="105"/>
        <v>4.5852385809365135</v>
      </c>
      <c r="Y87" s="573">
        <f t="shared" si="734"/>
        <v>-2.1777235730236608</v>
      </c>
      <c r="Z87" s="575">
        <f t="shared" si="531"/>
        <v>0.58059676134694771</v>
      </c>
      <c r="AA87" s="572">
        <f t="shared" si="532"/>
        <v>-0.77898331483942629</v>
      </c>
      <c r="AB87" s="572">
        <f t="shared" si="533"/>
        <v>-0.23683833286698919</v>
      </c>
      <c r="AC87" s="579">
        <f t="shared" si="106"/>
        <v>1</v>
      </c>
      <c r="AD87" s="580">
        <f t="shared" si="142"/>
        <v>0.58059676134694771</v>
      </c>
      <c r="AE87" s="572">
        <f t="shared" si="107"/>
        <v>-0.77898331483942629</v>
      </c>
      <c r="AF87" s="576">
        <f t="shared" si="108"/>
        <v>-0.23683833286698919</v>
      </c>
      <c r="AG87" s="545">
        <f t="shared" si="109"/>
        <v>-73.088883027688624</v>
      </c>
      <c r="AH87" s="546">
        <f t="shared" si="110"/>
        <v>54.507473393777474</v>
      </c>
      <c r="AI87" s="528">
        <f t="shared" si="111"/>
        <v>-76.299988983644596</v>
      </c>
      <c r="AJ87" s="529">
        <f t="shared" si="112"/>
        <v>36.698131971951682</v>
      </c>
      <c r="AK87" s="578">
        <f t="shared" si="238"/>
        <v>-5.5511151231257827E-17</v>
      </c>
      <c r="AL87" s="572">
        <f t="shared" si="113"/>
        <v>-0.97154907446036165</v>
      </c>
      <c r="AM87" s="577">
        <f t="shared" si="114"/>
        <v>-0.23683833286698919</v>
      </c>
      <c r="AN87" s="524">
        <f t="shared" si="115"/>
        <v>-76.29998898364461</v>
      </c>
      <c r="AO87" s="525">
        <f t="shared" si="515"/>
        <v>0</v>
      </c>
      <c r="AP87" s="528">
        <f t="shared" si="117"/>
        <v>-90</v>
      </c>
      <c r="AQ87" s="529">
        <f t="shared" si="534"/>
        <v>0.33145511922259241</v>
      </c>
      <c r="AS87" s="932">
        <f t="shared" si="633"/>
        <v>-323.21186804104269</v>
      </c>
      <c r="AT87" s="928">
        <f t="shared" si="535"/>
        <v>-2.0280467822699348</v>
      </c>
      <c r="AU87" s="418"/>
      <c r="AV87" s="164" t="str">
        <f t="shared" si="536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4"/>
        <v/>
      </c>
      <c r="BA87" s="296" t="str">
        <f t="shared" si="537"/>
        <v/>
      </c>
      <c r="BB87" s="177" t="str">
        <f t="shared" si="611"/>
        <v/>
      </c>
      <c r="BC87" s="9"/>
      <c r="BD87" s="5" t="str">
        <f t="shared" si="612"/>
        <v/>
      </c>
      <c r="BE87" s="6" t="str">
        <f t="shared" si="538"/>
        <v/>
      </c>
      <c r="BF87" s="4" t="str">
        <f t="shared" si="539"/>
        <v/>
      </c>
      <c r="BG87" s="5" t="str">
        <f t="shared" si="540"/>
        <v/>
      </c>
      <c r="BH87" s="10" t="str">
        <f t="shared" si="541"/>
        <v/>
      </c>
      <c r="BI87" s="9" t="str">
        <f t="shared" si="635"/>
        <v/>
      </c>
      <c r="BJ87" s="5" t="str">
        <f t="shared" si="542"/>
        <v/>
      </c>
      <c r="BK87" s="8" t="str">
        <f t="shared" si="543"/>
        <v/>
      </c>
      <c r="BL87" s="173" t="str">
        <f t="shared" si="544"/>
        <v/>
      </c>
      <c r="BM87" s="5" t="str">
        <f t="shared" si="545"/>
        <v/>
      </c>
      <c r="BN87" s="6" t="str">
        <f t="shared" si="546"/>
        <v/>
      </c>
      <c r="BO87" s="4" t="str">
        <f t="shared" si="636"/>
        <v/>
      </c>
      <c r="BP87" s="5" t="str">
        <f t="shared" si="735"/>
        <v/>
      </c>
      <c r="BQ87" s="5" t="str">
        <f t="shared" si="637"/>
        <v/>
      </c>
      <c r="BR87" s="6" t="str">
        <f t="shared" si="638"/>
        <v/>
      </c>
      <c r="BS87" s="4" t="str">
        <f t="shared" si="613"/>
        <v/>
      </c>
      <c r="BT87" s="5" t="str">
        <f t="shared" si="613"/>
        <v/>
      </c>
      <c r="BU87" s="10" t="str">
        <f t="shared" si="614"/>
        <v/>
      </c>
      <c r="BV87" s="9" t="str">
        <f t="shared" si="615"/>
        <v/>
      </c>
      <c r="BW87" s="5" t="str">
        <f t="shared" si="616"/>
        <v/>
      </c>
      <c r="BX87" s="8" t="str">
        <f t="shared" si="617"/>
        <v/>
      </c>
      <c r="BY87" s="173" t="str">
        <f t="shared" si="618"/>
        <v/>
      </c>
      <c r="BZ87" s="5" t="str">
        <f t="shared" si="619"/>
        <v/>
      </c>
      <c r="CA87" s="6" t="str">
        <f t="shared" si="620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1"/>
        <v/>
      </c>
      <c r="CJ87" s="5" t="str">
        <f t="shared" si="622"/>
        <v/>
      </c>
      <c r="CK87" s="8" t="str">
        <f t="shared" si="623"/>
        <v/>
      </c>
      <c r="CL87" s="173" t="str">
        <f t="shared" si="624"/>
        <v/>
      </c>
      <c r="CM87" s="5" t="str">
        <f t="shared" si="625"/>
        <v/>
      </c>
      <c r="CN87" s="6" t="str">
        <f t="shared" si="626"/>
        <v/>
      </c>
      <c r="CO87" s="167" t="str">
        <f t="shared" si="547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8"/>
        <v/>
      </c>
      <c r="ET87" s="5" t="str">
        <f t="shared" si="549"/>
        <v/>
      </c>
      <c r="EU87" s="10" t="str">
        <f t="shared" si="550"/>
        <v/>
      </c>
      <c r="EV87" s="174" t="str">
        <f t="shared" si="551"/>
        <v/>
      </c>
      <c r="EW87" s="9" t="str">
        <f t="shared" si="552"/>
        <v/>
      </c>
      <c r="EX87" s="5" t="str">
        <f t="shared" si="553"/>
        <v/>
      </c>
      <c r="EY87" s="6" t="str">
        <f t="shared" si="699"/>
        <v/>
      </c>
      <c r="EZ87" s="51" t="str">
        <f t="shared" si="700"/>
        <v/>
      </c>
      <c r="FA87" s="173" t="str">
        <f t="shared" si="554"/>
        <v/>
      </c>
      <c r="FB87" s="5" t="str">
        <f t="shared" si="555"/>
        <v/>
      </c>
      <c r="FC87" s="6" t="str">
        <f t="shared" si="556"/>
        <v/>
      </c>
      <c r="FD87" s="4" t="str">
        <f t="shared" si="557"/>
        <v/>
      </c>
      <c r="FE87" s="5" t="str">
        <f t="shared" si="558"/>
        <v/>
      </c>
      <c r="FF87" s="7" t="str">
        <f t="shared" si="701"/>
        <v/>
      </c>
      <c r="FG87" s="173" t="str">
        <f t="shared" si="559"/>
        <v/>
      </c>
      <c r="FH87" s="5" t="str">
        <f t="shared" si="560"/>
        <v/>
      </c>
      <c r="FI87" s="10" t="str">
        <f t="shared" si="561"/>
        <v/>
      </c>
      <c r="FJ87" s="279" t="str">
        <f t="shared" si="702"/>
        <v/>
      </c>
      <c r="FK87" s="4" t="str">
        <f t="shared" si="562"/>
        <v/>
      </c>
      <c r="FL87" s="5" t="str">
        <f t="shared" si="627"/>
        <v/>
      </c>
      <c r="FM87" s="8" t="str">
        <f t="shared" si="628"/>
        <v/>
      </c>
      <c r="FN87" s="9" t="str">
        <f t="shared" si="629"/>
        <v/>
      </c>
      <c r="FO87" s="10" t="str">
        <f t="shared" si="563"/>
        <v/>
      </c>
      <c r="FP87" s="277" t="str">
        <f t="shared" si="630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4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5"/>
        <v/>
      </c>
      <c r="GH87" s="286" t="str">
        <f t="shared" si="566"/>
        <v/>
      </c>
      <c r="GI87" s="281" t="str">
        <f t="shared" si="567"/>
        <v/>
      </c>
      <c r="GJ87" s="167" t="str">
        <f t="shared" si="718"/>
        <v/>
      </c>
      <c r="GK87" s="174" t="str">
        <f t="shared" si="568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9"/>
        <v/>
      </c>
      <c r="GT87" s="343" t="str">
        <f t="shared" si="570"/>
        <v/>
      </c>
      <c r="GU87" s="344" t="str">
        <f t="shared" si="571"/>
        <v/>
      </c>
      <c r="GV87" s="343" t="str">
        <f t="shared" si="726"/>
        <v/>
      </c>
      <c r="GW87" s="345" t="str">
        <f t="shared" si="572"/>
        <v/>
      </c>
      <c r="GX87" s="346" t="str">
        <f t="shared" si="573"/>
        <v/>
      </c>
      <c r="GY87" s="344" t="str">
        <f t="shared" si="574"/>
        <v/>
      </c>
      <c r="GZ87" s="345" t="str">
        <f t="shared" si="575"/>
        <v/>
      </c>
      <c r="HA87" s="342" t="str">
        <f t="shared" si="576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7"/>
        <v/>
      </c>
      <c r="HF87" s="5" t="str">
        <f t="shared" si="578"/>
        <v/>
      </c>
      <c r="HG87" s="343" t="str">
        <f t="shared" si="730"/>
        <v/>
      </c>
      <c r="HH87" s="349" t="str">
        <f t="shared" si="731"/>
        <v/>
      </c>
      <c r="HI87" s="317" t="str">
        <f t="shared" si="579"/>
        <v/>
      </c>
      <c r="HK87" s="310" t="str">
        <f t="shared" si="631"/>
        <v/>
      </c>
      <c r="HL87" s="348" t="str">
        <f t="shared" si="580"/>
        <v/>
      </c>
      <c r="HM87" s="909" t="str">
        <f t="shared" si="581"/>
        <v/>
      </c>
      <c r="HN87" s="910" t="str">
        <f t="shared" si="582"/>
        <v/>
      </c>
      <c r="HO87" s="911"/>
      <c r="HP87" s="912"/>
      <c r="HQ87" s="910" t="str">
        <f t="shared" si="583"/>
        <v/>
      </c>
      <c r="HR87" s="913" t="str">
        <f t="shared" si="584"/>
        <v/>
      </c>
      <c r="HS87" s="865" t="str">
        <f t="shared" si="632"/>
        <v/>
      </c>
      <c r="HT87" s="875" t="str">
        <f t="shared" si="585"/>
        <v/>
      </c>
      <c r="HU87" s="876" t="str">
        <f t="shared" si="586"/>
        <v/>
      </c>
      <c r="HV87" s="872" t="str">
        <f t="shared" si="587"/>
        <v/>
      </c>
      <c r="HW87" s="866" t="str">
        <f t="shared" si="588"/>
        <v/>
      </c>
      <c r="HX87" s="867" t="str">
        <f t="shared" si="589"/>
        <v/>
      </c>
      <c r="HY87" s="866" t="str">
        <f t="shared" si="590"/>
        <v/>
      </c>
      <c r="HZ87" s="868" t="str">
        <f t="shared" si="591"/>
        <v/>
      </c>
      <c r="IA87" s="869" t="str">
        <f t="shared" si="592"/>
        <v/>
      </c>
      <c r="IB87" s="870" t="str">
        <f t="shared" si="593"/>
        <v/>
      </c>
      <c r="IC87" s="841" t="str">
        <f t="shared" si="594"/>
        <v/>
      </c>
      <c r="ID87" s="351" t="str">
        <f t="shared" si="595"/>
        <v/>
      </c>
      <c r="IE87" s="843" t="str">
        <f t="shared" si="596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2"/>
        <v>6.2359999999999998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0.13600000000000001</v>
      </c>
      <c r="IK87" s="677" cm="1">
        <f t="array" ref="IK87">IFERROR(ROUND(VALUE(IF($IJ87&lt;1,$IJ87+LARGE((IF($M$9:$M$150="",0,$M$9:$M$150)-MOD(IF($M$9:$M$150="",0,$M$9:$M$150),1)),1),$IJ87)),4),"")</f>
        <v>6.1360000000000001</v>
      </c>
      <c r="IL87" s="482">
        <f t="shared" si="597"/>
        <v>1613</v>
      </c>
      <c r="IM87" s="482" t="str">
        <f t="shared" si="733"/>
        <v>CPS-32193r1</v>
      </c>
      <c r="IN87" s="670">
        <f t="shared" si="598"/>
        <v>17.591860189543269</v>
      </c>
      <c r="IO87" s="702"/>
      <c r="IP87" s="5">
        <f t="shared" si="599"/>
        <v>0</v>
      </c>
      <c r="IQ87" s="714"/>
      <c r="IR87" s="9">
        <f t="shared" si="600"/>
        <v>-4.5816138181472752</v>
      </c>
      <c r="IS87" s="5">
        <f t="shared" si="601"/>
        <v>-2.1642065272468862</v>
      </c>
      <c r="IT87" s="5">
        <f t="shared" si="602"/>
        <v>0.3125</v>
      </c>
      <c r="IU87" s="5">
        <f t="shared" si="603"/>
        <v>0.27794262644434725</v>
      </c>
      <c r="IV87" s="670">
        <f t="shared" si="604"/>
        <v>72.499989532296652</v>
      </c>
      <c r="IW87" s="9">
        <f t="shared" si="605"/>
        <v>-4.5852385809365135</v>
      </c>
      <c r="IX87" s="5">
        <f t="shared" si="606"/>
        <v>-2.1777235730236608</v>
      </c>
      <c r="IY87" s="5">
        <f t="shared" si="607"/>
        <v>0.255</v>
      </c>
      <c r="IZ87" s="5">
        <f t="shared" si="608"/>
        <v>0.255</v>
      </c>
      <c r="JA87" s="705">
        <f t="shared" si="609"/>
        <v>76.29998898364461</v>
      </c>
    </row>
    <row r="88" spans="1:261" ht="15" customHeight="1" x14ac:dyDescent="0.25">
      <c r="A88" s="75">
        <f t="shared" si="516"/>
        <v>0</v>
      </c>
      <c r="B88" s="578">
        <f t="shared" si="517"/>
        <v>-2.7133658314860325</v>
      </c>
      <c r="C88" s="572">
        <f t="shared" si="518"/>
        <v>3.8219300558382443</v>
      </c>
      <c r="D88" s="576">
        <f t="shared" si="519"/>
        <v>-2.9821040106196737</v>
      </c>
      <c r="E88" s="580">
        <f t="shared" si="520"/>
        <v>-0.57671637578656021</v>
      </c>
      <c r="F88" s="572">
        <f t="shared" si="521"/>
        <v>0.81233780743291772</v>
      </c>
      <c r="G88" s="579">
        <f t="shared" si="522"/>
        <v>8.6634337965353442E-2</v>
      </c>
      <c r="H88" s="580">
        <f t="shared" si="523"/>
        <v>0.255</v>
      </c>
      <c r="I88" s="572">
        <f t="shared" si="524"/>
        <v>0.41499999999999992</v>
      </c>
      <c r="J88" s="483">
        <f t="shared" si="525"/>
        <v>6.242</v>
      </c>
      <c r="K88" s="806" t="str">
        <f t="shared" si="526"/>
        <v>CPS-32193r1</v>
      </c>
      <c r="L88" s="309"/>
      <c r="M88" s="164">
        <f t="shared" si="527"/>
        <v>6.242</v>
      </c>
      <c r="N88" s="575">
        <f t="shared" si="528"/>
        <v>-2.7133658314860325</v>
      </c>
      <c r="O88" s="572">
        <f t="shared" si="529"/>
        <v>3.8219300558382443</v>
      </c>
      <c r="P88" s="576">
        <f t="shared" si="530"/>
        <v>-2.9821040106196737</v>
      </c>
      <c r="Q88" s="528">
        <f t="shared" si="610"/>
        <v>125.37271346553835</v>
      </c>
      <c r="R88" s="572">
        <f t="shared" si="101"/>
        <v>4.6871636932366263</v>
      </c>
      <c r="S88" s="577">
        <f t="shared" si="102"/>
        <v>-2.9821040106196737</v>
      </c>
      <c r="T88" s="578">
        <f t="shared" si="103"/>
        <v>3.8176631980101274</v>
      </c>
      <c r="U88" s="572">
        <f t="shared" si="104"/>
        <v>2.7193659543641235</v>
      </c>
      <c r="V88" s="579">
        <f t="shared" si="141"/>
        <v>-2.9821040106196737</v>
      </c>
      <c r="W88" s="528">
        <f t="shared" si="736"/>
        <v>35.462713452543966</v>
      </c>
      <c r="X88" s="572">
        <f t="shared" si="105"/>
        <v>4.6871636932366263</v>
      </c>
      <c r="Y88" s="573">
        <f t="shared" si="734"/>
        <v>-2.9821040106196737</v>
      </c>
      <c r="Z88" s="575">
        <f t="shared" si="531"/>
        <v>0.57671637578656021</v>
      </c>
      <c r="AA88" s="572">
        <f t="shared" si="532"/>
        <v>-0.81233780743291772</v>
      </c>
      <c r="AB88" s="572">
        <f t="shared" si="533"/>
        <v>-8.6634337965353442E-2</v>
      </c>
      <c r="AC88" s="579">
        <f t="shared" si="106"/>
        <v>1</v>
      </c>
      <c r="AD88" s="580">
        <f t="shared" si="142"/>
        <v>0.57671637578656021</v>
      </c>
      <c r="AE88" s="572">
        <f t="shared" si="107"/>
        <v>-0.81233780743291772</v>
      </c>
      <c r="AF88" s="576">
        <f t="shared" si="108"/>
        <v>-8.6634337965353442E-2</v>
      </c>
      <c r="AG88" s="545">
        <f t="shared" si="109"/>
        <v>-83.912519889139617</v>
      </c>
      <c r="AH88" s="546">
        <f t="shared" si="110"/>
        <v>54.780080138090845</v>
      </c>
      <c r="AI88" s="528">
        <f t="shared" si="111"/>
        <v>-85.029987723188697</v>
      </c>
      <c r="AJ88" s="529">
        <f t="shared" si="112"/>
        <v>35.37271346553834</v>
      </c>
      <c r="AK88" s="578">
        <f t="shared" si="238"/>
        <v>-1.6653345369377348E-16</v>
      </c>
      <c r="AL88" s="572">
        <f t="shared" si="113"/>
        <v>-0.99624017761045203</v>
      </c>
      <c r="AM88" s="577">
        <f t="shared" si="114"/>
        <v>-8.6634337965353442E-2</v>
      </c>
      <c r="AN88" s="524">
        <f t="shared" si="115"/>
        <v>-85.029987723188711</v>
      </c>
      <c r="AO88" s="525">
        <f t="shared" si="515"/>
        <v>0</v>
      </c>
      <c r="AP88" s="528">
        <f t="shared" si="117"/>
        <v>-90</v>
      </c>
      <c r="AQ88" s="529">
        <f t="shared" si="534"/>
        <v>0.32424758965107359</v>
      </c>
      <c r="AS88" s="932">
        <f t="shared" si="633"/>
        <v>-324.53728654745601</v>
      </c>
      <c r="AT88" s="928">
        <f t="shared" si="535"/>
        <v>-2.8318136001870524</v>
      </c>
      <c r="AU88" s="418"/>
      <c r="AV88" s="164" t="str">
        <f t="shared" si="536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4"/>
        <v/>
      </c>
      <c r="BA88" s="296" t="str">
        <f t="shared" si="537"/>
        <v/>
      </c>
      <c r="BB88" s="177" t="str">
        <f t="shared" si="611"/>
        <v/>
      </c>
      <c r="BC88" s="9"/>
      <c r="BD88" s="5" t="str">
        <f t="shared" si="612"/>
        <v/>
      </c>
      <c r="BE88" s="6" t="str">
        <f t="shared" si="538"/>
        <v/>
      </c>
      <c r="BF88" s="4" t="str">
        <f t="shared" si="539"/>
        <v/>
      </c>
      <c r="BG88" s="5" t="str">
        <f t="shared" si="540"/>
        <v/>
      </c>
      <c r="BH88" s="10" t="str">
        <f t="shared" si="541"/>
        <v/>
      </c>
      <c r="BI88" s="9" t="str">
        <f t="shared" si="635"/>
        <v/>
      </c>
      <c r="BJ88" s="5" t="str">
        <f t="shared" si="542"/>
        <v/>
      </c>
      <c r="BK88" s="8" t="str">
        <f t="shared" si="543"/>
        <v/>
      </c>
      <c r="BL88" s="173" t="str">
        <f t="shared" si="544"/>
        <v/>
      </c>
      <c r="BM88" s="5" t="str">
        <f t="shared" si="545"/>
        <v/>
      </c>
      <c r="BN88" s="6" t="str">
        <f t="shared" si="546"/>
        <v/>
      </c>
      <c r="BO88" s="4" t="str">
        <f t="shared" si="636"/>
        <v/>
      </c>
      <c r="BP88" s="5" t="str">
        <f t="shared" si="735"/>
        <v/>
      </c>
      <c r="BQ88" s="5" t="str">
        <f t="shared" si="637"/>
        <v/>
      </c>
      <c r="BR88" s="6" t="str">
        <f t="shared" si="638"/>
        <v/>
      </c>
      <c r="BS88" s="4" t="str">
        <f t="shared" si="613"/>
        <v/>
      </c>
      <c r="BT88" s="5" t="str">
        <f t="shared" si="613"/>
        <v/>
      </c>
      <c r="BU88" s="10" t="str">
        <f t="shared" si="614"/>
        <v/>
      </c>
      <c r="BV88" s="9" t="str">
        <f t="shared" si="615"/>
        <v/>
      </c>
      <c r="BW88" s="5" t="str">
        <f t="shared" si="616"/>
        <v/>
      </c>
      <c r="BX88" s="8" t="str">
        <f t="shared" si="617"/>
        <v/>
      </c>
      <c r="BY88" s="173" t="str">
        <f t="shared" si="618"/>
        <v/>
      </c>
      <c r="BZ88" s="5" t="str">
        <f t="shared" si="619"/>
        <v/>
      </c>
      <c r="CA88" s="6" t="str">
        <f t="shared" si="620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1"/>
        <v/>
      </c>
      <c r="CJ88" s="5" t="str">
        <f t="shared" si="622"/>
        <v/>
      </c>
      <c r="CK88" s="8" t="str">
        <f t="shared" si="623"/>
        <v/>
      </c>
      <c r="CL88" s="173" t="str">
        <f t="shared" si="624"/>
        <v/>
      </c>
      <c r="CM88" s="5" t="str">
        <f t="shared" si="625"/>
        <v/>
      </c>
      <c r="CN88" s="6" t="str">
        <f t="shared" si="626"/>
        <v/>
      </c>
      <c r="CO88" s="167" t="str">
        <f t="shared" si="547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8"/>
        <v/>
      </c>
      <c r="ET88" s="5" t="str">
        <f t="shared" si="549"/>
        <v/>
      </c>
      <c r="EU88" s="10" t="str">
        <f t="shared" si="550"/>
        <v/>
      </c>
      <c r="EV88" s="174" t="str">
        <f t="shared" si="551"/>
        <v/>
      </c>
      <c r="EW88" s="9" t="str">
        <f t="shared" si="552"/>
        <v/>
      </c>
      <c r="EX88" s="5" t="str">
        <f t="shared" si="553"/>
        <v/>
      </c>
      <c r="EY88" s="6" t="str">
        <f t="shared" si="699"/>
        <v/>
      </c>
      <c r="EZ88" s="51" t="str">
        <f t="shared" si="700"/>
        <v/>
      </c>
      <c r="FA88" s="173" t="str">
        <f t="shared" si="554"/>
        <v/>
      </c>
      <c r="FB88" s="5" t="str">
        <f t="shared" si="555"/>
        <v/>
      </c>
      <c r="FC88" s="6" t="str">
        <f t="shared" si="556"/>
        <v/>
      </c>
      <c r="FD88" s="4" t="str">
        <f t="shared" si="557"/>
        <v/>
      </c>
      <c r="FE88" s="5" t="str">
        <f t="shared" si="558"/>
        <v/>
      </c>
      <c r="FF88" s="7" t="str">
        <f t="shared" si="701"/>
        <v/>
      </c>
      <c r="FG88" s="173" t="str">
        <f t="shared" si="559"/>
        <v/>
      </c>
      <c r="FH88" s="5" t="str">
        <f t="shared" si="560"/>
        <v/>
      </c>
      <c r="FI88" s="10" t="str">
        <f t="shared" si="561"/>
        <v/>
      </c>
      <c r="FJ88" s="279" t="str">
        <f t="shared" si="702"/>
        <v/>
      </c>
      <c r="FK88" s="4" t="str">
        <f t="shared" si="562"/>
        <v/>
      </c>
      <c r="FL88" s="5" t="str">
        <f t="shared" si="627"/>
        <v/>
      </c>
      <c r="FM88" s="8" t="str">
        <f t="shared" si="628"/>
        <v/>
      </c>
      <c r="FN88" s="9" t="str">
        <f t="shared" si="629"/>
        <v/>
      </c>
      <c r="FO88" s="10" t="str">
        <f t="shared" si="563"/>
        <v/>
      </c>
      <c r="FP88" s="277" t="str">
        <f t="shared" si="630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4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5"/>
        <v/>
      </c>
      <c r="GH88" s="286" t="str">
        <f t="shared" si="566"/>
        <v/>
      </c>
      <c r="GI88" s="281" t="str">
        <f t="shared" si="567"/>
        <v/>
      </c>
      <c r="GJ88" s="167" t="str">
        <f t="shared" si="718"/>
        <v/>
      </c>
      <c r="GK88" s="174" t="str">
        <f t="shared" si="568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9"/>
        <v/>
      </c>
      <c r="GT88" s="343" t="str">
        <f t="shared" si="570"/>
        <v/>
      </c>
      <c r="GU88" s="344" t="str">
        <f t="shared" si="571"/>
        <v/>
      </c>
      <c r="GV88" s="343" t="str">
        <f t="shared" si="726"/>
        <v/>
      </c>
      <c r="GW88" s="345" t="str">
        <f t="shared" si="572"/>
        <v/>
      </c>
      <c r="GX88" s="346" t="str">
        <f t="shared" si="573"/>
        <v/>
      </c>
      <c r="GY88" s="344" t="str">
        <f t="shared" si="574"/>
        <v/>
      </c>
      <c r="GZ88" s="345" t="str">
        <f t="shared" si="575"/>
        <v/>
      </c>
      <c r="HA88" s="342" t="str">
        <f t="shared" si="576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7"/>
        <v/>
      </c>
      <c r="HF88" s="5" t="str">
        <f t="shared" si="578"/>
        <v/>
      </c>
      <c r="HG88" s="343" t="str">
        <f t="shared" si="730"/>
        <v/>
      </c>
      <c r="HH88" s="349" t="str">
        <f t="shared" si="731"/>
        <v/>
      </c>
      <c r="HI88" s="317" t="str">
        <f t="shared" si="579"/>
        <v/>
      </c>
      <c r="HK88" s="310" t="str">
        <f t="shared" si="631"/>
        <v/>
      </c>
      <c r="HL88" s="348" t="str">
        <f t="shared" si="580"/>
        <v/>
      </c>
      <c r="HM88" s="909" t="str">
        <f t="shared" si="581"/>
        <v/>
      </c>
      <c r="HN88" s="910" t="str">
        <f t="shared" si="582"/>
        <v/>
      </c>
      <c r="HO88" s="911"/>
      <c r="HP88" s="912"/>
      <c r="HQ88" s="910" t="str">
        <f t="shared" si="583"/>
        <v/>
      </c>
      <c r="HR88" s="913" t="str">
        <f t="shared" si="584"/>
        <v/>
      </c>
      <c r="HS88" s="865" t="str">
        <f t="shared" si="632"/>
        <v/>
      </c>
      <c r="HT88" s="875" t="str">
        <f t="shared" si="585"/>
        <v/>
      </c>
      <c r="HU88" s="876" t="str">
        <f t="shared" si="586"/>
        <v/>
      </c>
      <c r="HV88" s="872" t="str">
        <f t="shared" si="587"/>
        <v/>
      </c>
      <c r="HW88" s="866" t="str">
        <f t="shared" si="588"/>
        <v/>
      </c>
      <c r="HX88" s="867" t="str">
        <f t="shared" si="589"/>
        <v/>
      </c>
      <c r="HY88" s="866" t="str">
        <f t="shared" si="590"/>
        <v/>
      </c>
      <c r="HZ88" s="868" t="str">
        <f t="shared" si="591"/>
        <v/>
      </c>
      <c r="IA88" s="869" t="str">
        <f t="shared" si="592"/>
        <v/>
      </c>
      <c r="IB88" s="870" t="str">
        <f t="shared" si="593"/>
        <v/>
      </c>
      <c r="IC88" s="841" t="str">
        <f t="shared" si="594"/>
        <v/>
      </c>
      <c r="ID88" s="351" t="str">
        <f t="shared" si="595"/>
        <v/>
      </c>
      <c r="IE88" s="843" t="str">
        <f t="shared" si="596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2"/>
        <v>6.242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0.14199999999999999</v>
      </c>
      <c r="IK88" s="677" cm="1">
        <f t="array" ref="IK88">IFERROR(ROUND(VALUE(IF($IJ88&lt;1,$IJ88+LARGE((IF($M$9:$M$150="",0,$M$9:$M$150)-MOD(IF($M$9:$M$150="",0,$M$9:$M$150),1)),1),$IJ88)),4),"")</f>
        <v>6.1420000000000003</v>
      </c>
      <c r="IL88" s="482">
        <f t="shared" si="597"/>
        <v>1613</v>
      </c>
      <c r="IM88" s="482" t="str">
        <f t="shared" si="733"/>
        <v>CPS-32193r1</v>
      </c>
      <c r="IN88" s="670">
        <f t="shared" si="598"/>
        <v>18.737278721945373</v>
      </c>
      <c r="IO88" s="702"/>
      <c r="IP88" s="5">
        <f t="shared" si="599"/>
        <v>0</v>
      </c>
      <c r="IQ88" s="714"/>
      <c r="IR88" s="9">
        <f t="shared" si="600"/>
        <v>-4.6915141496066735</v>
      </c>
      <c r="IS88" s="5">
        <f t="shared" si="601"/>
        <v>-2.9661089457845793</v>
      </c>
      <c r="IT88" s="5">
        <f t="shared" si="602"/>
        <v>0.3125</v>
      </c>
      <c r="IU88" s="5">
        <f t="shared" si="603"/>
        <v>0.27063295049487057</v>
      </c>
      <c r="IV88" s="670">
        <f t="shared" si="604"/>
        <v>84.999987727520164</v>
      </c>
      <c r="IW88" s="9">
        <f t="shared" si="605"/>
        <v>-4.6871636932366263</v>
      </c>
      <c r="IX88" s="5">
        <f t="shared" si="606"/>
        <v>-2.9821040106196737</v>
      </c>
      <c r="IY88" s="5">
        <f t="shared" si="607"/>
        <v>0.255</v>
      </c>
      <c r="IZ88" s="5">
        <f t="shared" si="608"/>
        <v>0.255</v>
      </c>
      <c r="JA88" s="705">
        <f t="shared" si="609"/>
        <v>85.029987723188711</v>
      </c>
    </row>
    <row r="89" spans="1:261" ht="15" customHeight="1" x14ac:dyDescent="0.25">
      <c r="A89" s="75" t="str">
        <f t="shared" si="516"/>
        <v/>
      </c>
      <c r="B89" s="578" t="str">
        <f t="shared" si="517"/>
        <v/>
      </c>
      <c r="C89" s="572" t="str">
        <f t="shared" si="518"/>
        <v/>
      </c>
      <c r="D89" s="576" t="str">
        <f t="shared" si="519"/>
        <v/>
      </c>
      <c r="E89" s="580" t="str">
        <f t="shared" si="520"/>
        <v/>
      </c>
      <c r="F89" s="572" t="str">
        <f t="shared" si="521"/>
        <v/>
      </c>
      <c r="G89" s="579" t="str">
        <f t="shared" si="522"/>
        <v/>
      </c>
      <c r="H89" s="580" t="str">
        <f t="shared" si="523"/>
        <v/>
      </c>
      <c r="I89" s="572" t="str">
        <f t="shared" si="524"/>
        <v/>
      </c>
      <c r="J89" s="483" t="str">
        <f t="shared" si="525"/>
        <v/>
      </c>
      <c r="K89" s="806" t="str">
        <f t="shared" si="526"/>
        <v/>
      </c>
      <c r="L89" s="309"/>
      <c r="M89" s="164" t="str">
        <f t="shared" si="527"/>
        <v/>
      </c>
      <c r="N89" s="575" t="str">
        <f t="shared" si="528"/>
        <v/>
      </c>
      <c r="O89" s="572" t="str">
        <f t="shared" si="529"/>
        <v/>
      </c>
      <c r="P89" s="576" t="str">
        <f t="shared" si="530"/>
        <v/>
      </c>
      <c r="Q89" s="528" t="str">
        <f t="shared" si="610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6"/>
        <v/>
      </c>
      <c r="X89" s="572" t="str">
        <f t="shared" si="105"/>
        <v/>
      </c>
      <c r="Y89" s="573" t="str">
        <f t="shared" si="734"/>
        <v/>
      </c>
      <c r="Z89" s="575" t="str">
        <f t="shared" si="531"/>
        <v/>
      </c>
      <c r="AA89" s="572" t="str">
        <f t="shared" si="532"/>
        <v/>
      </c>
      <c r="AB89" s="572" t="str">
        <f t="shared" si="533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15"/>
        <v/>
      </c>
      <c r="AP89" s="528" t="str">
        <f t="shared" si="117"/>
        <v/>
      </c>
      <c r="AQ89" s="529" t="str">
        <f t="shared" si="534"/>
        <v/>
      </c>
      <c r="AS89" s="932" t="str">
        <f t="shared" si="633"/>
        <v/>
      </c>
      <c r="AT89" s="928" t="str">
        <f t="shared" si="535"/>
        <v/>
      </c>
      <c r="AU89" s="418"/>
      <c r="AV89" s="164" t="str">
        <f t="shared" si="536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4"/>
        <v/>
      </c>
      <c r="BA89" s="296" t="str">
        <f t="shared" si="537"/>
        <v/>
      </c>
      <c r="BB89" s="177" t="str">
        <f t="shared" si="611"/>
        <v/>
      </c>
      <c r="BC89" s="9"/>
      <c r="BD89" s="5" t="str">
        <f t="shared" si="612"/>
        <v/>
      </c>
      <c r="BE89" s="6" t="str">
        <f t="shared" si="538"/>
        <v/>
      </c>
      <c r="BF89" s="4" t="str">
        <f t="shared" si="539"/>
        <v/>
      </c>
      <c r="BG89" s="5" t="str">
        <f t="shared" si="540"/>
        <v/>
      </c>
      <c r="BH89" s="10" t="str">
        <f t="shared" si="541"/>
        <v/>
      </c>
      <c r="BI89" s="9" t="str">
        <f t="shared" si="635"/>
        <v/>
      </c>
      <c r="BJ89" s="5" t="str">
        <f t="shared" si="542"/>
        <v/>
      </c>
      <c r="BK89" s="8" t="str">
        <f t="shared" si="543"/>
        <v/>
      </c>
      <c r="BL89" s="173" t="str">
        <f t="shared" si="544"/>
        <v/>
      </c>
      <c r="BM89" s="5" t="str">
        <f t="shared" si="545"/>
        <v/>
      </c>
      <c r="BN89" s="6" t="str">
        <f t="shared" si="546"/>
        <v/>
      </c>
      <c r="BO89" s="4" t="str">
        <f t="shared" si="636"/>
        <v/>
      </c>
      <c r="BP89" s="5" t="str">
        <f t="shared" si="735"/>
        <v/>
      </c>
      <c r="BQ89" s="5" t="str">
        <f t="shared" si="637"/>
        <v/>
      </c>
      <c r="BR89" s="6" t="str">
        <f t="shared" si="638"/>
        <v/>
      </c>
      <c r="BS89" s="4" t="str">
        <f t="shared" si="613"/>
        <v/>
      </c>
      <c r="BT89" s="5" t="str">
        <f t="shared" si="613"/>
        <v/>
      </c>
      <c r="BU89" s="10" t="str">
        <f t="shared" si="614"/>
        <v/>
      </c>
      <c r="BV89" s="9" t="str">
        <f t="shared" si="615"/>
        <v/>
      </c>
      <c r="BW89" s="5" t="str">
        <f t="shared" si="616"/>
        <v/>
      </c>
      <c r="BX89" s="8" t="str">
        <f t="shared" si="617"/>
        <v/>
      </c>
      <c r="BY89" s="173" t="str">
        <f t="shared" si="618"/>
        <v/>
      </c>
      <c r="BZ89" s="5" t="str">
        <f t="shared" si="619"/>
        <v/>
      </c>
      <c r="CA89" s="6" t="str">
        <f t="shared" si="620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1"/>
        <v/>
      </c>
      <c r="CJ89" s="5" t="str">
        <f t="shared" si="622"/>
        <v/>
      </c>
      <c r="CK89" s="8" t="str">
        <f t="shared" si="623"/>
        <v/>
      </c>
      <c r="CL89" s="173" t="str">
        <f t="shared" si="624"/>
        <v/>
      </c>
      <c r="CM89" s="5" t="str">
        <f t="shared" si="625"/>
        <v/>
      </c>
      <c r="CN89" s="6" t="str">
        <f t="shared" si="626"/>
        <v/>
      </c>
      <c r="CO89" s="167" t="str">
        <f t="shared" si="547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8"/>
        <v/>
      </c>
      <c r="ET89" s="5" t="str">
        <f t="shared" si="549"/>
        <v/>
      </c>
      <c r="EU89" s="10" t="str">
        <f t="shared" si="550"/>
        <v/>
      </c>
      <c r="EV89" s="174" t="str">
        <f t="shared" si="551"/>
        <v/>
      </c>
      <c r="EW89" s="9" t="str">
        <f t="shared" si="552"/>
        <v/>
      </c>
      <c r="EX89" s="5" t="str">
        <f t="shared" si="553"/>
        <v/>
      </c>
      <c r="EY89" s="6" t="str">
        <f t="shared" si="699"/>
        <v/>
      </c>
      <c r="EZ89" s="51" t="str">
        <f t="shared" si="700"/>
        <v/>
      </c>
      <c r="FA89" s="173" t="str">
        <f t="shared" si="554"/>
        <v/>
      </c>
      <c r="FB89" s="5" t="str">
        <f t="shared" si="555"/>
        <v/>
      </c>
      <c r="FC89" s="6" t="str">
        <f t="shared" si="556"/>
        <v/>
      </c>
      <c r="FD89" s="4" t="str">
        <f t="shared" si="557"/>
        <v/>
      </c>
      <c r="FE89" s="5" t="str">
        <f t="shared" si="558"/>
        <v/>
      </c>
      <c r="FF89" s="7" t="str">
        <f t="shared" si="701"/>
        <v/>
      </c>
      <c r="FG89" s="173" t="str">
        <f t="shared" si="559"/>
        <v/>
      </c>
      <c r="FH89" s="5" t="str">
        <f t="shared" si="560"/>
        <v/>
      </c>
      <c r="FI89" s="10" t="str">
        <f t="shared" si="561"/>
        <v/>
      </c>
      <c r="FJ89" s="279" t="str">
        <f t="shared" si="702"/>
        <v/>
      </c>
      <c r="FK89" s="4" t="str">
        <f t="shared" si="562"/>
        <v/>
      </c>
      <c r="FL89" s="5" t="str">
        <f t="shared" si="627"/>
        <v/>
      </c>
      <c r="FM89" s="8" t="str">
        <f t="shared" si="628"/>
        <v/>
      </c>
      <c r="FN89" s="9" t="str">
        <f t="shared" si="629"/>
        <v/>
      </c>
      <c r="FO89" s="10" t="str">
        <f t="shared" si="563"/>
        <v/>
      </c>
      <c r="FP89" s="277" t="str">
        <f t="shared" si="630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4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5"/>
        <v/>
      </c>
      <c r="GH89" s="286" t="str">
        <f t="shared" si="566"/>
        <v/>
      </c>
      <c r="GI89" s="281" t="str">
        <f t="shared" si="567"/>
        <v/>
      </c>
      <c r="GJ89" s="167" t="str">
        <f t="shared" si="718"/>
        <v/>
      </c>
      <c r="GK89" s="174" t="str">
        <f t="shared" si="568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9"/>
        <v/>
      </c>
      <c r="GT89" s="343" t="str">
        <f t="shared" si="570"/>
        <v/>
      </c>
      <c r="GU89" s="344" t="str">
        <f t="shared" si="571"/>
        <v/>
      </c>
      <c r="GV89" s="343" t="str">
        <f t="shared" si="726"/>
        <v/>
      </c>
      <c r="GW89" s="345" t="str">
        <f t="shared" si="572"/>
        <v/>
      </c>
      <c r="GX89" s="346" t="str">
        <f t="shared" si="573"/>
        <v/>
      </c>
      <c r="GY89" s="344" t="str">
        <f t="shared" si="574"/>
        <v/>
      </c>
      <c r="GZ89" s="345" t="str">
        <f t="shared" si="575"/>
        <v/>
      </c>
      <c r="HA89" s="342" t="str">
        <f t="shared" si="576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7"/>
        <v/>
      </c>
      <c r="HF89" s="5" t="str">
        <f t="shared" si="578"/>
        <v/>
      </c>
      <c r="HG89" s="343" t="str">
        <f t="shared" si="730"/>
        <v/>
      </c>
      <c r="HH89" s="349" t="str">
        <f t="shared" si="731"/>
        <v/>
      </c>
      <c r="HI89" s="317" t="str">
        <f t="shared" si="579"/>
        <v/>
      </c>
      <c r="HK89" s="310" t="str">
        <f t="shared" si="631"/>
        <v/>
      </c>
      <c r="HL89" s="348" t="str">
        <f t="shared" si="580"/>
        <v/>
      </c>
      <c r="HM89" s="909" t="str">
        <f t="shared" si="581"/>
        <v/>
      </c>
      <c r="HN89" s="910" t="str">
        <f t="shared" si="582"/>
        <v/>
      </c>
      <c r="HO89" s="911"/>
      <c r="HP89" s="912"/>
      <c r="HQ89" s="910" t="str">
        <f t="shared" si="583"/>
        <v/>
      </c>
      <c r="HR89" s="913" t="str">
        <f t="shared" si="584"/>
        <v/>
      </c>
      <c r="HS89" s="865" t="str">
        <f t="shared" si="632"/>
        <v/>
      </c>
      <c r="HT89" s="875" t="str">
        <f t="shared" si="585"/>
        <v/>
      </c>
      <c r="HU89" s="876" t="str">
        <f t="shared" si="586"/>
        <v/>
      </c>
      <c r="HV89" s="872" t="str">
        <f t="shared" si="587"/>
        <v/>
      </c>
      <c r="HW89" s="866" t="str">
        <f t="shared" si="588"/>
        <v/>
      </c>
      <c r="HX89" s="867" t="str">
        <f t="shared" si="589"/>
        <v/>
      </c>
      <c r="HY89" s="866" t="str">
        <f t="shared" si="590"/>
        <v/>
      </c>
      <c r="HZ89" s="868" t="str">
        <f t="shared" si="591"/>
        <v/>
      </c>
      <c r="IA89" s="869" t="str">
        <f t="shared" si="592"/>
        <v/>
      </c>
      <c r="IB89" s="870" t="str">
        <f t="shared" si="593"/>
        <v/>
      </c>
      <c r="IC89" s="841" t="str">
        <f t="shared" si="594"/>
        <v/>
      </c>
      <c r="ID89" s="351" t="str">
        <f t="shared" si="595"/>
        <v/>
      </c>
      <c r="IE89" s="843" t="str">
        <f t="shared" si="596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2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7"/>
        <v/>
      </c>
      <c r="IM89" s="482" t="str">
        <f t="shared" si="733"/>
        <v/>
      </c>
      <c r="IN89" s="670" t="str">
        <f t="shared" si="598"/>
        <v/>
      </c>
      <c r="IO89" s="702">
        <v>2.67360390492117E-2</v>
      </c>
      <c r="IP89" s="5" t="str">
        <f t="shared" si="599"/>
        <v/>
      </c>
      <c r="IQ89" s="714">
        <v>350</v>
      </c>
      <c r="IR89" s="9" t="str">
        <f t="shared" si="600"/>
        <v/>
      </c>
      <c r="IS89" s="5" t="str">
        <f t="shared" si="601"/>
        <v/>
      </c>
      <c r="IT89" s="5" t="str">
        <f t="shared" si="602"/>
        <v/>
      </c>
      <c r="IU89" s="5" t="str">
        <f t="shared" si="603"/>
        <v/>
      </c>
      <c r="IV89" s="670" t="str">
        <f t="shared" si="604"/>
        <v/>
      </c>
      <c r="IW89" s="9" t="str">
        <f t="shared" si="605"/>
        <v/>
      </c>
      <c r="IX89" s="5" t="str">
        <f t="shared" si="606"/>
        <v/>
      </c>
      <c r="IY89" s="5" t="str">
        <f t="shared" si="607"/>
        <v/>
      </c>
      <c r="IZ89" s="5" t="str">
        <f t="shared" si="608"/>
        <v/>
      </c>
      <c r="JA89" s="705" t="str">
        <f t="shared" si="609"/>
        <v/>
      </c>
    </row>
    <row r="90" spans="1:261" ht="15" customHeight="1" x14ac:dyDescent="0.25">
      <c r="A90" s="75" t="str">
        <f t="shared" si="516"/>
        <v/>
      </c>
      <c r="B90" s="578" t="str">
        <f t="shared" si="517"/>
        <v/>
      </c>
      <c r="C90" s="572" t="str">
        <f t="shared" si="518"/>
        <v/>
      </c>
      <c r="D90" s="576" t="str">
        <f t="shared" si="519"/>
        <v/>
      </c>
      <c r="E90" s="580" t="str">
        <f t="shared" si="520"/>
        <v/>
      </c>
      <c r="F90" s="572" t="str">
        <f t="shared" si="521"/>
        <v/>
      </c>
      <c r="G90" s="579" t="str">
        <f t="shared" si="522"/>
        <v/>
      </c>
      <c r="H90" s="580" t="str">
        <f t="shared" si="523"/>
        <v/>
      </c>
      <c r="I90" s="572" t="str">
        <f t="shared" si="524"/>
        <v/>
      </c>
      <c r="J90" s="483" t="str">
        <f t="shared" si="525"/>
        <v/>
      </c>
      <c r="K90" s="806" t="str">
        <f t="shared" si="526"/>
        <v/>
      </c>
      <c r="L90" s="309"/>
      <c r="M90" s="164" t="str">
        <f t="shared" si="527"/>
        <v/>
      </c>
      <c r="N90" s="575" t="str">
        <f t="shared" si="528"/>
        <v/>
      </c>
      <c r="O90" s="572" t="str">
        <f t="shared" si="529"/>
        <v/>
      </c>
      <c r="P90" s="576" t="str">
        <f t="shared" si="530"/>
        <v/>
      </c>
      <c r="Q90" s="528" t="str">
        <f t="shared" si="610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6"/>
        <v/>
      </c>
      <c r="X90" s="572" t="str">
        <f t="shared" si="105"/>
        <v/>
      </c>
      <c r="Y90" s="573" t="str">
        <f t="shared" si="734"/>
        <v/>
      </c>
      <c r="Z90" s="575" t="str">
        <f t="shared" si="531"/>
        <v/>
      </c>
      <c r="AA90" s="572" t="str">
        <f t="shared" si="532"/>
        <v/>
      </c>
      <c r="AB90" s="572" t="str">
        <f t="shared" si="533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15"/>
        <v/>
      </c>
      <c r="AP90" s="528" t="str">
        <f t="shared" si="117"/>
        <v/>
      </c>
      <c r="AQ90" s="529" t="str">
        <f t="shared" si="534"/>
        <v/>
      </c>
      <c r="AS90" s="932" t="str">
        <f t="shared" si="633"/>
        <v/>
      </c>
      <c r="AT90" s="928" t="str">
        <f t="shared" si="535"/>
        <v/>
      </c>
      <c r="AU90" s="418"/>
      <c r="AV90" s="164" t="str">
        <f t="shared" si="536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4"/>
        <v/>
      </c>
      <c r="BA90" s="296" t="str">
        <f t="shared" si="537"/>
        <v/>
      </c>
      <c r="BB90" s="177" t="str">
        <f t="shared" si="611"/>
        <v/>
      </c>
      <c r="BC90" s="9"/>
      <c r="BD90" s="5" t="str">
        <f t="shared" si="612"/>
        <v/>
      </c>
      <c r="BE90" s="6" t="str">
        <f t="shared" si="538"/>
        <v/>
      </c>
      <c r="BF90" s="4" t="str">
        <f t="shared" si="539"/>
        <v/>
      </c>
      <c r="BG90" s="5" t="str">
        <f t="shared" si="540"/>
        <v/>
      </c>
      <c r="BH90" s="10" t="str">
        <f t="shared" si="541"/>
        <v/>
      </c>
      <c r="BI90" s="9" t="str">
        <f t="shared" si="635"/>
        <v/>
      </c>
      <c r="BJ90" s="5" t="str">
        <f t="shared" si="542"/>
        <v/>
      </c>
      <c r="BK90" s="8" t="str">
        <f t="shared" si="543"/>
        <v/>
      </c>
      <c r="BL90" s="173" t="str">
        <f t="shared" si="544"/>
        <v/>
      </c>
      <c r="BM90" s="5" t="str">
        <f t="shared" si="545"/>
        <v/>
      </c>
      <c r="BN90" s="6" t="str">
        <f t="shared" si="546"/>
        <v/>
      </c>
      <c r="BO90" s="4" t="str">
        <f t="shared" si="636"/>
        <v/>
      </c>
      <c r="BP90" s="5" t="str">
        <f t="shared" si="735"/>
        <v/>
      </c>
      <c r="BQ90" s="5" t="str">
        <f t="shared" si="637"/>
        <v/>
      </c>
      <c r="BR90" s="6" t="str">
        <f t="shared" si="638"/>
        <v/>
      </c>
      <c r="BS90" s="4" t="str">
        <f t="shared" si="613"/>
        <v/>
      </c>
      <c r="BT90" s="5" t="str">
        <f t="shared" si="613"/>
        <v/>
      </c>
      <c r="BU90" s="10" t="str">
        <f t="shared" si="614"/>
        <v/>
      </c>
      <c r="BV90" s="9" t="str">
        <f t="shared" si="615"/>
        <v/>
      </c>
      <c r="BW90" s="5" t="str">
        <f t="shared" si="616"/>
        <v/>
      </c>
      <c r="BX90" s="8" t="str">
        <f t="shared" si="617"/>
        <v/>
      </c>
      <c r="BY90" s="173" t="str">
        <f t="shared" si="618"/>
        <v/>
      </c>
      <c r="BZ90" s="5" t="str">
        <f t="shared" si="619"/>
        <v/>
      </c>
      <c r="CA90" s="6" t="str">
        <f t="shared" si="620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1"/>
        <v/>
      </c>
      <c r="CJ90" s="5" t="str">
        <f t="shared" si="622"/>
        <v/>
      </c>
      <c r="CK90" s="8" t="str">
        <f t="shared" si="623"/>
        <v/>
      </c>
      <c r="CL90" s="173" t="str">
        <f t="shared" si="624"/>
        <v/>
      </c>
      <c r="CM90" s="5" t="str">
        <f t="shared" si="625"/>
        <v/>
      </c>
      <c r="CN90" s="6" t="str">
        <f t="shared" si="626"/>
        <v/>
      </c>
      <c r="CO90" s="167" t="str">
        <f t="shared" si="547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8"/>
        <v/>
      </c>
      <c r="ET90" s="5" t="str">
        <f t="shared" si="549"/>
        <v/>
      </c>
      <c r="EU90" s="10" t="str">
        <f t="shared" si="550"/>
        <v/>
      </c>
      <c r="EV90" s="174" t="str">
        <f t="shared" si="551"/>
        <v/>
      </c>
      <c r="EW90" s="9" t="str">
        <f t="shared" si="552"/>
        <v/>
      </c>
      <c r="EX90" s="5" t="str">
        <f t="shared" si="553"/>
        <v/>
      </c>
      <c r="EY90" s="6" t="str">
        <f t="shared" si="699"/>
        <v/>
      </c>
      <c r="EZ90" s="51" t="str">
        <f t="shared" si="700"/>
        <v/>
      </c>
      <c r="FA90" s="173" t="str">
        <f t="shared" si="554"/>
        <v/>
      </c>
      <c r="FB90" s="5" t="str">
        <f t="shared" si="555"/>
        <v/>
      </c>
      <c r="FC90" s="6" t="str">
        <f t="shared" si="556"/>
        <v/>
      </c>
      <c r="FD90" s="4" t="str">
        <f t="shared" si="557"/>
        <v/>
      </c>
      <c r="FE90" s="5" t="str">
        <f t="shared" si="558"/>
        <v/>
      </c>
      <c r="FF90" s="7" t="str">
        <f t="shared" si="701"/>
        <v/>
      </c>
      <c r="FG90" s="173" t="str">
        <f t="shared" si="559"/>
        <v/>
      </c>
      <c r="FH90" s="5" t="str">
        <f t="shared" si="560"/>
        <v/>
      </c>
      <c r="FI90" s="10" t="str">
        <f t="shared" si="561"/>
        <v/>
      </c>
      <c r="FJ90" s="279" t="str">
        <f t="shared" si="702"/>
        <v/>
      </c>
      <c r="FK90" s="4" t="str">
        <f t="shared" si="562"/>
        <v/>
      </c>
      <c r="FL90" s="5" t="str">
        <f t="shared" si="627"/>
        <v/>
      </c>
      <c r="FM90" s="8" t="str">
        <f t="shared" si="628"/>
        <v/>
      </c>
      <c r="FN90" s="9" t="str">
        <f t="shared" si="629"/>
        <v/>
      </c>
      <c r="FO90" s="10" t="str">
        <f t="shared" si="563"/>
        <v/>
      </c>
      <c r="FP90" s="277" t="str">
        <f t="shared" si="630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4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5"/>
        <v/>
      </c>
      <c r="GH90" s="286" t="str">
        <f t="shared" si="566"/>
        <v/>
      </c>
      <c r="GI90" s="281" t="str">
        <f t="shared" si="567"/>
        <v/>
      </c>
      <c r="GJ90" s="167" t="str">
        <f t="shared" si="718"/>
        <v/>
      </c>
      <c r="GK90" s="174" t="str">
        <f t="shared" si="568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9"/>
        <v/>
      </c>
      <c r="GT90" s="343" t="str">
        <f t="shared" si="570"/>
        <v/>
      </c>
      <c r="GU90" s="344" t="str">
        <f t="shared" si="571"/>
        <v/>
      </c>
      <c r="GV90" s="343" t="str">
        <f t="shared" si="726"/>
        <v/>
      </c>
      <c r="GW90" s="345" t="str">
        <f t="shared" si="572"/>
        <v/>
      </c>
      <c r="GX90" s="346" t="str">
        <f t="shared" si="573"/>
        <v/>
      </c>
      <c r="GY90" s="344" t="str">
        <f t="shared" si="574"/>
        <v/>
      </c>
      <c r="GZ90" s="345" t="str">
        <f t="shared" si="575"/>
        <v/>
      </c>
      <c r="HA90" s="342" t="str">
        <f t="shared" si="576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7"/>
        <v/>
      </c>
      <c r="HF90" s="5" t="str">
        <f t="shared" si="578"/>
        <v/>
      </c>
      <c r="HG90" s="343" t="str">
        <f t="shared" si="730"/>
        <v/>
      </c>
      <c r="HH90" s="349" t="str">
        <f t="shared" si="731"/>
        <v/>
      </c>
      <c r="HI90" s="317" t="str">
        <f t="shared" si="579"/>
        <v/>
      </c>
      <c r="HK90" s="310" t="str">
        <f t="shared" si="631"/>
        <v/>
      </c>
      <c r="HL90" s="348" t="str">
        <f t="shared" si="580"/>
        <v/>
      </c>
      <c r="HM90" s="909" t="str">
        <f t="shared" si="581"/>
        <v/>
      </c>
      <c r="HN90" s="910" t="str">
        <f t="shared" si="582"/>
        <v/>
      </c>
      <c r="HO90" s="911"/>
      <c r="HP90" s="912"/>
      <c r="HQ90" s="910" t="str">
        <f t="shared" si="583"/>
        <v/>
      </c>
      <c r="HR90" s="913" t="str">
        <f t="shared" si="584"/>
        <v/>
      </c>
      <c r="HS90" s="865" t="str">
        <f t="shared" si="632"/>
        <v/>
      </c>
      <c r="HT90" s="875" t="str">
        <f t="shared" si="585"/>
        <v/>
      </c>
      <c r="HU90" s="876" t="str">
        <f t="shared" si="586"/>
        <v/>
      </c>
      <c r="HV90" s="872" t="str">
        <f t="shared" si="587"/>
        <v/>
      </c>
      <c r="HW90" s="866" t="str">
        <f t="shared" si="588"/>
        <v/>
      </c>
      <c r="HX90" s="867" t="str">
        <f t="shared" si="589"/>
        <v/>
      </c>
      <c r="HY90" s="866" t="str">
        <f t="shared" si="590"/>
        <v/>
      </c>
      <c r="HZ90" s="868" t="str">
        <f t="shared" si="591"/>
        <v/>
      </c>
      <c r="IA90" s="869" t="str">
        <f t="shared" si="592"/>
        <v/>
      </c>
      <c r="IB90" s="870" t="str">
        <f t="shared" si="593"/>
        <v/>
      </c>
      <c r="IC90" s="841" t="str">
        <f t="shared" si="594"/>
        <v/>
      </c>
      <c r="ID90" s="351" t="str">
        <f t="shared" si="595"/>
        <v/>
      </c>
      <c r="IE90" s="843" t="str">
        <f t="shared" si="596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2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7"/>
        <v/>
      </c>
      <c r="IM90" s="482" t="str">
        <f t="shared" si="733"/>
        <v/>
      </c>
      <c r="IN90" s="670" t="str">
        <f t="shared" si="598"/>
        <v/>
      </c>
      <c r="IO90" s="702">
        <v>2.4406197959068E-2</v>
      </c>
      <c r="IP90" s="5" t="str">
        <f t="shared" si="599"/>
        <v/>
      </c>
      <c r="IQ90" s="714">
        <v>410</v>
      </c>
      <c r="IR90" s="9" t="str">
        <f t="shared" si="600"/>
        <v/>
      </c>
      <c r="IS90" s="5" t="str">
        <f t="shared" si="601"/>
        <v/>
      </c>
      <c r="IT90" s="5" t="str">
        <f t="shared" si="602"/>
        <v/>
      </c>
      <c r="IU90" s="5" t="str">
        <f t="shared" si="603"/>
        <v/>
      </c>
      <c r="IV90" s="670" t="str">
        <f t="shared" si="604"/>
        <v/>
      </c>
      <c r="IW90" s="9" t="str">
        <f t="shared" si="605"/>
        <v/>
      </c>
      <c r="IX90" s="5" t="str">
        <f t="shared" si="606"/>
        <v/>
      </c>
      <c r="IY90" s="5" t="str">
        <f t="shared" si="607"/>
        <v/>
      </c>
      <c r="IZ90" s="5" t="str">
        <f t="shared" si="608"/>
        <v/>
      </c>
      <c r="JA90" s="705" t="str">
        <f t="shared" si="609"/>
        <v/>
      </c>
    </row>
    <row r="91" spans="1:261" ht="15" customHeight="1" x14ac:dyDescent="0.25">
      <c r="A91" s="75" t="str">
        <f t="shared" si="516"/>
        <v/>
      </c>
      <c r="B91" s="578" t="str">
        <f t="shared" si="517"/>
        <v/>
      </c>
      <c r="C91" s="572" t="str">
        <f t="shared" si="518"/>
        <v/>
      </c>
      <c r="D91" s="576" t="str">
        <f t="shared" si="519"/>
        <v/>
      </c>
      <c r="E91" s="580" t="str">
        <f t="shared" si="520"/>
        <v/>
      </c>
      <c r="F91" s="572" t="str">
        <f t="shared" si="521"/>
        <v/>
      </c>
      <c r="G91" s="579" t="str">
        <f t="shared" si="522"/>
        <v/>
      </c>
      <c r="H91" s="580" t="str">
        <f t="shared" si="523"/>
        <v/>
      </c>
      <c r="I91" s="572" t="str">
        <f t="shared" si="524"/>
        <v/>
      </c>
      <c r="J91" s="483" t="str">
        <f t="shared" si="525"/>
        <v/>
      </c>
      <c r="K91" s="806" t="str">
        <f t="shared" si="526"/>
        <v/>
      </c>
      <c r="L91" s="309"/>
      <c r="M91" s="164" t="str">
        <f t="shared" si="527"/>
        <v/>
      </c>
      <c r="N91" s="575" t="str">
        <f t="shared" si="528"/>
        <v/>
      </c>
      <c r="O91" s="572" t="str">
        <f t="shared" si="529"/>
        <v/>
      </c>
      <c r="P91" s="576" t="str">
        <f t="shared" si="530"/>
        <v/>
      </c>
      <c r="Q91" s="528" t="str">
        <f t="shared" si="610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6"/>
        <v/>
      </c>
      <c r="X91" s="572" t="str">
        <f t="shared" si="105"/>
        <v/>
      </c>
      <c r="Y91" s="573" t="str">
        <f t="shared" si="734"/>
        <v/>
      </c>
      <c r="Z91" s="575" t="str">
        <f t="shared" si="531"/>
        <v/>
      </c>
      <c r="AA91" s="572" t="str">
        <f t="shared" si="532"/>
        <v/>
      </c>
      <c r="AB91" s="572" t="str">
        <f t="shared" si="533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15"/>
        <v/>
      </c>
      <c r="AP91" s="528" t="str">
        <f t="shared" si="117"/>
        <v/>
      </c>
      <c r="AQ91" s="529" t="str">
        <f t="shared" si="534"/>
        <v/>
      </c>
      <c r="AS91" s="932" t="str">
        <f t="shared" si="633"/>
        <v/>
      </c>
      <c r="AT91" s="928" t="str">
        <f t="shared" si="535"/>
        <v/>
      </c>
      <c r="AU91" s="418"/>
      <c r="AV91" s="164" t="str">
        <f t="shared" si="536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4"/>
        <v/>
      </c>
      <c r="BA91" s="296" t="str">
        <f t="shared" si="537"/>
        <v/>
      </c>
      <c r="BB91" s="177" t="str">
        <f t="shared" si="611"/>
        <v/>
      </c>
      <c r="BC91" s="9"/>
      <c r="BD91" s="5" t="str">
        <f t="shared" si="612"/>
        <v/>
      </c>
      <c r="BE91" s="6" t="str">
        <f t="shared" si="538"/>
        <v/>
      </c>
      <c r="BF91" s="4" t="str">
        <f t="shared" si="539"/>
        <v/>
      </c>
      <c r="BG91" s="5" t="str">
        <f t="shared" si="540"/>
        <v/>
      </c>
      <c r="BH91" s="10" t="str">
        <f t="shared" si="541"/>
        <v/>
      </c>
      <c r="BI91" s="9" t="str">
        <f t="shared" si="635"/>
        <v/>
      </c>
      <c r="BJ91" s="5" t="str">
        <f t="shared" si="542"/>
        <v/>
      </c>
      <c r="BK91" s="8" t="str">
        <f t="shared" si="543"/>
        <v/>
      </c>
      <c r="BL91" s="173" t="str">
        <f t="shared" si="544"/>
        <v/>
      </c>
      <c r="BM91" s="5" t="str">
        <f t="shared" si="545"/>
        <v/>
      </c>
      <c r="BN91" s="6" t="str">
        <f t="shared" si="546"/>
        <v/>
      </c>
      <c r="BO91" s="4" t="str">
        <f t="shared" si="636"/>
        <v/>
      </c>
      <c r="BP91" s="5" t="str">
        <f t="shared" si="735"/>
        <v/>
      </c>
      <c r="BQ91" s="5" t="str">
        <f t="shared" si="637"/>
        <v/>
      </c>
      <c r="BR91" s="6" t="str">
        <f t="shared" si="638"/>
        <v/>
      </c>
      <c r="BS91" s="4" t="str">
        <f t="shared" si="613"/>
        <v/>
      </c>
      <c r="BT91" s="5" t="str">
        <f t="shared" si="613"/>
        <v/>
      </c>
      <c r="BU91" s="10" t="str">
        <f t="shared" si="614"/>
        <v/>
      </c>
      <c r="BV91" s="9" t="str">
        <f t="shared" si="615"/>
        <v/>
      </c>
      <c r="BW91" s="5" t="str">
        <f t="shared" si="616"/>
        <v/>
      </c>
      <c r="BX91" s="8" t="str">
        <f t="shared" si="617"/>
        <v/>
      </c>
      <c r="BY91" s="173" t="str">
        <f t="shared" si="618"/>
        <v/>
      </c>
      <c r="BZ91" s="5" t="str">
        <f t="shared" si="619"/>
        <v/>
      </c>
      <c r="CA91" s="6" t="str">
        <f t="shared" si="620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1"/>
        <v/>
      </c>
      <c r="CJ91" s="5" t="str">
        <f t="shared" si="622"/>
        <v/>
      </c>
      <c r="CK91" s="8" t="str">
        <f t="shared" si="623"/>
        <v/>
      </c>
      <c r="CL91" s="173" t="str">
        <f t="shared" si="624"/>
        <v/>
      </c>
      <c r="CM91" s="5" t="str">
        <f t="shared" si="625"/>
        <v/>
      </c>
      <c r="CN91" s="6" t="str">
        <f t="shared" si="626"/>
        <v/>
      </c>
      <c r="CO91" s="167" t="str">
        <f t="shared" si="547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8"/>
        <v/>
      </c>
      <c r="ET91" s="5" t="str">
        <f t="shared" si="549"/>
        <v/>
      </c>
      <c r="EU91" s="10" t="str">
        <f t="shared" si="550"/>
        <v/>
      </c>
      <c r="EV91" s="174" t="str">
        <f t="shared" si="551"/>
        <v/>
      </c>
      <c r="EW91" s="9" t="str">
        <f t="shared" si="552"/>
        <v/>
      </c>
      <c r="EX91" s="5" t="str">
        <f t="shared" si="553"/>
        <v/>
      </c>
      <c r="EY91" s="6" t="str">
        <f t="shared" si="699"/>
        <v/>
      </c>
      <c r="EZ91" s="51" t="str">
        <f t="shared" si="700"/>
        <v/>
      </c>
      <c r="FA91" s="173" t="str">
        <f t="shared" si="554"/>
        <v/>
      </c>
      <c r="FB91" s="5" t="str">
        <f t="shared" si="555"/>
        <v/>
      </c>
      <c r="FC91" s="6" t="str">
        <f t="shared" si="556"/>
        <v/>
      </c>
      <c r="FD91" s="4" t="str">
        <f t="shared" si="557"/>
        <v/>
      </c>
      <c r="FE91" s="5" t="str">
        <f t="shared" si="558"/>
        <v/>
      </c>
      <c r="FF91" s="7" t="str">
        <f t="shared" si="701"/>
        <v/>
      </c>
      <c r="FG91" s="173" t="str">
        <f t="shared" si="559"/>
        <v/>
      </c>
      <c r="FH91" s="5" t="str">
        <f t="shared" si="560"/>
        <v/>
      </c>
      <c r="FI91" s="10" t="str">
        <f t="shared" si="561"/>
        <v/>
      </c>
      <c r="FJ91" s="279" t="str">
        <f t="shared" si="702"/>
        <v/>
      </c>
      <c r="FK91" s="4" t="str">
        <f t="shared" si="562"/>
        <v/>
      </c>
      <c r="FL91" s="5" t="str">
        <f t="shared" si="627"/>
        <v/>
      </c>
      <c r="FM91" s="8" t="str">
        <f t="shared" si="628"/>
        <v/>
      </c>
      <c r="FN91" s="9" t="str">
        <f t="shared" si="629"/>
        <v/>
      </c>
      <c r="FO91" s="10" t="str">
        <f t="shared" si="563"/>
        <v/>
      </c>
      <c r="FP91" s="277" t="str">
        <f t="shared" si="630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4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5"/>
        <v/>
      </c>
      <c r="GH91" s="286" t="str">
        <f t="shared" si="566"/>
        <v/>
      </c>
      <c r="GI91" s="281" t="str">
        <f t="shared" si="567"/>
        <v/>
      </c>
      <c r="GJ91" s="167" t="str">
        <f t="shared" si="718"/>
        <v/>
      </c>
      <c r="GK91" s="174" t="str">
        <f t="shared" si="568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9"/>
        <v/>
      </c>
      <c r="GT91" s="343" t="str">
        <f t="shared" si="570"/>
        <v/>
      </c>
      <c r="GU91" s="344" t="str">
        <f t="shared" si="571"/>
        <v/>
      </c>
      <c r="GV91" s="343" t="str">
        <f t="shared" si="726"/>
        <v/>
      </c>
      <c r="GW91" s="345" t="str">
        <f t="shared" si="572"/>
        <v/>
      </c>
      <c r="GX91" s="346" t="str">
        <f t="shared" si="573"/>
        <v/>
      </c>
      <c r="GY91" s="344" t="str">
        <f t="shared" si="574"/>
        <v/>
      </c>
      <c r="GZ91" s="345" t="str">
        <f t="shared" si="575"/>
        <v/>
      </c>
      <c r="HA91" s="342" t="str">
        <f t="shared" si="576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7"/>
        <v/>
      </c>
      <c r="HF91" s="5" t="str">
        <f t="shared" si="578"/>
        <v/>
      </c>
      <c r="HG91" s="343" t="str">
        <f t="shared" si="730"/>
        <v/>
      </c>
      <c r="HH91" s="349" t="str">
        <f t="shared" si="731"/>
        <v/>
      </c>
      <c r="HI91" s="317" t="str">
        <f t="shared" si="579"/>
        <v/>
      </c>
      <c r="HK91" s="310" t="str">
        <f t="shared" si="631"/>
        <v/>
      </c>
      <c r="HL91" s="348" t="str">
        <f t="shared" si="580"/>
        <v/>
      </c>
      <c r="HM91" s="909" t="str">
        <f t="shared" si="581"/>
        <v/>
      </c>
      <c r="HN91" s="910" t="str">
        <f t="shared" si="582"/>
        <v/>
      </c>
      <c r="HO91" s="911"/>
      <c r="HP91" s="912"/>
      <c r="HQ91" s="910" t="str">
        <f t="shared" si="583"/>
        <v/>
      </c>
      <c r="HR91" s="913" t="str">
        <f t="shared" si="584"/>
        <v/>
      </c>
      <c r="HS91" s="865" t="str">
        <f t="shared" si="632"/>
        <v/>
      </c>
      <c r="HT91" s="875" t="str">
        <f t="shared" si="585"/>
        <v/>
      </c>
      <c r="HU91" s="876" t="str">
        <f t="shared" si="586"/>
        <v/>
      </c>
      <c r="HV91" s="872" t="str">
        <f t="shared" si="587"/>
        <v/>
      </c>
      <c r="HW91" s="866" t="str">
        <f t="shared" si="588"/>
        <v/>
      </c>
      <c r="HX91" s="867" t="str">
        <f t="shared" si="589"/>
        <v/>
      </c>
      <c r="HY91" s="866" t="str">
        <f t="shared" si="590"/>
        <v/>
      </c>
      <c r="HZ91" s="868" t="str">
        <f t="shared" si="591"/>
        <v/>
      </c>
      <c r="IA91" s="869" t="str">
        <f t="shared" si="592"/>
        <v/>
      </c>
      <c r="IB91" s="870" t="str">
        <f t="shared" si="593"/>
        <v/>
      </c>
      <c r="IC91" s="841" t="str">
        <f t="shared" si="594"/>
        <v/>
      </c>
      <c r="ID91" s="351" t="str">
        <f t="shared" si="595"/>
        <v/>
      </c>
      <c r="IE91" s="843" t="str">
        <f t="shared" si="596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2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7"/>
        <v/>
      </c>
      <c r="IM91" s="482" t="str">
        <f t="shared" si="733"/>
        <v/>
      </c>
      <c r="IN91" s="670" t="str">
        <f t="shared" si="598"/>
        <v/>
      </c>
      <c r="IO91" s="702">
        <v>1.70983373544073E-2</v>
      </c>
      <c r="IP91" s="5" t="str">
        <f t="shared" si="599"/>
        <v/>
      </c>
      <c r="IQ91" s="714">
        <v>310</v>
      </c>
      <c r="IR91" s="9" t="str">
        <f t="shared" si="600"/>
        <v/>
      </c>
      <c r="IS91" s="5" t="str">
        <f t="shared" si="601"/>
        <v/>
      </c>
      <c r="IT91" s="5" t="str">
        <f t="shared" si="602"/>
        <v/>
      </c>
      <c r="IU91" s="5" t="str">
        <f t="shared" si="603"/>
        <v/>
      </c>
      <c r="IV91" s="670" t="str">
        <f t="shared" si="604"/>
        <v/>
      </c>
      <c r="IW91" s="9" t="str">
        <f t="shared" si="605"/>
        <v/>
      </c>
      <c r="IX91" s="5" t="str">
        <f t="shared" si="606"/>
        <v/>
      </c>
      <c r="IY91" s="5" t="str">
        <f t="shared" si="607"/>
        <v/>
      </c>
      <c r="IZ91" s="5" t="str">
        <f t="shared" si="608"/>
        <v/>
      </c>
      <c r="JA91" s="705" t="str">
        <f t="shared" si="609"/>
        <v/>
      </c>
    </row>
    <row r="92" spans="1:261" ht="15" customHeight="1" x14ac:dyDescent="0.25">
      <c r="A92" s="75" t="str">
        <f t="shared" si="516"/>
        <v/>
      </c>
      <c r="B92" s="578" t="str">
        <f t="shared" si="517"/>
        <v/>
      </c>
      <c r="C92" s="572" t="str">
        <f t="shared" si="518"/>
        <v/>
      </c>
      <c r="D92" s="576" t="str">
        <f t="shared" si="519"/>
        <v/>
      </c>
      <c r="E92" s="580" t="str">
        <f t="shared" si="520"/>
        <v/>
      </c>
      <c r="F92" s="572" t="str">
        <f t="shared" si="521"/>
        <v/>
      </c>
      <c r="G92" s="579" t="str">
        <f t="shared" si="522"/>
        <v/>
      </c>
      <c r="H92" s="580" t="str">
        <f t="shared" si="523"/>
        <v/>
      </c>
      <c r="I92" s="572" t="str">
        <f t="shared" si="524"/>
        <v/>
      </c>
      <c r="J92" s="483" t="str">
        <f t="shared" si="525"/>
        <v/>
      </c>
      <c r="K92" s="806" t="str">
        <f t="shared" si="526"/>
        <v/>
      </c>
      <c r="L92" s="309"/>
      <c r="M92" s="164" t="str">
        <f t="shared" si="527"/>
        <v/>
      </c>
      <c r="N92" s="575" t="str">
        <f t="shared" si="528"/>
        <v/>
      </c>
      <c r="O92" s="572" t="str">
        <f t="shared" si="529"/>
        <v/>
      </c>
      <c r="P92" s="576" t="str">
        <f t="shared" si="530"/>
        <v/>
      </c>
      <c r="Q92" s="528" t="str">
        <f t="shared" si="610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6"/>
        <v/>
      </c>
      <c r="X92" s="572" t="str">
        <f t="shared" si="105"/>
        <v/>
      </c>
      <c r="Y92" s="573" t="str">
        <f t="shared" si="734"/>
        <v/>
      </c>
      <c r="Z92" s="575" t="str">
        <f t="shared" si="531"/>
        <v/>
      </c>
      <c r="AA92" s="572" t="str">
        <f t="shared" si="532"/>
        <v/>
      </c>
      <c r="AB92" s="572" t="str">
        <f t="shared" si="533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15"/>
        <v/>
      </c>
      <c r="AP92" s="528" t="str">
        <f t="shared" si="117"/>
        <v/>
      </c>
      <c r="AQ92" s="529" t="str">
        <f t="shared" si="534"/>
        <v/>
      </c>
      <c r="AS92" s="932" t="str">
        <f t="shared" si="633"/>
        <v/>
      </c>
      <c r="AT92" s="928" t="str">
        <f t="shared" si="535"/>
        <v/>
      </c>
      <c r="AU92" s="418"/>
      <c r="AV92" s="164" t="str">
        <f t="shared" si="536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4"/>
        <v/>
      </c>
      <c r="BA92" s="296" t="str">
        <f t="shared" si="537"/>
        <v/>
      </c>
      <c r="BB92" s="177" t="str">
        <f t="shared" si="611"/>
        <v/>
      </c>
      <c r="BC92" s="9"/>
      <c r="BD92" s="5" t="str">
        <f t="shared" si="612"/>
        <v/>
      </c>
      <c r="BE92" s="6" t="str">
        <f t="shared" si="538"/>
        <v/>
      </c>
      <c r="BF92" s="4" t="str">
        <f t="shared" si="539"/>
        <v/>
      </c>
      <c r="BG92" s="5" t="str">
        <f t="shared" si="540"/>
        <v/>
      </c>
      <c r="BH92" s="10" t="str">
        <f t="shared" si="541"/>
        <v/>
      </c>
      <c r="BI92" s="9" t="str">
        <f t="shared" si="635"/>
        <v/>
      </c>
      <c r="BJ92" s="5" t="str">
        <f t="shared" si="542"/>
        <v/>
      </c>
      <c r="BK92" s="8" t="str">
        <f t="shared" si="543"/>
        <v/>
      </c>
      <c r="BL92" s="173" t="str">
        <f t="shared" si="544"/>
        <v/>
      </c>
      <c r="BM92" s="5" t="str">
        <f t="shared" si="545"/>
        <v/>
      </c>
      <c r="BN92" s="6" t="str">
        <f t="shared" si="546"/>
        <v/>
      </c>
      <c r="BO92" s="4" t="str">
        <f t="shared" si="636"/>
        <v/>
      </c>
      <c r="BP92" s="5" t="str">
        <f t="shared" si="735"/>
        <v/>
      </c>
      <c r="BQ92" s="5" t="str">
        <f t="shared" si="637"/>
        <v/>
      </c>
      <c r="BR92" s="6" t="str">
        <f t="shared" si="638"/>
        <v/>
      </c>
      <c r="BS92" s="4" t="str">
        <f t="shared" si="613"/>
        <v/>
      </c>
      <c r="BT92" s="5" t="str">
        <f t="shared" si="613"/>
        <v/>
      </c>
      <c r="BU92" s="10" t="str">
        <f t="shared" si="614"/>
        <v/>
      </c>
      <c r="BV92" s="9" t="str">
        <f t="shared" si="615"/>
        <v/>
      </c>
      <c r="BW92" s="5" t="str">
        <f t="shared" si="616"/>
        <v/>
      </c>
      <c r="BX92" s="8" t="str">
        <f t="shared" si="617"/>
        <v/>
      </c>
      <c r="BY92" s="173" t="str">
        <f t="shared" si="618"/>
        <v/>
      </c>
      <c r="BZ92" s="5" t="str">
        <f t="shared" si="619"/>
        <v/>
      </c>
      <c r="CA92" s="6" t="str">
        <f t="shared" si="620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1"/>
        <v/>
      </c>
      <c r="CJ92" s="5" t="str">
        <f t="shared" si="622"/>
        <v/>
      </c>
      <c r="CK92" s="8" t="str">
        <f t="shared" si="623"/>
        <v/>
      </c>
      <c r="CL92" s="173" t="str">
        <f t="shared" si="624"/>
        <v/>
      </c>
      <c r="CM92" s="5" t="str">
        <f t="shared" si="625"/>
        <v/>
      </c>
      <c r="CN92" s="6" t="str">
        <f t="shared" si="626"/>
        <v/>
      </c>
      <c r="CO92" s="167" t="str">
        <f t="shared" si="547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8"/>
        <v/>
      </c>
      <c r="ET92" s="5" t="str">
        <f t="shared" si="549"/>
        <v/>
      </c>
      <c r="EU92" s="10" t="str">
        <f t="shared" si="550"/>
        <v/>
      </c>
      <c r="EV92" s="174" t="str">
        <f t="shared" si="551"/>
        <v/>
      </c>
      <c r="EW92" s="9" t="str">
        <f t="shared" si="552"/>
        <v/>
      </c>
      <c r="EX92" s="5" t="str">
        <f t="shared" si="553"/>
        <v/>
      </c>
      <c r="EY92" s="6" t="str">
        <f t="shared" si="699"/>
        <v/>
      </c>
      <c r="EZ92" s="51" t="str">
        <f t="shared" si="700"/>
        <v/>
      </c>
      <c r="FA92" s="173" t="str">
        <f t="shared" si="554"/>
        <v/>
      </c>
      <c r="FB92" s="5" t="str">
        <f t="shared" si="555"/>
        <v/>
      </c>
      <c r="FC92" s="6" t="str">
        <f t="shared" si="556"/>
        <v/>
      </c>
      <c r="FD92" s="4" t="str">
        <f t="shared" si="557"/>
        <v/>
      </c>
      <c r="FE92" s="5" t="str">
        <f t="shared" si="558"/>
        <v/>
      </c>
      <c r="FF92" s="7" t="str">
        <f t="shared" si="701"/>
        <v/>
      </c>
      <c r="FG92" s="173" t="str">
        <f t="shared" si="559"/>
        <v/>
      </c>
      <c r="FH92" s="5" t="str">
        <f t="shared" si="560"/>
        <v/>
      </c>
      <c r="FI92" s="10" t="str">
        <f t="shared" si="561"/>
        <v/>
      </c>
      <c r="FJ92" s="279" t="str">
        <f t="shared" si="702"/>
        <v/>
      </c>
      <c r="FK92" s="4" t="str">
        <f t="shared" si="562"/>
        <v/>
      </c>
      <c r="FL92" s="5" t="str">
        <f t="shared" si="627"/>
        <v/>
      </c>
      <c r="FM92" s="8" t="str">
        <f t="shared" si="628"/>
        <v/>
      </c>
      <c r="FN92" s="9" t="str">
        <f t="shared" si="629"/>
        <v/>
      </c>
      <c r="FO92" s="10" t="str">
        <f t="shared" si="563"/>
        <v/>
      </c>
      <c r="FP92" s="277" t="str">
        <f t="shared" si="630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4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5"/>
        <v/>
      </c>
      <c r="GH92" s="286" t="str">
        <f t="shared" si="566"/>
        <v/>
      </c>
      <c r="GI92" s="281" t="str">
        <f t="shared" si="567"/>
        <v/>
      </c>
      <c r="GJ92" s="167" t="str">
        <f t="shared" si="718"/>
        <v/>
      </c>
      <c r="GK92" s="174" t="str">
        <f t="shared" si="568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9"/>
        <v/>
      </c>
      <c r="GT92" s="343" t="str">
        <f t="shared" si="570"/>
        <v/>
      </c>
      <c r="GU92" s="344" t="str">
        <f t="shared" si="571"/>
        <v/>
      </c>
      <c r="GV92" s="343" t="str">
        <f t="shared" si="726"/>
        <v/>
      </c>
      <c r="GW92" s="345" t="str">
        <f t="shared" si="572"/>
        <v/>
      </c>
      <c r="GX92" s="346" t="str">
        <f t="shared" si="573"/>
        <v/>
      </c>
      <c r="GY92" s="344" t="str">
        <f t="shared" si="574"/>
        <v/>
      </c>
      <c r="GZ92" s="345" t="str">
        <f t="shared" si="575"/>
        <v/>
      </c>
      <c r="HA92" s="342" t="str">
        <f t="shared" si="576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7"/>
        <v/>
      </c>
      <c r="HF92" s="5" t="str">
        <f t="shared" si="578"/>
        <v/>
      </c>
      <c r="HG92" s="343" t="str">
        <f t="shared" si="730"/>
        <v/>
      </c>
      <c r="HH92" s="349" t="str">
        <f t="shared" si="731"/>
        <v/>
      </c>
      <c r="HI92" s="317" t="str">
        <f t="shared" si="579"/>
        <v/>
      </c>
      <c r="HK92" s="310" t="str">
        <f t="shared" si="631"/>
        <v/>
      </c>
      <c r="HL92" s="348" t="str">
        <f t="shared" si="580"/>
        <v/>
      </c>
      <c r="HM92" s="909" t="str">
        <f t="shared" si="581"/>
        <v/>
      </c>
      <c r="HN92" s="910" t="str">
        <f t="shared" si="582"/>
        <v/>
      </c>
      <c r="HO92" s="911"/>
      <c r="HP92" s="912"/>
      <c r="HQ92" s="910" t="str">
        <f t="shared" si="583"/>
        <v/>
      </c>
      <c r="HR92" s="913" t="str">
        <f t="shared" si="584"/>
        <v/>
      </c>
      <c r="HS92" s="865" t="str">
        <f t="shared" si="632"/>
        <v/>
      </c>
      <c r="HT92" s="875" t="str">
        <f t="shared" si="585"/>
        <v/>
      </c>
      <c r="HU92" s="876" t="str">
        <f t="shared" si="586"/>
        <v/>
      </c>
      <c r="HV92" s="872" t="str">
        <f t="shared" si="587"/>
        <v/>
      </c>
      <c r="HW92" s="866" t="str">
        <f t="shared" si="588"/>
        <v/>
      </c>
      <c r="HX92" s="867" t="str">
        <f t="shared" si="589"/>
        <v/>
      </c>
      <c r="HY92" s="866" t="str">
        <f t="shared" si="590"/>
        <v/>
      </c>
      <c r="HZ92" s="868" t="str">
        <f t="shared" si="591"/>
        <v/>
      </c>
      <c r="IA92" s="869" t="str">
        <f t="shared" si="592"/>
        <v/>
      </c>
      <c r="IB92" s="870" t="str">
        <f t="shared" si="593"/>
        <v/>
      </c>
      <c r="IC92" s="841" t="str">
        <f t="shared" si="594"/>
        <v/>
      </c>
      <c r="ID92" s="351" t="str">
        <f t="shared" si="595"/>
        <v/>
      </c>
      <c r="IE92" s="843" t="str">
        <f t="shared" si="596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2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7"/>
        <v/>
      </c>
      <c r="IM92" s="482" t="str">
        <f t="shared" si="733"/>
        <v/>
      </c>
      <c r="IN92" s="670" t="str">
        <f t="shared" si="598"/>
        <v/>
      </c>
      <c r="IO92" s="702">
        <v>1.37927734429416E-2</v>
      </c>
      <c r="IP92" s="5" t="str">
        <f t="shared" si="599"/>
        <v/>
      </c>
      <c r="IQ92" s="714">
        <v>380</v>
      </c>
      <c r="IR92" s="9" t="str">
        <f t="shared" si="600"/>
        <v/>
      </c>
      <c r="IS92" s="5" t="str">
        <f t="shared" si="601"/>
        <v/>
      </c>
      <c r="IT92" s="5" t="str">
        <f t="shared" si="602"/>
        <v/>
      </c>
      <c r="IU92" s="5" t="str">
        <f t="shared" si="603"/>
        <v/>
      </c>
      <c r="IV92" s="670" t="str">
        <f t="shared" si="604"/>
        <v/>
      </c>
      <c r="IW92" s="9" t="str">
        <f t="shared" si="605"/>
        <v/>
      </c>
      <c r="IX92" s="5" t="str">
        <f t="shared" si="606"/>
        <v/>
      </c>
      <c r="IY92" s="5" t="str">
        <f t="shared" si="607"/>
        <v/>
      </c>
      <c r="IZ92" s="5" t="str">
        <f t="shared" si="608"/>
        <v/>
      </c>
      <c r="JA92" s="705" t="str">
        <f t="shared" si="609"/>
        <v/>
      </c>
    </row>
    <row r="93" spans="1:261" ht="15" customHeight="1" x14ac:dyDescent="0.25">
      <c r="A93" s="75" t="str">
        <f t="shared" si="516"/>
        <v/>
      </c>
      <c r="B93" s="578" t="str">
        <f t="shared" si="517"/>
        <v/>
      </c>
      <c r="C93" s="572" t="str">
        <f t="shared" si="518"/>
        <v/>
      </c>
      <c r="D93" s="576" t="str">
        <f t="shared" si="519"/>
        <v/>
      </c>
      <c r="E93" s="580" t="str">
        <f t="shared" si="520"/>
        <v/>
      </c>
      <c r="F93" s="572" t="str">
        <f t="shared" si="521"/>
        <v/>
      </c>
      <c r="G93" s="579" t="str">
        <f t="shared" si="522"/>
        <v/>
      </c>
      <c r="H93" s="580" t="str">
        <f t="shared" si="523"/>
        <v/>
      </c>
      <c r="I93" s="572" t="str">
        <f t="shared" si="524"/>
        <v/>
      </c>
      <c r="J93" s="483" t="str">
        <f t="shared" si="525"/>
        <v/>
      </c>
      <c r="K93" s="806" t="str">
        <f t="shared" si="526"/>
        <v/>
      </c>
      <c r="L93" s="309"/>
      <c r="M93" s="164" t="str">
        <f t="shared" si="527"/>
        <v/>
      </c>
      <c r="N93" s="575" t="str">
        <f t="shared" si="528"/>
        <v/>
      </c>
      <c r="O93" s="572" t="str">
        <f t="shared" si="529"/>
        <v/>
      </c>
      <c r="P93" s="576" t="str">
        <f t="shared" si="530"/>
        <v/>
      </c>
      <c r="Q93" s="528" t="str">
        <f t="shared" si="610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6"/>
        <v/>
      </c>
      <c r="X93" s="572" t="str">
        <f t="shared" si="105"/>
        <v/>
      </c>
      <c r="Y93" s="573" t="str">
        <f t="shared" si="734"/>
        <v/>
      </c>
      <c r="Z93" s="575" t="str">
        <f t="shared" si="531"/>
        <v/>
      </c>
      <c r="AA93" s="572" t="str">
        <f t="shared" si="532"/>
        <v/>
      </c>
      <c r="AB93" s="572" t="str">
        <f t="shared" si="533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15"/>
        <v/>
      </c>
      <c r="AP93" s="528" t="str">
        <f t="shared" si="117"/>
        <v/>
      </c>
      <c r="AQ93" s="529" t="str">
        <f t="shared" si="534"/>
        <v/>
      </c>
      <c r="AS93" s="932" t="str">
        <f t="shared" si="633"/>
        <v/>
      </c>
      <c r="AT93" s="928" t="str">
        <f t="shared" si="535"/>
        <v/>
      </c>
      <c r="AU93" s="418"/>
      <c r="AV93" s="164" t="str">
        <f t="shared" si="536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4"/>
        <v/>
      </c>
      <c r="BA93" s="296" t="str">
        <f t="shared" si="537"/>
        <v/>
      </c>
      <c r="BB93" s="177" t="str">
        <f t="shared" si="611"/>
        <v/>
      </c>
      <c r="BC93" s="9"/>
      <c r="BD93" s="5" t="str">
        <f t="shared" si="612"/>
        <v/>
      </c>
      <c r="BE93" s="6" t="str">
        <f t="shared" si="538"/>
        <v/>
      </c>
      <c r="BF93" s="4" t="str">
        <f t="shared" si="539"/>
        <v/>
      </c>
      <c r="BG93" s="5" t="str">
        <f t="shared" si="540"/>
        <v/>
      </c>
      <c r="BH93" s="10" t="str">
        <f t="shared" si="541"/>
        <v/>
      </c>
      <c r="BI93" s="9" t="str">
        <f t="shared" si="635"/>
        <v/>
      </c>
      <c r="BJ93" s="5" t="str">
        <f t="shared" si="542"/>
        <v/>
      </c>
      <c r="BK93" s="8" t="str">
        <f t="shared" si="543"/>
        <v/>
      </c>
      <c r="BL93" s="173" t="str">
        <f t="shared" si="544"/>
        <v/>
      </c>
      <c r="BM93" s="5" t="str">
        <f t="shared" si="545"/>
        <v/>
      </c>
      <c r="BN93" s="6" t="str">
        <f t="shared" si="546"/>
        <v/>
      </c>
      <c r="BO93" s="4" t="str">
        <f t="shared" si="636"/>
        <v/>
      </c>
      <c r="BP93" s="5" t="str">
        <f t="shared" si="735"/>
        <v/>
      </c>
      <c r="BQ93" s="5" t="str">
        <f t="shared" si="637"/>
        <v/>
      </c>
      <c r="BR93" s="6" t="str">
        <f t="shared" si="638"/>
        <v/>
      </c>
      <c r="BS93" s="4" t="str">
        <f t="shared" si="613"/>
        <v/>
      </c>
      <c r="BT93" s="5" t="str">
        <f t="shared" si="613"/>
        <v/>
      </c>
      <c r="BU93" s="10" t="str">
        <f t="shared" si="614"/>
        <v/>
      </c>
      <c r="BV93" s="9" t="str">
        <f t="shared" si="615"/>
        <v/>
      </c>
      <c r="BW93" s="5" t="str">
        <f t="shared" si="616"/>
        <v/>
      </c>
      <c r="BX93" s="8" t="str">
        <f t="shared" si="617"/>
        <v/>
      </c>
      <c r="BY93" s="173" t="str">
        <f t="shared" si="618"/>
        <v/>
      </c>
      <c r="BZ93" s="5" t="str">
        <f t="shared" si="619"/>
        <v/>
      </c>
      <c r="CA93" s="6" t="str">
        <f t="shared" si="620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1"/>
        <v/>
      </c>
      <c r="CJ93" s="5" t="str">
        <f t="shared" si="622"/>
        <v/>
      </c>
      <c r="CK93" s="8" t="str">
        <f t="shared" si="623"/>
        <v/>
      </c>
      <c r="CL93" s="173" t="str">
        <f t="shared" si="624"/>
        <v/>
      </c>
      <c r="CM93" s="5" t="str">
        <f t="shared" si="625"/>
        <v/>
      </c>
      <c r="CN93" s="6" t="str">
        <f t="shared" si="626"/>
        <v/>
      </c>
      <c r="CO93" s="167" t="str">
        <f t="shared" si="547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8"/>
        <v/>
      </c>
      <c r="ET93" s="5" t="str">
        <f t="shared" si="549"/>
        <v/>
      </c>
      <c r="EU93" s="10" t="str">
        <f t="shared" si="550"/>
        <v/>
      </c>
      <c r="EV93" s="174" t="str">
        <f t="shared" si="551"/>
        <v/>
      </c>
      <c r="EW93" s="9" t="str">
        <f t="shared" si="552"/>
        <v/>
      </c>
      <c r="EX93" s="5" t="str">
        <f t="shared" si="553"/>
        <v/>
      </c>
      <c r="EY93" s="6" t="str">
        <f t="shared" si="699"/>
        <v/>
      </c>
      <c r="EZ93" s="51" t="str">
        <f t="shared" si="700"/>
        <v/>
      </c>
      <c r="FA93" s="173" t="str">
        <f t="shared" si="554"/>
        <v/>
      </c>
      <c r="FB93" s="5" t="str">
        <f t="shared" si="555"/>
        <v/>
      </c>
      <c r="FC93" s="6" t="str">
        <f t="shared" si="556"/>
        <v/>
      </c>
      <c r="FD93" s="4" t="str">
        <f t="shared" si="557"/>
        <v/>
      </c>
      <c r="FE93" s="5" t="str">
        <f t="shared" si="558"/>
        <v/>
      </c>
      <c r="FF93" s="7" t="str">
        <f t="shared" si="701"/>
        <v/>
      </c>
      <c r="FG93" s="173" t="str">
        <f t="shared" si="559"/>
        <v/>
      </c>
      <c r="FH93" s="5" t="str">
        <f t="shared" si="560"/>
        <v/>
      </c>
      <c r="FI93" s="10" t="str">
        <f t="shared" si="561"/>
        <v/>
      </c>
      <c r="FJ93" s="279" t="str">
        <f t="shared" si="702"/>
        <v/>
      </c>
      <c r="FK93" s="4" t="str">
        <f t="shared" si="562"/>
        <v/>
      </c>
      <c r="FL93" s="5" t="str">
        <f t="shared" si="627"/>
        <v/>
      </c>
      <c r="FM93" s="8" t="str">
        <f t="shared" si="628"/>
        <v/>
      </c>
      <c r="FN93" s="9" t="str">
        <f t="shared" si="629"/>
        <v/>
      </c>
      <c r="FO93" s="10" t="str">
        <f t="shared" si="563"/>
        <v/>
      </c>
      <c r="FP93" s="277" t="str">
        <f t="shared" si="630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4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5"/>
        <v/>
      </c>
      <c r="GH93" s="286" t="str">
        <f t="shared" si="566"/>
        <v/>
      </c>
      <c r="GI93" s="281" t="str">
        <f t="shared" si="567"/>
        <v/>
      </c>
      <c r="GJ93" s="167" t="str">
        <f t="shared" si="718"/>
        <v/>
      </c>
      <c r="GK93" s="174" t="str">
        <f t="shared" si="568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9"/>
        <v/>
      </c>
      <c r="GT93" s="343" t="str">
        <f t="shared" si="570"/>
        <v/>
      </c>
      <c r="GU93" s="344" t="str">
        <f t="shared" si="571"/>
        <v/>
      </c>
      <c r="GV93" s="343" t="str">
        <f t="shared" si="726"/>
        <v/>
      </c>
      <c r="GW93" s="345" t="str">
        <f t="shared" si="572"/>
        <v/>
      </c>
      <c r="GX93" s="346" t="str">
        <f t="shared" si="573"/>
        <v/>
      </c>
      <c r="GY93" s="344" t="str">
        <f t="shared" si="574"/>
        <v/>
      </c>
      <c r="GZ93" s="345" t="str">
        <f t="shared" si="575"/>
        <v/>
      </c>
      <c r="HA93" s="342" t="str">
        <f t="shared" si="576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7"/>
        <v/>
      </c>
      <c r="HF93" s="5" t="str">
        <f t="shared" si="578"/>
        <v/>
      </c>
      <c r="HG93" s="343" t="str">
        <f t="shared" si="730"/>
        <v/>
      </c>
      <c r="HH93" s="349" t="str">
        <f t="shared" si="731"/>
        <v/>
      </c>
      <c r="HI93" s="317" t="str">
        <f t="shared" si="579"/>
        <v/>
      </c>
      <c r="HK93" s="310" t="str">
        <f t="shared" si="631"/>
        <v/>
      </c>
      <c r="HL93" s="348" t="str">
        <f t="shared" si="580"/>
        <v/>
      </c>
      <c r="HM93" s="909" t="str">
        <f t="shared" si="581"/>
        <v/>
      </c>
      <c r="HN93" s="910" t="str">
        <f t="shared" si="582"/>
        <v/>
      </c>
      <c r="HO93" s="911"/>
      <c r="HP93" s="912"/>
      <c r="HQ93" s="910" t="str">
        <f t="shared" si="583"/>
        <v/>
      </c>
      <c r="HR93" s="913" t="str">
        <f t="shared" si="584"/>
        <v/>
      </c>
      <c r="HS93" s="865" t="str">
        <f t="shared" si="632"/>
        <v/>
      </c>
      <c r="HT93" s="875" t="str">
        <f t="shared" si="585"/>
        <v/>
      </c>
      <c r="HU93" s="876" t="str">
        <f t="shared" si="586"/>
        <v/>
      </c>
      <c r="HV93" s="872" t="str">
        <f t="shared" si="587"/>
        <v/>
      </c>
      <c r="HW93" s="866" t="str">
        <f t="shared" si="588"/>
        <v/>
      </c>
      <c r="HX93" s="867" t="str">
        <f t="shared" si="589"/>
        <v/>
      </c>
      <c r="HY93" s="866" t="str">
        <f t="shared" si="590"/>
        <v/>
      </c>
      <c r="HZ93" s="868" t="str">
        <f t="shared" si="591"/>
        <v/>
      </c>
      <c r="IA93" s="869" t="str">
        <f t="shared" si="592"/>
        <v/>
      </c>
      <c r="IB93" s="870" t="str">
        <f t="shared" si="593"/>
        <v/>
      </c>
      <c r="IC93" s="841" t="str">
        <f t="shared" si="594"/>
        <v/>
      </c>
      <c r="ID93" s="351" t="str">
        <f t="shared" si="595"/>
        <v/>
      </c>
      <c r="IE93" s="843" t="str">
        <f t="shared" si="596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2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7"/>
        <v/>
      </c>
      <c r="IM93" s="482" t="str">
        <f t="shared" si="733"/>
        <v/>
      </c>
      <c r="IN93" s="670" t="str">
        <f t="shared" si="598"/>
        <v/>
      </c>
      <c r="IO93" s="702">
        <v>1.0674147090893199E-2</v>
      </c>
      <c r="IP93" s="5" t="str">
        <f t="shared" si="599"/>
        <v/>
      </c>
      <c r="IQ93" s="714">
        <v>490</v>
      </c>
      <c r="IR93" s="9" t="str">
        <f t="shared" si="600"/>
        <v/>
      </c>
      <c r="IS93" s="5" t="str">
        <f t="shared" si="601"/>
        <v/>
      </c>
      <c r="IT93" s="5" t="str">
        <f t="shared" si="602"/>
        <v/>
      </c>
      <c r="IU93" s="5" t="str">
        <f t="shared" si="603"/>
        <v/>
      </c>
      <c r="IV93" s="670" t="str">
        <f t="shared" si="604"/>
        <v/>
      </c>
      <c r="IW93" s="9" t="str">
        <f t="shared" si="605"/>
        <v/>
      </c>
      <c r="IX93" s="5" t="str">
        <f t="shared" si="606"/>
        <v/>
      </c>
      <c r="IY93" s="5" t="str">
        <f t="shared" si="607"/>
        <v/>
      </c>
      <c r="IZ93" s="5" t="str">
        <f t="shared" si="608"/>
        <v/>
      </c>
      <c r="JA93" s="705" t="str">
        <f t="shared" si="609"/>
        <v/>
      </c>
    </row>
    <row r="94" spans="1:261" ht="15" customHeight="1" x14ac:dyDescent="0.25">
      <c r="A94" s="75" t="str">
        <f t="shared" si="516"/>
        <v/>
      </c>
      <c r="B94" s="578" t="str">
        <f t="shared" si="517"/>
        <v/>
      </c>
      <c r="C94" s="572" t="str">
        <f t="shared" si="518"/>
        <v/>
      </c>
      <c r="D94" s="576" t="str">
        <f t="shared" si="519"/>
        <v/>
      </c>
      <c r="E94" s="580" t="str">
        <f t="shared" si="520"/>
        <v/>
      </c>
      <c r="F94" s="572" t="str">
        <f t="shared" si="521"/>
        <v/>
      </c>
      <c r="G94" s="579" t="str">
        <f t="shared" si="522"/>
        <v/>
      </c>
      <c r="H94" s="580" t="str">
        <f t="shared" si="523"/>
        <v/>
      </c>
      <c r="I94" s="572" t="str">
        <f t="shared" si="524"/>
        <v/>
      </c>
      <c r="J94" s="483" t="str">
        <f t="shared" si="525"/>
        <v/>
      </c>
      <c r="K94" s="806" t="str">
        <f t="shared" si="526"/>
        <v/>
      </c>
      <c r="L94" s="309"/>
      <c r="M94" s="164" t="str">
        <f t="shared" si="527"/>
        <v/>
      </c>
      <c r="N94" s="575" t="str">
        <f t="shared" si="528"/>
        <v/>
      </c>
      <c r="O94" s="572" t="str">
        <f t="shared" si="529"/>
        <v/>
      </c>
      <c r="P94" s="576" t="str">
        <f t="shared" si="530"/>
        <v/>
      </c>
      <c r="Q94" s="528" t="str">
        <f t="shared" si="610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6"/>
        <v/>
      </c>
      <c r="X94" s="572" t="str">
        <f t="shared" si="105"/>
        <v/>
      </c>
      <c r="Y94" s="573" t="str">
        <f t="shared" si="734"/>
        <v/>
      </c>
      <c r="Z94" s="575" t="str">
        <f t="shared" si="531"/>
        <v/>
      </c>
      <c r="AA94" s="572" t="str">
        <f t="shared" si="532"/>
        <v/>
      </c>
      <c r="AB94" s="572" t="str">
        <f t="shared" si="533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15"/>
        <v/>
      </c>
      <c r="AP94" s="528" t="str">
        <f t="shared" si="117"/>
        <v/>
      </c>
      <c r="AQ94" s="529" t="str">
        <f t="shared" si="534"/>
        <v/>
      </c>
      <c r="AS94" s="932" t="str">
        <f t="shared" si="633"/>
        <v/>
      </c>
      <c r="AT94" s="928" t="str">
        <f t="shared" si="535"/>
        <v/>
      </c>
      <c r="AU94" s="418"/>
      <c r="AV94" s="164" t="str">
        <f t="shared" si="536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4"/>
        <v/>
      </c>
      <c r="BA94" s="296" t="str">
        <f t="shared" si="537"/>
        <v/>
      </c>
      <c r="BB94" s="177" t="str">
        <f t="shared" si="611"/>
        <v/>
      </c>
      <c r="BC94" s="9"/>
      <c r="BD94" s="5" t="str">
        <f t="shared" si="612"/>
        <v/>
      </c>
      <c r="BE94" s="6" t="str">
        <f t="shared" si="538"/>
        <v/>
      </c>
      <c r="BF94" s="4" t="str">
        <f t="shared" si="539"/>
        <v/>
      </c>
      <c r="BG94" s="5" t="str">
        <f t="shared" si="540"/>
        <v/>
      </c>
      <c r="BH94" s="10" t="str">
        <f t="shared" si="541"/>
        <v/>
      </c>
      <c r="BI94" s="9" t="str">
        <f t="shared" si="635"/>
        <v/>
      </c>
      <c r="BJ94" s="5" t="str">
        <f t="shared" si="542"/>
        <v/>
      </c>
      <c r="BK94" s="8" t="str">
        <f t="shared" si="543"/>
        <v/>
      </c>
      <c r="BL94" s="173" t="str">
        <f t="shared" si="544"/>
        <v/>
      </c>
      <c r="BM94" s="5" t="str">
        <f t="shared" si="545"/>
        <v/>
      </c>
      <c r="BN94" s="6" t="str">
        <f t="shared" si="546"/>
        <v/>
      </c>
      <c r="BO94" s="4" t="str">
        <f t="shared" si="636"/>
        <v/>
      </c>
      <c r="BP94" s="5" t="str">
        <f t="shared" si="735"/>
        <v/>
      </c>
      <c r="BQ94" s="5" t="str">
        <f t="shared" si="637"/>
        <v/>
      </c>
      <c r="BR94" s="6" t="str">
        <f t="shared" si="638"/>
        <v/>
      </c>
      <c r="BS94" s="4" t="str">
        <f t="shared" si="613"/>
        <v/>
      </c>
      <c r="BT94" s="5" t="str">
        <f t="shared" si="613"/>
        <v/>
      </c>
      <c r="BU94" s="10" t="str">
        <f t="shared" si="614"/>
        <v/>
      </c>
      <c r="BV94" s="9" t="str">
        <f t="shared" si="615"/>
        <v/>
      </c>
      <c r="BW94" s="5" t="str">
        <f t="shared" si="616"/>
        <v/>
      </c>
      <c r="BX94" s="8" t="str">
        <f t="shared" si="617"/>
        <v/>
      </c>
      <c r="BY94" s="173" t="str">
        <f t="shared" si="618"/>
        <v/>
      </c>
      <c r="BZ94" s="5" t="str">
        <f t="shared" si="619"/>
        <v/>
      </c>
      <c r="CA94" s="6" t="str">
        <f t="shared" si="620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1"/>
        <v/>
      </c>
      <c r="CJ94" s="5" t="str">
        <f t="shared" si="622"/>
        <v/>
      </c>
      <c r="CK94" s="8" t="str">
        <f t="shared" si="623"/>
        <v/>
      </c>
      <c r="CL94" s="173" t="str">
        <f t="shared" si="624"/>
        <v/>
      </c>
      <c r="CM94" s="5" t="str">
        <f t="shared" si="625"/>
        <v/>
      </c>
      <c r="CN94" s="6" t="str">
        <f t="shared" si="626"/>
        <v/>
      </c>
      <c r="CO94" s="167" t="str">
        <f t="shared" si="547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8"/>
        <v/>
      </c>
      <c r="ET94" s="5" t="str">
        <f t="shared" si="549"/>
        <v/>
      </c>
      <c r="EU94" s="10" t="str">
        <f t="shared" si="550"/>
        <v/>
      </c>
      <c r="EV94" s="174" t="str">
        <f t="shared" si="551"/>
        <v/>
      </c>
      <c r="EW94" s="9" t="str">
        <f t="shared" si="552"/>
        <v/>
      </c>
      <c r="EX94" s="5" t="str">
        <f t="shared" si="553"/>
        <v/>
      </c>
      <c r="EY94" s="6" t="str">
        <f t="shared" si="699"/>
        <v/>
      </c>
      <c r="EZ94" s="51" t="str">
        <f t="shared" si="700"/>
        <v/>
      </c>
      <c r="FA94" s="173" t="str">
        <f t="shared" si="554"/>
        <v/>
      </c>
      <c r="FB94" s="5" t="str">
        <f t="shared" si="555"/>
        <v/>
      </c>
      <c r="FC94" s="6" t="str">
        <f t="shared" si="556"/>
        <v/>
      </c>
      <c r="FD94" s="4" t="str">
        <f t="shared" si="557"/>
        <v/>
      </c>
      <c r="FE94" s="5" t="str">
        <f t="shared" si="558"/>
        <v/>
      </c>
      <c r="FF94" s="7" t="str">
        <f t="shared" si="701"/>
        <v/>
      </c>
      <c r="FG94" s="173" t="str">
        <f t="shared" si="559"/>
        <v/>
      </c>
      <c r="FH94" s="5" t="str">
        <f t="shared" si="560"/>
        <v/>
      </c>
      <c r="FI94" s="10" t="str">
        <f t="shared" si="561"/>
        <v/>
      </c>
      <c r="FJ94" s="279" t="str">
        <f t="shared" si="702"/>
        <v/>
      </c>
      <c r="FK94" s="4" t="str">
        <f t="shared" si="562"/>
        <v/>
      </c>
      <c r="FL94" s="5" t="str">
        <f t="shared" si="627"/>
        <v/>
      </c>
      <c r="FM94" s="8" t="str">
        <f t="shared" si="628"/>
        <v/>
      </c>
      <c r="FN94" s="9" t="str">
        <f t="shared" si="629"/>
        <v/>
      </c>
      <c r="FO94" s="10" t="str">
        <f t="shared" si="563"/>
        <v/>
      </c>
      <c r="FP94" s="277" t="str">
        <f t="shared" si="630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4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5"/>
        <v/>
      </c>
      <c r="GH94" s="286" t="str">
        <f t="shared" si="566"/>
        <v/>
      </c>
      <c r="GI94" s="281" t="str">
        <f t="shared" si="567"/>
        <v/>
      </c>
      <c r="GJ94" s="167" t="str">
        <f t="shared" si="718"/>
        <v/>
      </c>
      <c r="GK94" s="174" t="str">
        <f t="shared" si="568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9"/>
        <v/>
      </c>
      <c r="GT94" s="343" t="str">
        <f t="shared" si="570"/>
        <v/>
      </c>
      <c r="GU94" s="344" t="str">
        <f t="shared" si="571"/>
        <v/>
      </c>
      <c r="GV94" s="343" t="str">
        <f t="shared" si="726"/>
        <v/>
      </c>
      <c r="GW94" s="345" t="str">
        <f t="shared" si="572"/>
        <v/>
      </c>
      <c r="GX94" s="346" t="str">
        <f t="shared" si="573"/>
        <v/>
      </c>
      <c r="GY94" s="344" t="str">
        <f t="shared" si="574"/>
        <v/>
      </c>
      <c r="GZ94" s="345" t="str">
        <f t="shared" si="575"/>
        <v/>
      </c>
      <c r="HA94" s="342" t="str">
        <f t="shared" si="576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7"/>
        <v/>
      </c>
      <c r="HF94" s="5" t="str">
        <f t="shared" si="578"/>
        <v/>
      </c>
      <c r="HG94" s="343" t="str">
        <f t="shared" si="730"/>
        <v/>
      </c>
      <c r="HH94" s="349" t="str">
        <f t="shared" si="731"/>
        <v/>
      </c>
      <c r="HI94" s="317" t="str">
        <f t="shared" si="579"/>
        <v/>
      </c>
      <c r="HK94" s="310" t="str">
        <f t="shared" si="631"/>
        <v/>
      </c>
      <c r="HL94" s="348" t="str">
        <f t="shared" si="580"/>
        <v/>
      </c>
      <c r="HM94" s="909" t="str">
        <f t="shared" si="581"/>
        <v/>
      </c>
      <c r="HN94" s="910" t="str">
        <f t="shared" si="582"/>
        <v/>
      </c>
      <c r="HO94" s="911"/>
      <c r="HP94" s="912"/>
      <c r="HQ94" s="910" t="str">
        <f t="shared" si="583"/>
        <v/>
      </c>
      <c r="HR94" s="913" t="str">
        <f t="shared" si="584"/>
        <v/>
      </c>
      <c r="HS94" s="865" t="str">
        <f t="shared" si="632"/>
        <v/>
      </c>
      <c r="HT94" s="875" t="str">
        <f t="shared" si="585"/>
        <v/>
      </c>
      <c r="HU94" s="876" t="str">
        <f t="shared" si="586"/>
        <v/>
      </c>
      <c r="HV94" s="872" t="str">
        <f t="shared" si="587"/>
        <v/>
      </c>
      <c r="HW94" s="866" t="str">
        <f t="shared" si="588"/>
        <v/>
      </c>
      <c r="HX94" s="867" t="str">
        <f t="shared" si="589"/>
        <v/>
      </c>
      <c r="HY94" s="866" t="str">
        <f t="shared" si="590"/>
        <v/>
      </c>
      <c r="HZ94" s="868" t="str">
        <f t="shared" si="591"/>
        <v/>
      </c>
      <c r="IA94" s="869" t="str">
        <f t="shared" si="592"/>
        <v/>
      </c>
      <c r="IB94" s="870" t="str">
        <f t="shared" si="593"/>
        <v/>
      </c>
      <c r="IC94" s="841" t="str">
        <f t="shared" si="594"/>
        <v/>
      </c>
      <c r="ID94" s="351" t="str">
        <f t="shared" si="595"/>
        <v/>
      </c>
      <c r="IE94" s="843" t="str">
        <f t="shared" si="596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2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7"/>
        <v/>
      </c>
      <c r="IM94" s="482" t="str">
        <f t="shared" si="733"/>
        <v/>
      </c>
      <c r="IN94" s="670" t="str">
        <f t="shared" si="598"/>
        <v/>
      </c>
      <c r="IO94" s="702">
        <v>0</v>
      </c>
      <c r="IP94" s="5" t="str">
        <f t="shared" si="599"/>
        <v/>
      </c>
      <c r="IQ94" s="714">
        <v>0</v>
      </c>
      <c r="IR94" s="9" t="str">
        <f t="shared" si="600"/>
        <v/>
      </c>
      <c r="IS94" s="5" t="str">
        <f t="shared" si="601"/>
        <v/>
      </c>
      <c r="IT94" s="5" t="str">
        <f t="shared" si="602"/>
        <v/>
      </c>
      <c r="IU94" s="5" t="str">
        <f t="shared" si="603"/>
        <v/>
      </c>
      <c r="IV94" s="670" t="str">
        <f t="shared" si="604"/>
        <v/>
      </c>
      <c r="IW94" s="9" t="str">
        <f t="shared" si="605"/>
        <v/>
      </c>
      <c r="IX94" s="5" t="str">
        <f t="shared" si="606"/>
        <v/>
      </c>
      <c r="IY94" s="5" t="str">
        <f t="shared" si="607"/>
        <v/>
      </c>
      <c r="IZ94" s="5" t="str">
        <f t="shared" si="608"/>
        <v/>
      </c>
      <c r="JA94" s="705" t="str">
        <f t="shared" si="609"/>
        <v/>
      </c>
    </row>
    <row r="95" spans="1:261" ht="15" customHeight="1" x14ac:dyDescent="0.25">
      <c r="A95" s="75" t="str">
        <f t="shared" si="516"/>
        <v/>
      </c>
      <c r="B95" s="578" t="str">
        <f t="shared" si="517"/>
        <v/>
      </c>
      <c r="C95" s="572" t="str">
        <f t="shared" si="518"/>
        <v/>
      </c>
      <c r="D95" s="576" t="str">
        <f t="shared" si="519"/>
        <v/>
      </c>
      <c r="E95" s="580" t="str">
        <f t="shared" si="520"/>
        <v/>
      </c>
      <c r="F95" s="572" t="str">
        <f t="shared" si="521"/>
        <v/>
      </c>
      <c r="G95" s="579" t="str">
        <f t="shared" si="522"/>
        <v/>
      </c>
      <c r="H95" s="580" t="str">
        <f t="shared" si="523"/>
        <v/>
      </c>
      <c r="I95" s="572" t="str">
        <f t="shared" si="524"/>
        <v/>
      </c>
      <c r="J95" s="483" t="str">
        <f t="shared" si="525"/>
        <v/>
      </c>
      <c r="K95" s="806" t="str">
        <f t="shared" si="526"/>
        <v/>
      </c>
      <c r="L95" s="309"/>
      <c r="M95" s="164" t="str">
        <f t="shared" si="527"/>
        <v/>
      </c>
      <c r="N95" s="575" t="str">
        <f t="shared" si="528"/>
        <v/>
      </c>
      <c r="O95" s="572" t="str">
        <f t="shared" si="529"/>
        <v/>
      </c>
      <c r="P95" s="576" t="str">
        <f t="shared" si="530"/>
        <v/>
      </c>
      <c r="Q95" s="528" t="str">
        <f t="shared" si="610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6"/>
        <v/>
      </c>
      <c r="X95" s="572" t="str">
        <f t="shared" si="105"/>
        <v/>
      </c>
      <c r="Y95" s="573" t="str">
        <f t="shared" si="734"/>
        <v/>
      </c>
      <c r="Z95" s="575" t="str">
        <f t="shared" si="531"/>
        <v/>
      </c>
      <c r="AA95" s="572" t="str">
        <f t="shared" si="532"/>
        <v/>
      </c>
      <c r="AB95" s="572" t="str">
        <f t="shared" si="533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15"/>
        <v/>
      </c>
      <c r="AP95" s="528" t="str">
        <f t="shared" si="117"/>
        <v/>
      </c>
      <c r="AQ95" s="529" t="str">
        <f t="shared" si="534"/>
        <v/>
      </c>
      <c r="AS95" s="932" t="str">
        <f t="shared" si="633"/>
        <v/>
      </c>
      <c r="AT95" s="928" t="str">
        <f t="shared" si="535"/>
        <v/>
      </c>
      <c r="AU95" s="418"/>
      <c r="AV95" s="164" t="str">
        <f t="shared" si="536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4"/>
        <v/>
      </c>
      <c r="BA95" s="296" t="str">
        <f t="shared" si="537"/>
        <v/>
      </c>
      <c r="BB95" s="177" t="str">
        <f t="shared" si="611"/>
        <v/>
      </c>
      <c r="BC95" s="9"/>
      <c r="BD95" s="5" t="str">
        <f t="shared" si="612"/>
        <v/>
      </c>
      <c r="BE95" s="6" t="str">
        <f t="shared" si="538"/>
        <v/>
      </c>
      <c r="BF95" s="4" t="str">
        <f t="shared" si="539"/>
        <v/>
      </c>
      <c r="BG95" s="5" t="str">
        <f t="shared" si="540"/>
        <v/>
      </c>
      <c r="BH95" s="10" t="str">
        <f t="shared" si="541"/>
        <v/>
      </c>
      <c r="BI95" s="9" t="str">
        <f t="shared" si="635"/>
        <v/>
      </c>
      <c r="BJ95" s="5" t="str">
        <f t="shared" si="542"/>
        <v/>
      </c>
      <c r="BK95" s="8" t="str">
        <f t="shared" si="543"/>
        <v/>
      </c>
      <c r="BL95" s="173" t="str">
        <f t="shared" si="544"/>
        <v/>
      </c>
      <c r="BM95" s="5" t="str">
        <f t="shared" si="545"/>
        <v/>
      </c>
      <c r="BN95" s="6" t="str">
        <f t="shared" si="546"/>
        <v/>
      </c>
      <c r="BO95" s="4" t="str">
        <f t="shared" si="636"/>
        <v/>
      </c>
      <c r="BP95" s="5" t="str">
        <f t="shared" si="735"/>
        <v/>
      </c>
      <c r="BQ95" s="5" t="str">
        <f t="shared" si="637"/>
        <v/>
      </c>
      <c r="BR95" s="6" t="str">
        <f t="shared" si="638"/>
        <v/>
      </c>
      <c r="BS95" s="4" t="str">
        <f t="shared" si="613"/>
        <v/>
      </c>
      <c r="BT95" s="5" t="str">
        <f t="shared" si="613"/>
        <v/>
      </c>
      <c r="BU95" s="10" t="str">
        <f t="shared" si="614"/>
        <v/>
      </c>
      <c r="BV95" s="9" t="str">
        <f t="shared" si="615"/>
        <v/>
      </c>
      <c r="BW95" s="5" t="str">
        <f t="shared" si="616"/>
        <v/>
      </c>
      <c r="BX95" s="8" t="str">
        <f t="shared" si="617"/>
        <v/>
      </c>
      <c r="BY95" s="173" t="str">
        <f t="shared" si="618"/>
        <v/>
      </c>
      <c r="BZ95" s="5" t="str">
        <f t="shared" si="619"/>
        <v/>
      </c>
      <c r="CA95" s="6" t="str">
        <f t="shared" si="620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1"/>
        <v/>
      </c>
      <c r="CJ95" s="5" t="str">
        <f t="shared" si="622"/>
        <v/>
      </c>
      <c r="CK95" s="8" t="str">
        <f t="shared" si="623"/>
        <v/>
      </c>
      <c r="CL95" s="173" t="str">
        <f t="shared" si="624"/>
        <v/>
      </c>
      <c r="CM95" s="5" t="str">
        <f t="shared" si="625"/>
        <v/>
      </c>
      <c r="CN95" s="6" t="str">
        <f t="shared" si="626"/>
        <v/>
      </c>
      <c r="CO95" s="167" t="str">
        <f t="shared" si="547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8"/>
        <v/>
      </c>
      <c r="ET95" s="5" t="str">
        <f t="shared" si="549"/>
        <v/>
      </c>
      <c r="EU95" s="10" t="str">
        <f t="shared" si="550"/>
        <v/>
      </c>
      <c r="EV95" s="174" t="str">
        <f t="shared" si="551"/>
        <v/>
      </c>
      <c r="EW95" s="9" t="str">
        <f t="shared" si="552"/>
        <v/>
      </c>
      <c r="EX95" s="5" t="str">
        <f t="shared" si="553"/>
        <v/>
      </c>
      <c r="EY95" s="6" t="str">
        <f t="shared" si="699"/>
        <v/>
      </c>
      <c r="EZ95" s="51" t="str">
        <f t="shared" si="700"/>
        <v/>
      </c>
      <c r="FA95" s="173" t="str">
        <f t="shared" si="554"/>
        <v/>
      </c>
      <c r="FB95" s="5" t="str">
        <f t="shared" si="555"/>
        <v/>
      </c>
      <c r="FC95" s="6" t="str">
        <f t="shared" si="556"/>
        <v/>
      </c>
      <c r="FD95" s="4" t="str">
        <f t="shared" si="557"/>
        <v/>
      </c>
      <c r="FE95" s="5" t="str">
        <f t="shared" si="558"/>
        <v/>
      </c>
      <c r="FF95" s="7" t="str">
        <f t="shared" si="701"/>
        <v/>
      </c>
      <c r="FG95" s="173" t="str">
        <f t="shared" si="559"/>
        <v/>
      </c>
      <c r="FH95" s="5" t="str">
        <f t="shared" si="560"/>
        <v/>
      </c>
      <c r="FI95" s="10" t="str">
        <f t="shared" si="561"/>
        <v/>
      </c>
      <c r="FJ95" s="279" t="str">
        <f t="shared" si="702"/>
        <v/>
      </c>
      <c r="FK95" s="4" t="str">
        <f t="shared" si="562"/>
        <v/>
      </c>
      <c r="FL95" s="5" t="str">
        <f t="shared" si="627"/>
        <v/>
      </c>
      <c r="FM95" s="8" t="str">
        <f t="shared" si="628"/>
        <v/>
      </c>
      <c r="FN95" s="9" t="str">
        <f t="shared" si="629"/>
        <v/>
      </c>
      <c r="FO95" s="10" t="str">
        <f t="shared" si="563"/>
        <v/>
      </c>
      <c r="FP95" s="277" t="str">
        <f t="shared" si="630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4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5"/>
        <v/>
      </c>
      <c r="GH95" s="286" t="str">
        <f t="shared" si="566"/>
        <v/>
      </c>
      <c r="GI95" s="281" t="str">
        <f t="shared" si="567"/>
        <v/>
      </c>
      <c r="GJ95" s="167" t="str">
        <f t="shared" si="718"/>
        <v/>
      </c>
      <c r="GK95" s="174" t="str">
        <f t="shared" si="568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9"/>
        <v/>
      </c>
      <c r="GT95" s="343" t="str">
        <f t="shared" si="570"/>
        <v/>
      </c>
      <c r="GU95" s="344" t="str">
        <f t="shared" si="571"/>
        <v/>
      </c>
      <c r="GV95" s="343" t="str">
        <f t="shared" si="726"/>
        <v/>
      </c>
      <c r="GW95" s="345" t="str">
        <f t="shared" si="572"/>
        <v/>
      </c>
      <c r="GX95" s="346" t="str">
        <f t="shared" si="573"/>
        <v/>
      </c>
      <c r="GY95" s="344" t="str">
        <f t="shared" si="574"/>
        <v/>
      </c>
      <c r="GZ95" s="345" t="str">
        <f t="shared" si="575"/>
        <v/>
      </c>
      <c r="HA95" s="342" t="str">
        <f t="shared" si="576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7"/>
        <v/>
      </c>
      <c r="HF95" s="5" t="str">
        <f t="shared" si="578"/>
        <v/>
      </c>
      <c r="HG95" s="343" t="str">
        <f t="shared" si="730"/>
        <v/>
      </c>
      <c r="HH95" s="349" t="str">
        <f t="shared" si="731"/>
        <v/>
      </c>
      <c r="HI95" s="317" t="str">
        <f t="shared" si="579"/>
        <v/>
      </c>
      <c r="HK95" s="310" t="str">
        <f t="shared" si="631"/>
        <v/>
      </c>
      <c r="HL95" s="348" t="str">
        <f t="shared" si="580"/>
        <v/>
      </c>
      <c r="HM95" s="909" t="str">
        <f t="shared" si="581"/>
        <v/>
      </c>
      <c r="HN95" s="910" t="str">
        <f t="shared" si="582"/>
        <v/>
      </c>
      <c r="HO95" s="911"/>
      <c r="HP95" s="912"/>
      <c r="HQ95" s="910" t="str">
        <f t="shared" si="583"/>
        <v/>
      </c>
      <c r="HR95" s="913" t="str">
        <f t="shared" si="584"/>
        <v/>
      </c>
      <c r="HS95" s="865" t="str">
        <f t="shared" si="632"/>
        <v/>
      </c>
      <c r="HT95" s="875" t="str">
        <f t="shared" si="585"/>
        <v/>
      </c>
      <c r="HU95" s="876" t="str">
        <f t="shared" si="586"/>
        <v/>
      </c>
      <c r="HV95" s="872" t="str">
        <f t="shared" si="587"/>
        <v/>
      </c>
      <c r="HW95" s="866" t="str">
        <f t="shared" si="588"/>
        <v/>
      </c>
      <c r="HX95" s="867" t="str">
        <f t="shared" si="589"/>
        <v/>
      </c>
      <c r="HY95" s="866" t="str">
        <f t="shared" si="590"/>
        <v/>
      </c>
      <c r="HZ95" s="868" t="str">
        <f t="shared" si="591"/>
        <v/>
      </c>
      <c r="IA95" s="869" t="str">
        <f t="shared" si="592"/>
        <v/>
      </c>
      <c r="IB95" s="870" t="str">
        <f t="shared" si="593"/>
        <v/>
      </c>
      <c r="IC95" s="841" t="str">
        <f t="shared" si="594"/>
        <v/>
      </c>
      <c r="ID95" s="351" t="str">
        <f t="shared" si="595"/>
        <v/>
      </c>
      <c r="IE95" s="843" t="str">
        <f t="shared" si="596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2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7"/>
        <v/>
      </c>
      <c r="IM95" s="482" t="str">
        <f t="shared" si="733"/>
        <v/>
      </c>
      <c r="IN95" s="670" t="str">
        <f t="shared" si="598"/>
        <v/>
      </c>
      <c r="IO95" s="702"/>
      <c r="IP95" s="5" t="str">
        <f t="shared" si="599"/>
        <v/>
      </c>
      <c r="IQ95" s="714"/>
      <c r="IR95" s="9" t="str">
        <f t="shared" si="600"/>
        <v/>
      </c>
      <c r="IS95" s="5" t="str">
        <f t="shared" si="601"/>
        <v/>
      </c>
      <c r="IT95" s="5" t="str">
        <f t="shared" si="602"/>
        <v/>
      </c>
      <c r="IU95" s="5" t="str">
        <f t="shared" si="603"/>
        <v/>
      </c>
      <c r="IV95" s="670" t="str">
        <f t="shared" si="604"/>
        <v/>
      </c>
      <c r="IW95" s="9" t="str">
        <f t="shared" si="605"/>
        <v/>
      </c>
      <c r="IX95" s="5" t="str">
        <f t="shared" si="606"/>
        <v/>
      </c>
      <c r="IY95" s="5" t="str">
        <f t="shared" si="607"/>
        <v/>
      </c>
      <c r="IZ95" s="5" t="str">
        <f t="shared" si="608"/>
        <v/>
      </c>
      <c r="JA95" s="705" t="str">
        <f t="shared" si="609"/>
        <v/>
      </c>
    </row>
    <row r="96" spans="1:261" ht="15" customHeight="1" x14ac:dyDescent="0.25">
      <c r="A96" s="75" t="str">
        <f t="shared" si="516"/>
        <v/>
      </c>
      <c r="B96" s="578" t="str">
        <f t="shared" si="517"/>
        <v/>
      </c>
      <c r="C96" s="572" t="str">
        <f t="shared" si="518"/>
        <v/>
      </c>
      <c r="D96" s="576" t="str">
        <f t="shared" si="519"/>
        <v/>
      </c>
      <c r="E96" s="580" t="str">
        <f t="shared" si="520"/>
        <v/>
      </c>
      <c r="F96" s="572" t="str">
        <f t="shared" si="521"/>
        <v/>
      </c>
      <c r="G96" s="579" t="str">
        <f t="shared" si="522"/>
        <v/>
      </c>
      <c r="H96" s="580" t="str">
        <f t="shared" si="523"/>
        <v/>
      </c>
      <c r="I96" s="572" t="str">
        <f t="shared" si="524"/>
        <v/>
      </c>
      <c r="J96" s="483" t="str">
        <f t="shared" si="525"/>
        <v/>
      </c>
      <c r="K96" s="806" t="str">
        <f t="shared" si="526"/>
        <v/>
      </c>
      <c r="L96" s="309"/>
      <c r="M96" s="164" t="str">
        <f t="shared" si="527"/>
        <v/>
      </c>
      <c r="N96" s="575" t="str">
        <f t="shared" si="528"/>
        <v/>
      </c>
      <c r="O96" s="572" t="str">
        <f t="shared" si="529"/>
        <v/>
      </c>
      <c r="P96" s="576" t="str">
        <f t="shared" si="530"/>
        <v/>
      </c>
      <c r="Q96" s="528" t="str">
        <f t="shared" si="610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6"/>
        <v/>
      </c>
      <c r="X96" s="572" t="str">
        <f t="shared" si="105"/>
        <v/>
      </c>
      <c r="Y96" s="573" t="str">
        <f t="shared" si="734"/>
        <v/>
      </c>
      <c r="Z96" s="575" t="str">
        <f t="shared" si="531"/>
        <v/>
      </c>
      <c r="AA96" s="572" t="str">
        <f t="shared" si="532"/>
        <v/>
      </c>
      <c r="AB96" s="572" t="str">
        <f t="shared" si="533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15"/>
        <v/>
      </c>
      <c r="AP96" s="528" t="str">
        <f t="shared" si="117"/>
        <v/>
      </c>
      <c r="AQ96" s="529" t="str">
        <f t="shared" si="534"/>
        <v/>
      </c>
      <c r="AS96" s="932" t="str">
        <f t="shared" si="633"/>
        <v/>
      </c>
      <c r="AT96" s="928" t="str">
        <f t="shared" si="535"/>
        <v/>
      </c>
      <c r="AU96" s="418"/>
      <c r="AV96" s="164" t="str">
        <f t="shared" si="536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4"/>
        <v/>
      </c>
      <c r="BA96" s="296" t="str">
        <f t="shared" si="537"/>
        <v/>
      </c>
      <c r="BB96" s="177" t="str">
        <f t="shared" si="611"/>
        <v/>
      </c>
      <c r="BC96" s="9"/>
      <c r="BD96" s="5" t="str">
        <f t="shared" si="612"/>
        <v/>
      </c>
      <c r="BE96" s="6" t="str">
        <f t="shared" si="538"/>
        <v/>
      </c>
      <c r="BF96" s="4" t="str">
        <f t="shared" si="539"/>
        <v/>
      </c>
      <c r="BG96" s="5" t="str">
        <f t="shared" si="540"/>
        <v/>
      </c>
      <c r="BH96" s="10" t="str">
        <f t="shared" si="541"/>
        <v/>
      </c>
      <c r="BI96" s="9" t="str">
        <f t="shared" si="635"/>
        <v/>
      </c>
      <c r="BJ96" s="5" t="str">
        <f t="shared" si="542"/>
        <v/>
      </c>
      <c r="BK96" s="8" t="str">
        <f t="shared" si="543"/>
        <v/>
      </c>
      <c r="BL96" s="173" t="str">
        <f t="shared" si="544"/>
        <v/>
      </c>
      <c r="BM96" s="5" t="str">
        <f t="shared" si="545"/>
        <v/>
      </c>
      <c r="BN96" s="6" t="str">
        <f t="shared" si="546"/>
        <v/>
      </c>
      <c r="BO96" s="4" t="str">
        <f t="shared" si="636"/>
        <v/>
      </c>
      <c r="BP96" s="5" t="str">
        <f t="shared" si="735"/>
        <v/>
      </c>
      <c r="BQ96" s="5" t="str">
        <f t="shared" si="637"/>
        <v/>
      </c>
      <c r="BR96" s="6" t="str">
        <f t="shared" si="638"/>
        <v/>
      </c>
      <c r="BS96" s="4" t="str">
        <f t="shared" si="613"/>
        <v/>
      </c>
      <c r="BT96" s="5" t="str">
        <f t="shared" si="613"/>
        <v/>
      </c>
      <c r="BU96" s="10" t="str">
        <f t="shared" si="614"/>
        <v/>
      </c>
      <c r="BV96" s="9" t="str">
        <f t="shared" si="615"/>
        <v/>
      </c>
      <c r="BW96" s="5" t="str">
        <f t="shared" si="616"/>
        <v/>
      </c>
      <c r="BX96" s="8" t="str">
        <f t="shared" si="617"/>
        <v/>
      </c>
      <c r="BY96" s="173" t="str">
        <f t="shared" si="618"/>
        <v/>
      </c>
      <c r="BZ96" s="5" t="str">
        <f t="shared" si="619"/>
        <v/>
      </c>
      <c r="CA96" s="6" t="str">
        <f t="shared" si="620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1"/>
        <v/>
      </c>
      <c r="CJ96" s="5" t="str">
        <f t="shared" si="622"/>
        <v/>
      </c>
      <c r="CK96" s="8" t="str">
        <f t="shared" si="623"/>
        <v/>
      </c>
      <c r="CL96" s="173" t="str">
        <f t="shared" si="624"/>
        <v/>
      </c>
      <c r="CM96" s="5" t="str">
        <f t="shared" si="625"/>
        <v/>
      </c>
      <c r="CN96" s="6" t="str">
        <f t="shared" si="626"/>
        <v/>
      </c>
      <c r="CO96" s="167" t="str">
        <f t="shared" si="547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8"/>
        <v/>
      </c>
      <c r="ET96" s="5" t="str">
        <f t="shared" si="549"/>
        <v/>
      </c>
      <c r="EU96" s="10" t="str">
        <f t="shared" si="550"/>
        <v/>
      </c>
      <c r="EV96" s="174" t="str">
        <f t="shared" si="551"/>
        <v/>
      </c>
      <c r="EW96" s="9" t="str">
        <f t="shared" si="552"/>
        <v/>
      </c>
      <c r="EX96" s="5" t="str">
        <f t="shared" si="553"/>
        <v/>
      </c>
      <c r="EY96" s="6" t="str">
        <f t="shared" si="699"/>
        <v/>
      </c>
      <c r="EZ96" s="51" t="str">
        <f t="shared" si="700"/>
        <v/>
      </c>
      <c r="FA96" s="173" t="str">
        <f t="shared" si="554"/>
        <v/>
      </c>
      <c r="FB96" s="5" t="str">
        <f t="shared" si="555"/>
        <v/>
      </c>
      <c r="FC96" s="6" t="str">
        <f t="shared" si="556"/>
        <v/>
      </c>
      <c r="FD96" s="4" t="str">
        <f t="shared" si="557"/>
        <v/>
      </c>
      <c r="FE96" s="5" t="str">
        <f t="shared" si="558"/>
        <v/>
      </c>
      <c r="FF96" s="7" t="str">
        <f t="shared" si="701"/>
        <v/>
      </c>
      <c r="FG96" s="173" t="str">
        <f t="shared" si="559"/>
        <v/>
      </c>
      <c r="FH96" s="5" t="str">
        <f t="shared" si="560"/>
        <v/>
      </c>
      <c r="FI96" s="10" t="str">
        <f t="shared" si="561"/>
        <v/>
      </c>
      <c r="FJ96" s="279" t="str">
        <f t="shared" si="702"/>
        <v/>
      </c>
      <c r="FK96" s="4" t="str">
        <f t="shared" si="562"/>
        <v/>
      </c>
      <c r="FL96" s="5" t="str">
        <f t="shared" si="627"/>
        <v/>
      </c>
      <c r="FM96" s="8" t="str">
        <f t="shared" si="628"/>
        <v/>
      </c>
      <c r="FN96" s="9" t="str">
        <f t="shared" si="629"/>
        <v/>
      </c>
      <c r="FO96" s="10" t="str">
        <f t="shared" si="563"/>
        <v/>
      </c>
      <c r="FP96" s="277" t="str">
        <f t="shared" si="630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4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5"/>
        <v/>
      </c>
      <c r="GH96" s="286" t="str">
        <f t="shared" si="566"/>
        <v/>
      </c>
      <c r="GI96" s="281" t="str">
        <f t="shared" si="567"/>
        <v/>
      </c>
      <c r="GJ96" s="167" t="str">
        <f t="shared" si="718"/>
        <v/>
      </c>
      <c r="GK96" s="174" t="str">
        <f t="shared" si="568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9"/>
        <v/>
      </c>
      <c r="GT96" s="343" t="str">
        <f t="shared" si="570"/>
        <v/>
      </c>
      <c r="GU96" s="344" t="str">
        <f t="shared" si="571"/>
        <v/>
      </c>
      <c r="GV96" s="343" t="str">
        <f t="shared" si="726"/>
        <v/>
      </c>
      <c r="GW96" s="345" t="str">
        <f t="shared" si="572"/>
        <v/>
      </c>
      <c r="GX96" s="346" t="str">
        <f t="shared" si="573"/>
        <v/>
      </c>
      <c r="GY96" s="344" t="str">
        <f t="shared" si="574"/>
        <v/>
      </c>
      <c r="GZ96" s="345" t="str">
        <f t="shared" si="575"/>
        <v/>
      </c>
      <c r="HA96" s="342" t="str">
        <f t="shared" si="576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7"/>
        <v/>
      </c>
      <c r="HF96" s="5" t="str">
        <f t="shared" si="578"/>
        <v/>
      </c>
      <c r="HG96" s="343" t="str">
        <f t="shared" si="730"/>
        <v/>
      </c>
      <c r="HH96" s="349" t="str">
        <f t="shared" si="731"/>
        <v/>
      </c>
      <c r="HI96" s="317" t="str">
        <f t="shared" si="579"/>
        <v/>
      </c>
      <c r="HK96" s="310" t="str">
        <f t="shared" si="631"/>
        <v/>
      </c>
      <c r="HL96" s="348" t="str">
        <f t="shared" si="580"/>
        <v/>
      </c>
      <c r="HM96" s="909" t="str">
        <f t="shared" si="581"/>
        <v/>
      </c>
      <c r="HN96" s="910" t="str">
        <f t="shared" si="582"/>
        <v/>
      </c>
      <c r="HO96" s="911"/>
      <c r="HP96" s="912"/>
      <c r="HQ96" s="910" t="str">
        <f t="shared" si="583"/>
        <v/>
      </c>
      <c r="HR96" s="913" t="str">
        <f t="shared" si="584"/>
        <v/>
      </c>
      <c r="HS96" s="865" t="str">
        <f t="shared" si="632"/>
        <v/>
      </c>
      <c r="HT96" s="875" t="str">
        <f t="shared" si="585"/>
        <v/>
      </c>
      <c r="HU96" s="876" t="str">
        <f t="shared" si="586"/>
        <v/>
      </c>
      <c r="HV96" s="872" t="str">
        <f t="shared" si="587"/>
        <v/>
      </c>
      <c r="HW96" s="866" t="str">
        <f t="shared" si="588"/>
        <v/>
      </c>
      <c r="HX96" s="867" t="str">
        <f t="shared" si="589"/>
        <v/>
      </c>
      <c r="HY96" s="866" t="str">
        <f t="shared" si="590"/>
        <v/>
      </c>
      <c r="HZ96" s="868" t="str">
        <f t="shared" si="591"/>
        <v/>
      </c>
      <c r="IA96" s="869" t="str">
        <f t="shared" si="592"/>
        <v/>
      </c>
      <c r="IB96" s="870" t="str">
        <f t="shared" si="593"/>
        <v/>
      </c>
      <c r="IC96" s="841" t="str">
        <f t="shared" si="594"/>
        <v/>
      </c>
      <c r="ID96" s="351" t="str">
        <f t="shared" si="595"/>
        <v/>
      </c>
      <c r="IE96" s="843" t="str">
        <f t="shared" si="596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2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7"/>
        <v/>
      </c>
      <c r="IM96" s="482" t="str">
        <f t="shared" si="733"/>
        <v/>
      </c>
      <c r="IN96" s="670" t="str">
        <f t="shared" si="598"/>
        <v/>
      </c>
      <c r="IO96" s="702"/>
      <c r="IP96" s="5" t="str">
        <f t="shared" si="599"/>
        <v/>
      </c>
      <c r="IQ96" s="714"/>
      <c r="IR96" s="9" t="str">
        <f t="shared" si="600"/>
        <v/>
      </c>
      <c r="IS96" s="5" t="str">
        <f t="shared" si="601"/>
        <v/>
      </c>
      <c r="IT96" s="5" t="str">
        <f t="shared" si="602"/>
        <v/>
      </c>
      <c r="IU96" s="5" t="str">
        <f t="shared" si="603"/>
        <v/>
      </c>
      <c r="IV96" s="670" t="str">
        <f t="shared" si="604"/>
        <v/>
      </c>
      <c r="IW96" s="9" t="str">
        <f t="shared" si="605"/>
        <v/>
      </c>
      <c r="IX96" s="5" t="str">
        <f t="shared" si="606"/>
        <v/>
      </c>
      <c r="IY96" s="5" t="str">
        <f t="shared" si="607"/>
        <v/>
      </c>
      <c r="IZ96" s="5" t="str">
        <f t="shared" si="608"/>
        <v/>
      </c>
      <c r="JA96" s="705" t="str">
        <f t="shared" si="609"/>
        <v/>
      </c>
    </row>
    <row r="97" spans="1:261" ht="15" customHeight="1" x14ac:dyDescent="0.25">
      <c r="A97" s="75" t="str">
        <f t="shared" si="516"/>
        <v/>
      </c>
      <c r="B97" s="578" t="str">
        <f t="shared" si="517"/>
        <v/>
      </c>
      <c r="C97" s="572" t="str">
        <f t="shared" si="518"/>
        <v/>
      </c>
      <c r="D97" s="576" t="str">
        <f t="shared" si="519"/>
        <v/>
      </c>
      <c r="E97" s="580" t="str">
        <f t="shared" si="520"/>
        <v/>
      </c>
      <c r="F97" s="572" t="str">
        <f t="shared" si="521"/>
        <v/>
      </c>
      <c r="G97" s="579" t="str">
        <f t="shared" si="522"/>
        <v/>
      </c>
      <c r="H97" s="580" t="str">
        <f t="shared" si="523"/>
        <v/>
      </c>
      <c r="I97" s="572" t="str">
        <f t="shared" si="524"/>
        <v/>
      </c>
      <c r="J97" s="483" t="str">
        <f t="shared" si="525"/>
        <v/>
      </c>
      <c r="K97" s="806" t="str">
        <f t="shared" si="526"/>
        <v/>
      </c>
      <c r="L97" s="309"/>
      <c r="M97" s="164" t="str">
        <f t="shared" si="527"/>
        <v/>
      </c>
      <c r="N97" s="575" t="str">
        <f t="shared" si="528"/>
        <v/>
      </c>
      <c r="O97" s="572" t="str">
        <f t="shared" si="529"/>
        <v/>
      </c>
      <c r="P97" s="576" t="str">
        <f t="shared" si="530"/>
        <v/>
      </c>
      <c r="Q97" s="528" t="str">
        <f t="shared" si="610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6"/>
        <v/>
      </c>
      <c r="X97" s="572" t="str">
        <f t="shared" si="105"/>
        <v/>
      </c>
      <c r="Y97" s="573" t="str">
        <f t="shared" si="734"/>
        <v/>
      </c>
      <c r="Z97" s="575" t="str">
        <f t="shared" si="531"/>
        <v/>
      </c>
      <c r="AA97" s="572" t="str">
        <f t="shared" si="532"/>
        <v/>
      </c>
      <c r="AB97" s="572" t="str">
        <f t="shared" si="533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15"/>
        <v/>
      </c>
      <c r="AP97" s="528" t="str">
        <f t="shared" si="117"/>
        <v/>
      </c>
      <c r="AQ97" s="529" t="str">
        <f t="shared" si="534"/>
        <v/>
      </c>
      <c r="AS97" s="932" t="str">
        <f t="shared" si="633"/>
        <v/>
      </c>
      <c r="AT97" s="928" t="str">
        <f t="shared" si="535"/>
        <v/>
      </c>
      <c r="AU97" s="418"/>
      <c r="AV97" s="164" t="str">
        <f t="shared" si="536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4"/>
        <v/>
      </c>
      <c r="BA97" s="296" t="str">
        <f t="shared" si="537"/>
        <v/>
      </c>
      <c r="BB97" s="177" t="str">
        <f t="shared" si="611"/>
        <v/>
      </c>
      <c r="BC97" s="9"/>
      <c r="BD97" s="5" t="str">
        <f t="shared" si="612"/>
        <v/>
      </c>
      <c r="BE97" s="6" t="str">
        <f t="shared" si="538"/>
        <v/>
      </c>
      <c r="BF97" s="4" t="str">
        <f t="shared" si="539"/>
        <v/>
      </c>
      <c r="BG97" s="5" t="str">
        <f t="shared" si="540"/>
        <v/>
      </c>
      <c r="BH97" s="10" t="str">
        <f t="shared" si="541"/>
        <v/>
      </c>
      <c r="BI97" s="9" t="str">
        <f t="shared" si="635"/>
        <v/>
      </c>
      <c r="BJ97" s="5" t="str">
        <f t="shared" si="542"/>
        <v/>
      </c>
      <c r="BK97" s="8" t="str">
        <f t="shared" si="543"/>
        <v/>
      </c>
      <c r="BL97" s="173" t="str">
        <f t="shared" si="544"/>
        <v/>
      </c>
      <c r="BM97" s="5" t="str">
        <f t="shared" si="545"/>
        <v/>
      </c>
      <c r="BN97" s="6" t="str">
        <f t="shared" si="546"/>
        <v/>
      </c>
      <c r="BO97" s="4" t="str">
        <f t="shared" si="636"/>
        <v/>
      </c>
      <c r="BP97" s="5" t="str">
        <f t="shared" si="735"/>
        <v/>
      </c>
      <c r="BQ97" s="5" t="str">
        <f t="shared" si="637"/>
        <v/>
      </c>
      <c r="BR97" s="6" t="str">
        <f t="shared" si="638"/>
        <v/>
      </c>
      <c r="BS97" s="4" t="str">
        <f t="shared" si="613"/>
        <v/>
      </c>
      <c r="BT97" s="5" t="str">
        <f t="shared" si="613"/>
        <v/>
      </c>
      <c r="BU97" s="10" t="str">
        <f t="shared" si="614"/>
        <v/>
      </c>
      <c r="BV97" s="9" t="str">
        <f t="shared" si="615"/>
        <v/>
      </c>
      <c r="BW97" s="5" t="str">
        <f t="shared" si="616"/>
        <v/>
      </c>
      <c r="BX97" s="8" t="str">
        <f t="shared" si="617"/>
        <v/>
      </c>
      <c r="BY97" s="173" t="str">
        <f t="shared" si="618"/>
        <v/>
      </c>
      <c r="BZ97" s="5" t="str">
        <f t="shared" si="619"/>
        <v/>
      </c>
      <c r="CA97" s="6" t="str">
        <f t="shared" si="620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1"/>
        <v/>
      </c>
      <c r="CJ97" s="5" t="str">
        <f t="shared" si="622"/>
        <v/>
      </c>
      <c r="CK97" s="8" t="str">
        <f t="shared" si="623"/>
        <v/>
      </c>
      <c r="CL97" s="173" t="str">
        <f t="shared" si="624"/>
        <v/>
      </c>
      <c r="CM97" s="5" t="str">
        <f t="shared" si="625"/>
        <v/>
      </c>
      <c r="CN97" s="6" t="str">
        <f t="shared" si="626"/>
        <v/>
      </c>
      <c r="CO97" s="167" t="str">
        <f t="shared" si="547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8"/>
        <v/>
      </c>
      <c r="ET97" s="5" t="str">
        <f t="shared" si="549"/>
        <v/>
      </c>
      <c r="EU97" s="10" t="str">
        <f t="shared" si="550"/>
        <v/>
      </c>
      <c r="EV97" s="174" t="str">
        <f t="shared" si="551"/>
        <v/>
      </c>
      <c r="EW97" s="9" t="str">
        <f t="shared" si="552"/>
        <v/>
      </c>
      <c r="EX97" s="5" t="str">
        <f t="shared" si="553"/>
        <v/>
      </c>
      <c r="EY97" s="6" t="str">
        <f t="shared" si="699"/>
        <v/>
      </c>
      <c r="EZ97" s="51" t="str">
        <f t="shared" si="700"/>
        <v/>
      </c>
      <c r="FA97" s="173" t="str">
        <f t="shared" si="554"/>
        <v/>
      </c>
      <c r="FB97" s="5" t="str">
        <f t="shared" si="555"/>
        <v/>
      </c>
      <c r="FC97" s="6" t="str">
        <f t="shared" si="556"/>
        <v/>
      </c>
      <c r="FD97" s="4" t="str">
        <f t="shared" si="557"/>
        <v/>
      </c>
      <c r="FE97" s="5" t="str">
        <f t="shared" si="558"/>
        <v/>
      </c>
      <c r="FF97" s="7" t="str">
        <f t="shared" si="701"/>
        <v/>
      </c>
      <c r="FG97" s="173" t="str">
        <f t="shared" si="559"/>
        <v/>
      </c>
      <c r="FH97" s="5" t="str">
        <f t="shared" si="560"/>
        <v/>
      </c>
      <c r="FI97" s="10" t="str">
        <f t="shared" si="561"/>
        <v/>
      </c>
      <c r="FJ97" s="279" t="str">
        <f t="shared" si="702"/>
        <v/>
      </c>
      <c r="FK97" s="4" t="str">
        <f t="shared" si="562"/>
        <v/>
      </c>
      <c r="FL97" s="5" t="str">
        <f t="shared" si="627"/>
        <v/>
      </c>
      <c r="FM97" s="8" t="str">
        <f t="shared" si="628"/>
        <v/>
      </c>
      <c r="FN97" s="9" t="str">
        <f t="shared" si="629"/>
        <v/>
      </c>
      <c r="FO97" s="10" t="str">
        <f t="shared" si="563"/>
        <v/>
      </c>
      <c r="FP97" s="277" t="str">
        <f t="shared" si="630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4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5"/>
        <v/>
      </c>
      <c r="GH97" s="286" t="str">
        <f t="shared" si="566"/>
        <v/>
      </c>
      <c r="GI97" s="281" t="str">
        <f t="shared" si="567"/>
        <v/>
      </c>
      <c r="GJ97" s="167" t="str">
        <f t="shared" si="718"/>
        <v/>
      </c>
      <c r="GK97" s="174" t="str">
        <f t="shared" si="568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9"/>
        <v/>
      </c>
      <c r="GT97" s="343" t="str">
        <f t="shared" si="570"/>
        <v/>
      </c>
      <c r="GU97" s="344" t="str">
        <f t="shared" si="571"/>
        <v/>
      </c>
      <c r="GV97" s="343" t="str">
        <f t="shared" si="726"/>
        <v/>
      </c>
      <c r="GW97" s="345" t="str">
        <f t="shared" si="572"/>
        <v/>
      </c>
      <c r="GX97" s="346" t="str">
        <f t="shared" si="573"/>
        <v/>
      </c>
      <c r="GY97" s="344" t="str">
        <f t="shared" si="574"/>
        <v/>
      </c>
      <c r="GZ97" s="345" t="str">
        <f t="shared" si="575"/>
        <v/>
      </c>
      <c r="HA97" s="342" t="str">
        <f t="shared" si="576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7"/>
        <v/>
      </c>
      <c r="HF97" s="5" t="str">
        <f t="shared" si="578"/>
        <v/>
      </c>
      <c r="HG97" s="343" t="str">
        <f t="shared" si="730"/>
        <v/>
      </c>
      <c r="HH97" s="349" t="str">
        <f t="shared" si="731"/>
        <v/>
      </c>
      <c r="HI97" s="317" t="str">
        <f t="shared" si="579"/>
        <v/>
      </c>
      <c r="HK97" s="310" t="str">
        <f t="shared" si="631"/>
        <v/>
      </c>
      <c r="HL97" s="348" t="str">
        <f t="shared" si="580"/>
        <v/>
      </c>
      <c r="HM97" s="909" t="str">
        <f t="shared" si="581"/>
        <v/>
      </c>
      <c r="HN97" s="910" t="str">
        <f t="shared" si="582"/>
        <v/>
      </c>
      <c r="HO97" s="911"/>
      <c r="HP97" s="912"/>
      <c r="HQ97" s="910" t="str">
        <f t="shared" si="583"/>
        <v/>
      </c>
      <c r="HR97" s="913" t="str">
        <f t="shared" si="584"/>
        <v/>
      </c>
      <c r="HS97" s="865" t="str">
        <f t="shared" si="632"/>
        <v/>
      </c>
      <c r="HT97" s="875" t="str">
        <f t="shared" si="585"/>
        <v/>
      </c>
      <c r="HU97" s="876" t="str">
        <f t="shared" si="586"/>
        <v/>
      </c>
      <c r="HV97" s="872" t="str">
        <f t="shared" si="587"/>
        <v/>
      </c>
      <c r="HW97" s="866" t="str">
        <f t="shared" si="588"/>
        <v/>
      </c>
      <c r="HX97" s="867" t="str">
        <f t="shared" si="589"/>
        <v/>
      </c>
      <c r="HY97" s="866" t="str">
        <f t="shared" si="590"/>
        <v/>
      </c>
      <c r="HZ97" s="868" t="str">
        <f t="shared" si="591"/>
        <v/>
      </c>
      <c r="IA97" s="869" t="str">
        <f t="shared" si="592"/>
        <v/>
      </c>
      <c r="IB97" s="870" t="str">
        <f t="shared" si="593"/>
        <v/>
      </c>
      <c r="IC97" s="841" t="str">
        <f t="shared" si="594"/>
        <v/>
      </c>
      <c r="ID97" s="351" t="str">
        <f t="shared" si="595"/>
        <v/>
      </c>
      <c r="IE97" s="843" t="str">
        <f t="shared" si="596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2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7"/>
        <v/>
      </c>
      <c r="IM97" s="482" t="str">
        <f t="shared" si="733"/>
        <v/>
      </c>
      <c r="IN97" s="670" t="str">
        <f t="shared" si="598"/>
        <v/>
      </c>
      <c r="IO97" s="702"/>
      <c r="IP97" s="5" t="str">
        <f t="shared" si="599"/>
        <v/>
      </c>
      <c r="IQ97" s="714"/>
      <c r="IR97" s="9" t="str">
        <f t="shared" si="600"/>
        <v/>
      </c>
      <c r="IS97" s="5" t="str">
        <f t="shared" si="601"/>
        <v/>
      </c>
      <c r="IT97" s="5" t="str">
        <f t="shared" si="602"/>
        <v/>
      </c>
      <c r="IU97" s="5" t="str">
        <f t="shared" si="603"/>
        <v/>
      </c>
      <c r="IV97" s="670" t="str">
        <f t="shared" si="604"/>
        <v/>
      </c>
      <c r="IW97" s="9" t="str">
        <f t="shared" si="605"/>
        <v/>
      </c>
      <c r="IX97" s="5" t="str">
        <f t="shared" si="606"/>
        <v/>
      </c>
      <c r="IY97" s="5" t="str">
        <f t="shared" si="607"/>
        <v/>
      </c>
      <c r="IZ97" s="5" t="str">
        <f t="shared" si="608"/>
        <v/>
      </c>
      <c r="JA97" s="705" t="str">
        <f t="shared" si="609"/>
        <v/>
      </c>
    </row>
    <row r="98" spans="1:261" ht="15" customHeight="1" x14ac:dyDescent="0.25">
      <c r="A98" s="75" t="str">
        <f t="shared" si="516"/>
        <v/>
      </c>
      <c r="B98" s="578" t="str">
        <f t="shared" si="517"/>
        <v/>
      </c>
      <c r="C98" s="572" t="str">
        <f t="shared" si="518"/>
        <v/>
      </c>
      <c r="D98" s="576" t="str">
        <f t="shared" si="519"/>
        <v/>
      </c>
      <c r="E98" s="580" t="str">
        <f t="shared" si="520"/>
        <v/>
      </c>
      <c r="F98" s="572" t="str">
        <f t="shared" si="521"/>
        <v/>
      </c>
      <c r="G98" s="579" t="str">
        <f t="shared" si="522"/>
        <v/>
      </c>
      <c r="H98" s="580" t="str">
        <f t="shared" si="523"/>
        <v/>
      </c>
      <c r="I98" s="572" t="str">
        <f t="shared" si="524"/>
        <v/>
      </c>
      <c r="J98" s="483" t="str">
        <f t="shared" si="525"/>
        <v/>
      </c>
      <c r="K98" s="806" t="str">
        <f t="shared" si="526"/>
        <v/>
      </c>
      <c r="L98" s="309"/>
      <c r="M98" s="164" t="str">
        <f t="shared" si="527"/>
        <v/>
      </c>
      <c r="N98" s="575" t="str">
        <f t="shared" si="528"/>
        <v/>
      </c>
      <c r="O98" s="572" t="str">
        <f t="shared" si="529"/>
        <v/>
      </c>
      <c r="P98" s="576" t="str">
        <f t="shared" si="530"/>
        <v/>
      </c>
      <c r="Q98" s="528" t="str">
        <f t="shared" si="610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6"/>
        <v/>
      </c>
      <c r="X98" s="572" t="str">
        <f t="shared" si="105"/>
        <v/>
      </c>
      <c r="Y98" s="573" t="str">
        <f t="shared" si="734"/>
        <v/>
      </c>
      <c r="Z98" s="575" t="str">
        <f t="shared" si="531"/>
        <v/>
      </c>
      <c r="AA98" s="572" t="str">
        <f t="shared" si="532"/>
        <v/>
      </c>
      <c r="AB98" s="572" t="str">
        <f t="shared" si="533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15"/>
        <v/>
      </c>
      <c r="AP98" s="528" t="str">
        <f t="shared" si="117"/>
        <v/>
      </c>
      <c r="AQ98" s="529" t="str">
        <f t="shared" si="534"/>
        <v/>
      </c>
      <c r="AS98" s="932" t="str">
        <f t="shared" si="633"/>
        <v/>
      </c>
      <c r="AT98" s="928" t="str">
        <f t="shared" si="535"/>
        <v/>
      </c>
      <c r="AU98" s="418"/>
      <c r="AV98" s="164" t="str">
        <f t="shared" si="536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4"/>
        <v/>
      </c>
      <c r="BA98" s="296" t="str">
        <f t="shared" si="537"/>
        <v/>
      </c>
      <c r="BB98" s="177" t="str">
        <f t="shared" si="611"/>
        <v/>
      </c>
      <c r="BC98" s="9"/>
      <c r="BD98" s="5" t="str">
        <f t="shared" si="612"/>
        <v/>
      </c>
      <c r="BE98" s="6" t="str">
        <f t="shared" si="538"/>
        <v/>
      </c>
      <c r="BF98" s="4" t="str">
        <f t="shared" si="539"/>
        <v/>
      </c>
      <c r="BG98" s="5" t="str">
        <f t="shared" si="540"/>
        <v/>
      </c>
      <c r="BH98" s="10" t="str">
        <f t="shared" si="541"/>
        <v/>
      </c>
      <c r="BI98" s="9" t="str">
        <f t="shared" si="635"/>
        <v/>
      </c>
      <c r="BJ98" s="5" t="str">
        <f t="shared" si="542"/>
        <v/>
      </c>
      <c r="BK98" s="8" t="str">
        <f t="shared" si="543"/>
        <v/>
      </c>
      <c r="BL98" s="173" t="str">
        <f t="shared" si="544"/>
        <v/>
      </c>
      <c r="BM98" s="5" t="str">
        <f t="shared" si="545"/>
        <v/>
      </c>
      <c r="BN98" s="6" t="str">
        <f t="shared" si="546"/>
        <v/>
      </c>
      <c r="BO98" s="4" t="str">
        <f t="shared" si="636"/>
        <v/>
      </c>
      <c r="BP98" s="5" t="str">
        <f t="shared" si="735"/>
        <v/>
      </c>
      <c r="BQ98" s="5" t="str">
        <f t="shared" si="637"/>
        <v/>
      </c>
      <c r="BR98" s="6" t="str">
        <f t="shared" si="638"/>
        <v/>
      </c>
      <c r="BS98" s="4" t="str">
        <f t="shared" si="613"/>
        <v/>
      </c>
      <c r="BT98" s="5" t="str">
        <f t="shared" si="613"/>
        <v/>
      </c>
      <c r="BU98" s="10" t="str">
        <f t="shared" si="614"/>
        <v/>
      </c>
      <c r="BV98" s="9" t="str">
        <f t="shared" si="615"/>
        <v/>
      </c>
      <c r="BW98" s="5" t="str">
        <f t="shared" si="616"/>
        <v/>
      </c>
      <c r="BX98" s="8" t="str">
        <f t="shared" si="617"/>
        <v/>
      </c>
      <c r="BY98" s="173" t="str">
        <f t="shared" si="618"/>
        <v/>
      </c>
      <c r="BZ98" s="5" t="str">
        <f t="shared" si="619"/>
        <v/>
      </c>
      <c r="CA98" s="6" t="str">
        <f t="shared" si="620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1"/>
        <v/>
      </c>
      <c r="CJ98" s="5" t="str">
        <f t="shared" si="622"/>
        <v/>
      </c>
      <c r="CK98" s="8" t="str">
        <f t="shared" si="623"/>
        <v/>
      </c>
      <c r="CL98" s="173" t="str">
        <f t="shared" si="624"/>
        <v/>
      </c>
      <c r="CM98" s="5" t="str">
        <f t="shared" si="625"/>
        <v/>
      </c>
      <c r="CN98" s="6" t="str">
        <f t="shared" si="626"/>
        <v/>
      </c>
      <c r="CO98" s="167" t="str">
        <f t="shared" si="547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8"/>
        <v/>
      </c>
      <c r="ET98" s="5" t="str">
        <f t="shared" si="549"/>
        <v/>
      </c>
      <c r="EU98" s="10" t="str">
        <f t="shared" si="550"/>
        <v/>
      </c>
      <c r="EV98" s="174" t="str">
        <f t="shared" si="551"/>
        <v/>
      </c>
      <c r="EW98" s="9" t="str">
        <f t="shared" si="552"/>
        <v/>
      </c>
      <c r="EX98" s="5" t="str">
        <f t="shared" si="553"/>
        <v/>
      </c>
      <c r="EY98" s="6" t="str">
        <f t="shared" si="699"/>
        <v/>
      </c>
      <c r="EZ98" s="51" t="str">
        <f t="shared" si="700"/>
        <v/>
      </c>
      <c r="FA98" s="173" t="str">
        <f t="shared" si="554"/>
        <v/>
      </c>
      <c r="FB98" s="5" t="str">
        <f t="shared" si="555"/>
        <v/>
      </c>
      <c r="FC98" s="6" t="str">
        <f t="shared" si="556"/>
        <v/>
      </c>
      <c r="FD98" s="4" t="str">
        <f t="shared" si="557"/>
        <v/>
      </c>
      <c r="FE98" s="5" t="str">
        <f t="shared" si="558"/>
        <v/>
      </c>
      <c r="FF98" s="7" t="str">
        <f t="shared" si="701"/>
        <v/>
      </c>
      <c r="FG98" s="173" t="str">
        <f t="shared" si="559"/>
        <v/>
      </c>
      <c r="FH98" s="5" t="str">
        <f t="shared" si="560"/>
        <v/>
      </c>
      <c r="FI98" s="10" t="str">
        <f t="shared" si="561"/>
        <v/>
      </c>
      <c r="FJ98" s="279" t="str">
        <f t="shared" si="702"/>
        <v/>
      </c>
      <c r="FK98" s="4" t="str">
        <f t="shared" si="562"/>
        <v/>
      </c>
      <c r="FL98" s="5" t="str">
        <f t="shared" si="627"/>
        <v/>
      </c>
      <c r="FM98" s="8" t="str">
        <f t="shared" si="628"/>
        <v/>
      </c>
      <c r="FN98" s="9" t="str">
        <f t="shared" si="629"/>
        <v/>
      </c>
      <c r="FO98" s="10" t="str">
        <f t="shared" si="563"/>
        <v/>
      </c>
      <c r="FP98" s="277" t="str">
        <f t="shared" si="630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4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5"/>
        <v/>
      </c>
      <c r="GH98" s="286" t="str">
        <f t="shared" si="566"/>
        <v/>
      </c>
      <c r="GI98" s="281" t="str">
        <f t="shared" si="567"/>
        <v/>
      </c>
      <c r="GJ98" s="167" t="str">
        <f t="shared" si="718"/>
        <v/>
      </c>
      <c r="GK98" s="174" t="str">
        <f t="shared" si="568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9"/>
        <v/>
      </c>
      <c r="GT98" s="343" t="str">
        <f t="shared" si="570"/>
        <v/>
      </c>
      <c r="GU98" s="344" t="str">
        <f t="shared" si="571"/>
        <v/>
      </c>
      <c r="GV98" s="343" t="str">
        <f t="shared" si="726"/>
        <v/>
      </c>
      <c r="GW98" s="345" t="str">
        <f t="shared" si="572"/>
        <v/>
      </c>
      <c r="GX98" s="346" t="str">
        <f t="shared" si="573"/>
        <v/>
      </c>
      <c r="GY98" s="344" t="str">
        <f t="shared" si="574"/>
        <v/>
      </c>
      <c r="GZ98" s="345" t="str">
        <f t="shared" si="575"/>
        <v/>
      </c>
      <c r="HA98" s="342" t="str">
        <f t="shared" si="576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7"/>
        <v/>
      </c>
      <c r="HF98" s="5" t="str">
        <f t="shared" si="578"/>
        <v/>
      </c>
      <c r="HG98" s="343" t="str">
        <f t="shared" si="730"/>
        <v/>
      </c>
      <c r="HH98" s="349" t="str">
        <f t="shared" si="731"/>
        <v/>
      </c>
      <c r="HI98" s="317" t="str">
        <f t="shared" si="579"/>
        <v/>
      </c>
      <c r="HK98" s="310" t="str">
        <f t="shared" si="631"/>
        <v/>
      </c>
      <c r="HL98" s="348" t="str">
        <f t="shared" si="580"/>
        <v/>
      </c>
      <c r="HM98" s="909" t="str">
        <f t="shared" si="581"/>
        <v/>
      </c>
      <c r="HN98" s="910" t="str">
        <f t="shared" si="582"/>
        <v/>
      </c>
      <c r="HO98" s="911"/>
      <c r="HP98" s="912"/>
      <c r="HQ98" s="910" t="str">
        <f t="shared" si="583"/>
        <v/>
      </c>
      <c r="HR98" s="913" t="str">
        <f t="shared" si="584"/>
        <v/>
      </c>
      <c r="HS98" s="865" t="str">
        <f t="shared" si="632"/>
        <v/>
      </c>
      <c r="HT98" s="875" t="str">
        <f t="shared" si="585"/>
        <v/>
      </c>
      <c r="HU98" s="876" t="str">
        <f t="shared" si="586"/>
        <v/>
      </c>
      <c r="HV98" s="872" t="str">
        <f t="shared" si="587"/>
        <v/>
      </c>
      <c r="HW98" s="866" t="str">
        <f t="shared" si="588"/>
        <v/>
      </c>
      <c r="HX98" s="867" t="str">
        <f t="shared" si="589"/>
        <v/>
      </c>
      <c r="HY98" s="866" t="str">
        <f t="shared" si="590"/>
        <v/>
      </c>
      <c r="HZ98" s="868" t="str">
        <f t="shared" si="591"/>
        <v/>
      </c>
      <c r="IA98" s="869" t="str">
        <f t="shared" si="592"/>
        <v/>
      </c>
      <c r="IB98" s="870" t="str">
        <f t="shared" si="593"/>
        <v/>
      </c>
      <c r="IC98" s="841" t="str">
        <f t="shared" si="594"/>
        <v/>
      </c>
      <c r="ID98" s="351" t="str">
        <f t="shared" si="595"/>
        <v/>
      </c>
      <c r="IE98" s="843" t="str">
        <f t="shared" si="596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2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7"/>
        <v/>
      </c>
      <c r="IM98" s="482" t="str">
        <f t="shared" si="733"/>
        <v/>
      </c>
      <c r="IN98" s="670" t="str">
        <f t="shared" si="598"/>
        <v/>
      </c>
      <c r="IO98" s="702"/>
      <c r="IP98" s="5" t="str">
        <f t="shared" si="599"/>
        <v/>
      </c>
      <c r="IQ98" s="714"/>
      <c r="IR98" s="9" t="str">
        <f t="shared" si="600"/>
        <v/>
      </c>
      <c r="IS98" s="5" t="str">
        <f t="shared" si="601"/>
        <v/>
      </c>
      <c r="IT98" s="5" t="str">
        <f t="shared" si="602"/>
        <v/>
      </c>
      <c r="IU98" s="5" t="str">
        <f t="shared" si="603"/>
        <v/>
      </c>
      <c r="IV98" s="670" t="str">
        <f t="shared" si="604"/>
        <v/>
      </c>
      <c r="IW98" s="9" t="str">
        <f t="shared" si="605"/>
        <v/>
      </c>
      <c r="IX98" s="5" t="str">
        <f t="shared" si="606"/>
        <v/>
      </c>
      <c r="IY98" s="5" t="str">
        <f t="shared" si="607"/>
        <v/>
      </c>
      <c r="IZ98" s="5" t="str">
        <f t="shared" si="608"/>
        <v/>
      </c>
      <c r="JA98" s="705" t="str">
        <f t="shared" si="609"/>
        <v/>
      </c>
    </row>
    <row r="99" spans="1:261" ht="15" customHeight="1" x14ac:dyDescent="0.25">
      <c r="A99" s="75" t="str">
        <f t="shared" si="516"/>
        <v/>
      </c>
      <c r="B99" s="578" t="str">
        <f t="shared" si="517"/>
        <v/>
      </c>
      <c r="C99" s="572" t="str">
        <f t="shared" si="518"/>
        <v/>
      </c>
      <c r="D99" s="576" t="str">
        <f t="shared" si="519"/>
        <v/>
      </c>
      <c r="E99" s="580" t="str">
        <f t="shared" si="520"/>
        <v/>
      </c>
      <c r="F99" s="572" t="str">
        <f t="shared" si="521"/>
        <v/>
      </c>
      <c r="G99" s="579" t="str">
        <f t="shared" si="522"/>
        <v/>
      </c>
      <c r="H99" s="580" t="str">
        <f t="shared" si="523"/>
        <v/>
      </c>
      <c r="I99" s="572" t="str">
        <f t="shared" si="524"/>
        <v/>
      </c>
      <c r="J99" s="483" t="str">
        <f t="shared" si="525"/>
        <v/>
      </c>
      <c r="K99" s="806" t="str">
        <f t="shared" si="526"/>
        <v/>
      </c>
      <c r="L99" s="309"/>
      <c r="M99" s="164" t="str">
        <f t="shared" si="527"/>
        <v/>
      </c>
      <c r="N99" s="575" t="str">
        <f t="shared" si="528"/>
        <v/>
      </c>
      <c r="O99" s="572" t="str">
        <f t="shared" si="529"/>
        <v/>
      </c>
      <c r="P99" s="576" t="str">
        <f t="shared" si="530"/>
        <v/>
      </c>
      <c r="Q99" s="528" t="str">
        <f t="shared" si="610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6"/>
        <v/>
      </c>
      <c r="X99" s="572" t="str">
        <f t="shared" si="105"/>
        <v/>
      </c>
      <c r="Y99" s="573" t="str">
        <f t="shared" si="734"/>
        <v/>
      </c>
      <c r="Z99" s="575" t="str">
        <f t="shared" si="531"/>
        <v/>
      </c>
      <c r="AA99" s="572" t="str">
        <f t="shared" si="532"/>
        <v/>
      </c>
      <c r="AB99" s="572" t="str">
        <f t="shared" si="533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15"/>
        <v/>
      </c>
      <c r="AP99" s="528" t="str">
        <f t="shared" si="117"/>
        <v/>
      </c>
      <c r="AQ99" s="529" t="str">
        <f t="shared" si="534"/>
        <v/>
      </c>
      <c r="AS99" s="932" t="str">
        <f t="shared" si="633"/>
        <v/>
      </c>
      <c r="AT99" s="928" t="str">
        <f t="shared" si="535"/>
        <v/>
      </c>
      <c r="AU99" s="418"/>
      <c r="AV99" s="164" t="str">
        <f t="shared" si="536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4"/>
        <v/>
      </c>
      <c r="BA99" s="296" t="str">
        <f t="shared" si="537"/>
        <v/>
      </c>
      <c r="BB99" s="177" t="str">
        <f t="shared" si="611"/>
        <v/>
      </c>
      <c r="BC99" s="9"/>
      <c r="BD99" s="5" t="str">
        <f t="shared" si="612"/>
        <v/>
      </c>
      <c r="BE99" s="6" t="str">
        <f t="shared" si="538"/>
        <v/>
      </c>
      <c r="BF99" s="4" t="str">
        <f t="shared" si="539"/>
        <v/>
      </c>
      <c r="BG99" s="5" t="str">
        <f t="shared" si="540"/>
        <v/>
      </c>
      <c r="BH99" s="10" t="str">
        <f t="shared" si="541"/>
        <v/>
      </c>
      <c r="BI99" s="9" t="str">
        <f t="shared" si="635"/>
        <v/>
      </c>
      <c r="BJ99" s="5" t="str">
        <f t="shared" si="542"/>
        <v/>
      </c>
      <c r="BK99" s="8" t="str">
        <f t="shared" si="543"/>
        <v/>
      </c>
      <c r="BL99" s="173" t="str">
        <f t="shared" si="544"/>
        <v/>
      </c>
      <c r="BM99" s="5" t="str">
        <f t="shared" si="545"/>
        <v/>
      </c>
      <c r="BN99" s="6" t="str">
        <f t="shared" si="546"/>
        <v/>
      </c>
      <c r="BO99" s="4" t="str">
        <f t="shared" si="636"/>
        <v/>
      </c>
      <c r="BP99" s="5" t="str">
        <f t="shared" si="735"/>
        <v/>
      </c>
      <c r="BQ99" s="5" t="str">
        <f t="shared" si="637"/>
        <v/>
      </c>
      <c r="BR99" s="6" t="str">
        <f t="shared" si="638"/>
        <v/>
      </c>
      <c r="BS99" s="4" t="str">
        <f t="shared" si="613"/>
        <v/>
      </c>
      <c r="BT99" s="5" t="str">
        <f t="shared" si="613"/>
        <v/>
      </c>
      <c r="BU99" s="10" t="str">
        <f t="shared" si="614"/>
        <v/>
      </c>
      <c r="BV99" s="9" t="str">
        <f t="shared" si="615"/>
        <v/>
      </c>
      <c r="BW99" s="5" t="str">
        <f t="shared" si="616"/>
        <v/>
      </c>
      <c r="BX99" s="8" t="str">
        <f t="shared" si="617"/>
        <v/>
      </c>
      <c r="BY99" s="173" t="str">
        <f t="shared" si="618"/>
        <v/>
      </c>
      <c r="BZ99" s="5" t="str">
        <f t="shared" si="619"/>
        <v/>
      </c>
      <c r="CA99" s="6" t="str">
        <f t="shared" si="620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1"/>
        <v/>
      </c>
      <c r="CJ99" s="5" t="str">
        <f t="shared" si="622"/>
        <v/>
      </c>
      <c r="CK99" s="8" t="str">
        <f t="shared" si="623"/>
        <v/>
      </c>
      <c r="CL99" s="173" t="str">
        <f t="shared" si="624"/>
        <v/>
      </c>
      <c r="CM99" s="5" t="str">
        <f t="shared" si="625"/>
        <v/>
      </c>
      <c r="CN99" s="6" t="str">
        <f t="shared" si="626"/>
        <v/>
      </c>
      <c r="CO99" s="167" t="str">
        <f t="shared" si="547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8"/>
        <v/>
      </c>
      <c r="ET99" s="5" t="str">
        <f t="shared" si="549"/>
        <v/>
      </c>
      <c r="EU99" s="10" t="str">
        <f t="shared" si="550"/>
        <v/>
      </c>
      <c r="EV99" s="174" t="str">
        <f t="shared" si="551"/>
        <v/>
      </c>
      <c r="EW99" s="9" t="str">
        <f t="shared" si="552"/>
        <v/>
      </c>
      <c r="EX99" s="5" t="str">
        <f t="shared" si="553"/>
        <v/>
      </c>
      <c r="EY99" s="6" t="str">
        <f t="shared" si="699"/>
        <v/>
      </c>
      <c r="EZ99" s="51" t="str">
        <f t="shared" si="700"/>
        <v/>
      </c>
      <c r="FA99" s="173" t="str">
        <f t="shared" si="554"/>
        <v/>
      </c>
      <c r="FB99" s="5" t="str">
        <f t="shared" si="555"/>
        <v/>
      </c>
      <c r="FC99" s="6" t="str">
        <f t="shared" si="556"/>
        <v/>
      </c>
      <c r="FD99" s="4" t="str">
        <f t="shared" si="557"/>
        <v/>
      </c>
      <c r="FE99" s="5" t="str">
        <f t="shared" si="558"/>
        <v/>
      </c>
      <c r="FF99" s="7" t="str">
        <f t="shared" si="701"/>
        <v/>
      </c>
      <c r="FG99" s="173" t="str">
        <f t="shared" si="559"/>
        <v/>
      </c>
      <c r="FH99" s="5" t="str">
        <f t="shared" si="560"/>
        <v/>
      </c>
      <c r="FI99" s="10" t="str">
        <f t="shared" si="561"/>
        <v/>
      </c>
      <c r="FJ99" s="279" t="str">
        <f t="shared" si="702"/>
        <v/>
      </c>
      <c r="FK99" s="4" t="str">
        <f t="shared" si="562"/>
        <v/>
      </c>
      <c r="FL99" s="5" t="str">
        <f t="shared" si="627"/>
        <v/>
      </c>
      <c r="FM99" s="8" t="str">
        <f t="shared" si="628"/>
        <v/>
      </c>
      <c r="FN99" s="9" t="str">
        <f t="shared" si="629"/>
        <v/>
      </c>
      <c r="FO99" s="10" t="str">
        <f t="shared" si="563"/>
        <v/>
      </c>
      <c r="FP99" s="277" t="str">
        <f t="shared" si="630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4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5"/>
        <v/>
      </c>
      <c r="GH99" s="286" t="str">
        <f t="shared" si="566"/>
        <v/>
      </c>
      <c r="GI99" s="281" t="str">
        <f t="shared" si="567"/>
        <v/>
      </c>
      <c r="GJ99" s="167" t="str">
        <f t="shared" si="718"/>
        <v/>
      </c>
      <c r="GK99" s="174" t="str">
        <f t="shared" si="568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9"/>
        <v/>
      </c>
      <c r="GT99" s="343" t="str">
        <f t="shared" si="570"/>
        <v/>
      </c>
      <c r="GU99" s="344" t="str">
        <f t="shared" si="571"/>
        <v/>
      </c>
      <c r="GV99" s="343" t="str">
        <f t="shared" si="726"/>
        <v/>
      </c>
      <c r="GW99" s="345" t="str">
        <f t="shared" si="572"/>
        <v/>
      </c>
      <c r="GX99" s="346" t="str">
        <f t="shared" si="573"/>
        <v/>
      </c>
      <c r="GY99" s="344" t="str">
        <f t="shared" si="574"/>
        <v/>
      </c>
      <c r="GZ99" s="345" t="str">
        <f t="shared" si="575"/>
        <v/>
      </c>
      <c r="HA99" s="342" t="str">
        <f t="shared" si="576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7"/>
        <v/>
      </c>
      <c r="HF99" s="5" t="str">
        <f t="shared" si="578"/>
        <v/>
      </c>
      <c r="HG99" s="343" t="str">
        <f t="shared" si="730"/>
        <v/>
      </c>
      <c r="HH99" s="349" t="str">
        <f t="shared" si="731"/>
        <v/>
      </c>
      <c r="HI99" s="317" t="str">
        <f t="shared" si="579"/>
        <v/>
      </c>
      <c r="HK99" s="310" t="str">
        <f t="shared" si="631"/>
        <v/>
      </c>
      <c r="HL99" s="348" t="str">
        <f t="shared" si="580"/>
        <v/>
      </c>
      <c r="HM99" s="909" t="str">
        <f t="shared" si="581"/>
        <v/>
      </c>
      <c r="HN99" s="910" t="str">
        <f t="shared" si="582"/>
        <v/>
      </c>
      <c r="HO99" s="911"/>
      <c r="HP99" s="912"/>
      <c r="HQ99" s="910" t="str">
        <f t="shared" si="583"/>
        <v/>
      </c>
      <c r="HR99" s="913" t="str">
        <f t="shared" si="584"/>
        <v/>
      </c>
      <c r="HS99" s="865" t="str">
        <f t="shared" si="632"/>
        <v/>
      </c>
      <c r="HT99" s="875" t="str">
        <f t="shared" si="585"/>
        <v/>
      </c>
      <c r="HU99" s="876" t="str">
        <f t="shared" si="586"/>
        <v/>
      </c>
      <c r="HV99" s="872" t="str">
        <f t="shared" si="587"/>
        <v/>
      </c>
      <c r="HW99" s="866" t="str">
        <f t="shared" si="588"/>
        <v/>
      </c>
      <c r="HX99" s="867" t="str">
        <f t="shared" si="589"/>
        <v/>
      </c>
      <c r="HY99" s="866" t="str">
        <f t="shared" si="590"/>
        <v/>
      </c>
      <c r="HZ99" s="868" t="str">
        <f t="shared" si="591"/>
        <v/>
      </c>
      <c r="IA99" s="869" t="str">
        <f t="shared" si="592"/>
        <v/>
      </c>
      <c r="IB99" s="870" t="str">
        <f t="shared" si="593"/>
        <v/>
      </c>
      <c r="IC99" s="841" t="str">
        <f t="shared" si="594"/>
        <v/>
      </c>
      <c r="ID99" s="351" t="str">
        <f t="shared" si="595"/>
        <v/>
      </c>
      <c r="IE99" s="843" t="str">
        <f t="shared" si="596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2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7"/>
        <v/>
      </c>
      <c r="IM99" s="482" t="str">
        <f t="shared" si="733"/>
        <v/>
      </c>
      <c r="IN99" s="670" t="str">
        <f t="shared" si="598"/>
        <v/>
      </c>
      <c r="IO99" s="702"/>
      <c r="IP99" s="5" t="str">
        <f t="shared" si="599"/>
        <v/>
      </c>
      <c r="IQ99" s="714"/>
      <c r="IR99" s="9" t="str">
        <f t="shared" si="600"/>
        <v/>
      </c>
      <c r="IS99" s="5" t="str">
        <f t="shared" si="601"/>
        <v/>
      </c>
      <c r="IT99" s="5" t="str">
        <f t="shared" si="602"/>
        <v/>
      </c>
      <c r="IU99" s="5" t="str">
        <f t="shared" si="603"/>
        <v/>
      </c>
      <c r="IV99" s="670" t="str">
        <f t="shared" si="604"/>
        <v/>
      </c>
      <c r="IW99" s="9" t="str">
        <f t="shared" si="605"/>
        <v/>
      </c>
      <c r="IX99" s="5" t="str">
        <f t="shared" si="606"/>
        <v/>
      </c>
      <c r="IY99" s="5" t="str">
        <f t="shared" si="607"/>
        <v/>
      </c>
      <c r="IZ99" s="5" t="str">
        <f t="shared" si="608"/>
        <v/>
      </c>
      <c r="JA99" s="705" t="str">
        <f t="shared" si="609"/>
        <v/>
      </c>
    </row>
    <row r="100" spans="1:261" ht="15" customHeight="1" x14ac:dyDescent="0.25">
      <c r="A100" s="75" t="str">
        <f t="shared" si="516"/>
        <v/>
      </c>
      <c r="B100" s="578" t="str">
        <f t="shared" si="517"/>
        <v/>
      </c>
      <c r="C100" s="572" t="str">
        <f t="shared" si="518"/>
        <v/>
      </c>
      <c r="D100" s="576" t="str">
        <f t="shared" si="519"/>
        <v/>
      </c>
      <c r="E100" s="580" t="str">
        <f t="shared" si="520"/>
        <v/>
      </c>
      <c r="F100" s="572" t="str">
        <f t="shared" si="521"/>
        <v/>
      </c>
      <c r="G100" s="579" t="str">
        <f t="shared" si="522"/>
        <v/>
      </c>
      <c r="H100" s="580" t="str">
        <f t="shared" si="523"/>
        <v/>
      </c>
      <c r="I100" s="572" t="str">
        <f t="shared" si="524"/>
        <v/>
      </c>
      <c r="J100" s="483" t="str">
        <f t="shared" si="525"/>
        <v/>
      </c>
      <c r="K100" s="806" t="str">
        <f t="shared" si="526"/>
        <v/>
      </c>
      <c r="L100" s="309"/>
      <c r="M100" s="164" t="str">
        <f t="shared" si="527"/>
        <v/>
      </c>
      <c r="N100" s="575" t="str">
        <f t="shared" si="528"/>
        <v/>
      </c>
      <c r="O100" s="572" t="str">
        <f t="shared" si="529"/>
        <v/>
      </c>
      <c r="P100" s="576" t="str">
        <f t="shared" si="530"/>
        <v/>
      </c>
      <c r="Q100" s="528" t="str">
        <f t="shared" si="610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6"/>
        <v/>
      </c>
      <c r="X100" s="572" t="str">
        <f t="shared" si="105"/>
        <v/>
      </c>
      <c r="Y100" s="573" t="str">
        <f t="shared" si="734"/>
        <v/>
      </c>
      <c r="Z100" s="575" t="str">
        <f t="shared" si="531"/>
        <v/>
      </c>
      <c r="AA100" s="572" t="str">
        <f t="shared" si="532"/>
        <v/>
      </c>
      <c r="AB100" s="572" t="str">
        <f t="shared" si="533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15"/>
        <v/>
      </c>
      <c r="AP100" s="528" t="str">
        <f t="shared" si="117"/>
        <v/>
      </c>
      <c r="AQ100" s="529" t="str">
        <f t="shared" si="534"/>
        <v/>
      </c>
      <c r="AS100" s="932" t="str">
        <f t="shared" si="633"/>
        <v/>
      </c>
      <c r="AT100" s="928" t="str">
        <f t="shared" si="535"/>
        <v/>
      </c>
      <c r="AU100" s="418"/>
      <c r="AV100" s="164" t="str">
        <f t="shared" si="536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4"/>
        <v/>
      </c>
      <c r="BA100" s="296" t="str">
        <f t="shared" si="537"/>
        <v/>
      </c>
      <c r="BB100" s="177" t="str">
        <f t="shared" si="611"/>
        <v/>
      </c>
      <c r="BC100" s="9"/>
      <c r="BD100" s="5" t="str">
        <f t="shared" si="612"/>
        <v/>
      </c>
      <c r="BE100" s="6" t="str">
        <f t="shared" si="538"/>
        <v/>
      </c>
      <c r="BF100" s="4" t="str">
        <f t="shared" si="539"/>
        <v/>
      </c>
      <c r="BG100" s="5" t="str">
        <f t="shared" si="540"/>
        <v/>
      </c>
      <c r="BH100" s="10" t="str">
        <f t="shared" si="541"/>
        <v/>
      </c>
      <c r="BI100" s="9" t="str">
        <f t="shared" si="635"/>
        <v/>
      </c>
      <c r="BJ100" s="5" t="str">
        <f t="shared" si="542"/>
        <v/>
      </c>
      <c r="BK100" s="8" t="str">
        <f t="shared" si="543"/>
        <v/>
      </c>
      <c r="BL100" s="173" t="str">
        <f t="shared" si="544"/>
        <v/>
      </c>
      <c r="BM100" s="5" t="str">
        <f t="shared" si="545"/>
        <v/>
      </c>
      <c r="BN100" s="6" t="str">
        <f t="shared" si="546"/>
        <v/>
      </c>
      <c r="BO100" s="4" t="str">
        <f t="shared" si="636"/>
        <v/>
      </c>
      <c r="BP100" s="5" t="str">
        <f t="shared" si="735"/>
        <v/>
      </c>
      <c r="BQ100" s="5" t="str">
        <f t="shared" si="637"/>
        <v/>
      </c>
      <c r="BR100" s="6" t="str">
        <f t="shared" si="638"/>
        <v/>
      </c>
      <c r="BS100" s="4" t="str">
        <f t="shared" si="613"/>
        <v/>
      </c>
      <c r="BT100" s="5" t="str">
        <f t="shared" si="613"/>
        <v/>
      </c>
      <c r="BU100" s="10" t="str">
        <f t="shared" si="614"/>
        <v/>
      </c>
      <c r="BV100" s="9" t="str">
        <f t="shared" si="615"/>
        <v/>
      </c>
      <c r="BW100" s="5" t="str">
        <f t="shared" si="616"/>
        <v/>
      </c>
      <c r="BX100" s="8" t="str">
        <f t="shared" si="617"/>
        <v/>
      </c>
      <c r="BY100" s="173" t="str">
        <f t="shared" si="618"/>
        <v/>
      </c>
      <c r="BZ100" s="5" t="str">
        <f t="shared" si="619"/>
        <v/>
      </c>
      <c r="CA100" s="6" t="str">
        <f t="shared" si="620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1"/>
        <v/>
      </c>
      <c r="CJ100" s="5" t="str">
        <f t="shared" si="622"/>
        <v/>
      </c>
      <c r="CK100" s="8" t="str">
        <f t="shared" si="623"/>
        <v/>
      </c>
      <c r="CL100" s="173" t="str">
        <f t="shared" si="624"/>
        <v/>
      </c>
      <c r="CM100" s="5" t="str">
        <f t="shared" si="625"/>
        <v/>
      </c>
      <c r="CN100" s="6" t="str">
        <f t="shared" si="626"/>
        <v/>
      </c>
      <c r="CO100" s="167" t="str">
        <f t="shared" si="547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8"/>
        <v/>
      </c>
      <c r="ET100" s="5" t="str">
        <f t="shared" si="549"/>
        <v/>
      </c>
      <c r="EU100" s="10" t="str">
        <f t="shared" si="550"/>
        <v/>
      </c>
      <c r="EV100" s="174" t="str">
        <f t="shared" si="551"/>
        <v/>
      </c>
      <c r="EW100" s="9" t="str">
        <f t="shared" si="552"/>
        <v/>
      </c>
      <c r="EX100" s="5" t="str">
        <f t="shared" si="553"/>
        <v/>
      </c>
      <c r="EY100" s="6" t="str">
        <f t="shared" si="699"/>
        <v/>
      </c>
      <c r="EZ100" s="51" t="str">
        <f t="shared" si="700"/>
        <v/>
      </c>
      <c r="FA100" s="173" t="str">
        <f t="shared" si="554"/>
        <v/>
      </c>
      <c r="FB100" s="5" t="str">
        <f t="shared" si="555"/>
        <v/>
      </c>
      <c r="FC100" s="6" t="str">
        <f t="shared" si="556"/>
        <v/>
      </c>
      <c r="FD100" s="4" t="str">
        <f t="shared" si="557"/>
        <v/>
      </c>
      <c r="FE100" s="5" t="str">
        <f t="shared" si="558"/>
        <v/>
      </c>
      <c r="FF100" s="7" t="str">
        <f t="shared" si="701"/>
        <v/>
      </c>
      <c r="FG100" s="173" t="str">
        <f t="shared" si="559"/>
        <v/>
      </c>
      <c r="FH100" s="5" t="str">
        <f t="shared" si="560"/>
        <v/>
      </c>
      <c r="FI100" s="10" t="str">
        <f t="shared" si="561"/>
        <v/>
      </c>
      <c r="FJ100" s="279" t="str">
        <f t="shared" si="702"/>
        <v/>
      </c>
      <c r="FK100" s="4" t="str">
        <f t="shared" si="562"/>
        <v/>
      </c>
      <c r="FL100" s="5" t="str">
        <f t="shared" si="627"/>
        <v/>
      </c>
      <c r="FM100" s="8" t="str">
        <f t="shared" si="628"/>
        <v/>
      </c>
      <c r="FN100" s="9" t="str">
        <f t="shared" si="629"/>
        <v/>
      </c>
      <c r="FO100" s="10" t="str">
        <f t="shared" si="563"/>
        <v/>
      </c>
      <c r="FP100" s="277" t="str">
        <f t="shared" si="630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4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5"/>
        <v/>
      </c>
      <c r="GH100" s="286" t="str">
        <f t="shared" si="566"/>
        <v/>
      </c>
      <c r="GI100" s="281" t="str">
        <f t="shared" si="567"/>
        <v/>
      </c>
      <c r="GJ100" s="167" t="str">
        <f t="shared" si="718"/>
        <v/>
      </c>
      <c r="GK100" s="174" t="str">
        <f t="shared" si="568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9"/>
        <v/>
      </c>
      <c r="GT100" s="343" t="str">
        <f t="shared" si="570"/>
        <v/>
      </c>
      <c r="GU100" s="344" t="str">
        <f t="shared" si="571"/>
        <v/>
      </c>
      <c r="GV100" s="343" t="str">
        <f t="shared" si="726"/>
        <v/>
      </c>
      <c r="GW100" s="345" t="str">
        <f t="shared" si="572"/>
        <v/>
      </c>
      <c r="GX100" s="346" t="str">
        <f t="shared" si="573"/>
        <v/>
      </c>
      <c r="GY100" s="344" t="str">
        <f t="shared" si="574"/>
        <v/>
      </c>
      <c r="GZ100" s="345" t="str">
        <f t="shared" si="575"/>
        <v/>
      </c>
      <c r="HA100" s="342" t="str">
        <f t="shared" si="576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7"/>
        <v/>
      </c>
      <c r="HF100" s="5" t="str">
        <f t="shared" si="578"/>
        <v/>
      </c>
      <c r="HG100" s="343" t="str">
        <f t="shared" si="730"/>
        <v/>
      </c>
      <c r="HH100" s="349" t="str">
        <f t="shared" si="731"/>
        <v/>
      </c>
      <c r="HI100" s="317" t="str">
        <f t="shared" si="579"/>
        <v/>
      </c>
      <c r="HK100" s="310" t="str">
        <f t="shared" si="631"/>
        <v/>
      </c>
      <c r="HL100" s="348" t="str">
        <f t="shared" si="580"/>
        <v/>
      </c>
      <c r="HM100" s="909" t="str">
        <f t="shared" si="581"/>
        <v/>
      </c>
      <c r="HN100" s="910" t="str">
        <f t="shared" si="582"/>
        <v/>
      </c>
      <c r="HO100" s="911"/>
      <c r="HP100" s="912"/>
      <c r="HQ100" s="910" t="str">
        <f t="shared" si="583"/>
        <v/>
      </c>
      <c r="HR100" s="913" t="str">
        <f t="shared" si="584"/>
        <v/>
      </c>
      <c r="HS100" s="865" t="str">
        <f t="shared" si="632"/>
        <v/>
      </c>
      <c r="HT100" s="875" t="str">
        <f t="shared" si="585"/>
        <v/>
      </c>
      <c r="HU100" s="876" t="str">
        <f t="shared" si="586"/>
        <v/>
      </c>
      <c r="HV100" s="872" t="str">
        <f t="shared" si="587"/>
        <v/>
      </c>
      <c r="HW100" s="866" t="str">
        <f t="shared" si="588"/>
        <v/>
      </c>
      <c r="HX100" s="867" t="str">
        <f t="shared" si="589"/>
        <v/>
      </c>
      <c r="HY100" s="866" t="str">
        <f t="shared" si="590"/>
        <v/>
      </c>
      <c r="HZ100" s="868" t="str">
        <f t="shared" si="591"/>
        <v/>
      </c>
      <c r="IA100" s="869" t="str">
        <f t="shared" si="592"/>
        <v/>
      </c>
      <c r="IB100" s="870" t="str">
        <f t="shared" si="593"/>
        <v/>
      </c>
      <c r="IC100" s="841" t="str">
        <f t="shared" si="594"/>
        <v/>
      </c>
      <c r="ID100" s="351" t="str">
        <f t="shared" si="595"/>
        <v/>
      </c>
      <c r="IE100" s="843" t="str">
        <f t="shared" si="596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2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7"/>
        <v/>
      </c>
      <c r="IM100" s="482" t="str">
        <f t="shared" si="733"/>
        <v/>
      </c>
      <c r="IN100" s="670" t="str">
        <f t="shared" si="598"/>
        <v/>
      </c>
      <c r="IO100" s="702"/>
      <c r="IP100" s="5" t="str">
        <f t="shared" si="599"/>
        <v/>
      </c>
      <c r="IQ100" s="714"/>
      <c r="IR100" s="9" t="str">
        <f t="shared" si="600"/>
        <v/>
      </c>
      <c r="IS100" s="5" t="str">
        <f t="shared" si="601"/>
        <v/>
      </c>
      <c r="IT100" s="5" t="str">
        <f t="shared" si="602"/>
        <v/>
      </c>
      <c r="IU100" s="5" t="str">
        <f t="shared" si="603"/>
        <v/>
      </c>
      <c r="IV100" s="670" t="str">
        <f t="shared" si="604"/>
        <v/>
      </c>
      <c r="IW100" s="9" t="str">
        <f t="shared" si="605"/>
        <v/>
      </c>
      <c r="IX100" s="5" t="str">
        <f t="shared" si="606"/>
        <v/>
      </c>
      <c r="IY100" s="5" t="str">
        <f t="shared" si="607"/>
        <v/>
      </c>
      <c r="IZ100" s="5" t="str">
        <f t="shared" si="608"/>
        <v/>
      </c>
      <c r="JA100" s="705" t="str">
        <f t="shared" si="609"/>
        <v/>
      </c>
    </row>
    <row r="101" spans="1:261" ht="15" customHeight="1" x14ac:dyDescent="0.25">
      <c r="A101" s="75" t="str">
        <f t="shared" si="516"/>
        <v/>
      </c>
      <c r="B101" s="578" t="str">
        <f t="shared" si="517"/>
        <v/>
      </c>
      <c r="C101" s="572" t="str">
        <f t="shared" si="518"/>
        <v/>
      </c>
      <c r="D101" s="576" t="str">
        <f t="shared" si="519"/>
        <v/>
      </c>
      <c r="E101" s="580" t="str">
        <f t="shared" si="520"/>
        <v/>
      </c>
      <c r="F101" s="572" t="str">
        <f t="shared" si="521"/>
        <v/>
      </c>
      <c r="G101" s="579" t="str">
        <f t="shared" si="522"/>
        <v/>
      </c>
      <c r="H101" s="580" t="str">
        <f t="shared" si="523"/>
        <v/>
      </c>
      <c r="I101" s="572" t="str">
        <f t="shared" si="524"/>
        <v/>
      </c>
      <c r="J101" s="483" t="str">
        <f t="shared" si="525"/>
        <v/>
      </c>
      <c r="K101" s="806" t="str">
        <f t="shared" si="526"/>
        <v/>
      </c>
      <c r="L101" s="309"/>
      <c r="M101" s="164" t="str">
        <f t="shared" si="527"/>
        <v/>
      </c>
      <c r="N101" s="575" t="str">
        <f t="shared" si="528"/>
        <v/>
      </c>
      <c r="O101" s="572" t="str">
        <f t="shared" si="529"/>
        <v/>
      </c>
      <c r="P101" s="576" t="str">
        <f t="shared" si="530"/>
        <v/>
      </c>
      <c r="Q101" s="528" t="str">
        <f t="shared" si="610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6"/>
        <v/>
      </c>
      <c r="X101" s="572" t="str">
        <f t="shared" si="105"/>
        <v/>
      </c>
      <c r="Y101" s="573" t="str">
        <f t="shared" si="734"/>
        <v/>
      </c>
      <c r="Z101" s="575" t="str">
        <f t="shared" si="531"/>
        <v/>
      </c>
      <c r="AA101" s="572" t="str">
        <f t="shared" si="532"/>
        <v/>
      </c>
      <c r="AB101" s="572" t="str">
        <f t="shared" si="533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15"/>
        <v/>
      </c>
      <c r="AP101" s="528" t="str">
        <f t="shared" si="117"/>
        <v/>
      </c>
      <c r="AQ101" s="529" t="str">
        <f t="shared" si="534"/>
        <v/>
      </c>
      <c r="AS101" s="932" t="str">
        <f t="shared" si="633"/>
        <v/>
      </c>
      <c r="AT101" s="928" t="str">
        <f t="shared" si="535"/>
        <v/>
      </c>
      <c r="AU101" s="418"/>
      <c r="AV101" s="164" t="str">
        <f t="shared" si="536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4"/>
        <v/>
      </c>
      <c r="BA101" s="296" t="str">
        <f t="shared" si="537"/>
        <v/>
      </c>
      <c r="BB101" s="177" t="str">
        <f t="shared" si="611"/>
        <v/>
      </c>
      <c r="BC101" s="9"/>
      <c r="BD101" s="5" t="str">
        <f t="shared" si="612"/>
        <v/>
      </c>
      <c r="BE101" s="6" t="str">
        <f t="shared" si="538"/>
        <v/>
      </c>
      <c r="BF101" s="4" t="str">
        <f t="shared" si="539"/>
        <v/>
      </c>
      <c r="BG101" s="5" t="str">
        <f t="shared" si="540"/>
        <v/>
      </c>
      <c r="BH101" s="10" t="str">
        <f t="shared" si="541"/>
        <v/>
      </c>
      <c r="BI101" s="9" t="str">
        <f t="shared" si="635"/>
        <v/>
      </c>
      <c r="BJ101" s="5" t="str">
        <f t="shared" si="542"/>
        <v/>
      </c>
      <c r="BK101" s="8" t="str">
        <f t="shared" si="543"/>
        <v/>
      </c>
      <c r="BL101" s="173" t="str">
        <f t="shared" si="544"/>
        <v/>
      </c>
      <c r="BM101" s="5" t="str">
        <f t="shared" si="545"/>
        <v/>
      </c>
      <c r="BN101" s="6" t="str">
        <f t="shared" si="546"/>
        <v/>
      </c>
      <c r="BO101" s="4" t="str">
        <f t="shared" si="636"/>
        <v/>
      </c>
      <c r="BP101" s="5" t="str">
        <f t="shared" si="735"/>
        <v/>
      </c>
      <c r="BQ101" s="5" t="str">
        <f t="shared" si="637"/>
        <v/>
      </c>
      <c r="BR101" s="6" t="str">
        <f t="shared" si="638"/>
        <v/>
      </c>
      <c r="BS101" s="4" t="str">
        <f t="shared" si="613"/>
        <v/>
      </c>
      <c r="BT101" s="5" t="str">
        <f t="shared" si="613"/>
        <v/>
      </c>
      <c r="BU101" s="10" t="str">
        <f t="shared" si="614"/>
        <v/>
      </c>
      <c r="BV101" s="9" t="str">
        <f t="shared" si="615"/>
        <v/>
      </c>
      <c r="BW101" s="5" t="str">
        <f t="shared" si="616"/>
        <v/>
      </c>
      <c r="BX101" s="8" t="str">
        <f t="shared" si="617"/>
        <v/>
      </c>
      <c r="BY101" s="173" t="str">
        <f t="shared" si="618"/>
        <v/>
      </c>
      <c r="BZ101" s="5" t="str">
        <f t="shared" si="619"/>
        <v/>
      </c>
      <c r="CA101" s="6" t="str">
        <f t="shared" si="620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1"/>
        <v/>
      </c>
      <c r="CJ101" s="5" t="str">
        <f t="shared" si="622"/>
        <v/>
      </c>
      <c r="CK101" s="8" t="str">
        <f t="shared" si="623"/>
        <v/>
      </c>
      <c r="CL101" s="173" t="str">
        <f t="shared" si="624"/>
        <v/>
      </c>
      <c r="CM101" s="5" t="str">
        <f t="shared" si="625"/>
        <v/>
      </c>
      <c r="CN101" s="6" t="str">
        <f t="shared" si="626"/>
        <v/>
      </c>
      <c r="CO101" s="167" t="str">
        <f t="shared" si="547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8"/>
        <v/>
      </c>
      <c r="ET101" s="5" t="str">
        <f t="shared" si="549"/>
        <v/>
      </c>
      <c r="EU101" s="10" t="str">
        <f t="shared" si="550"/>
        <v/>
      </c>
      <c r="EV101" s="174" t="str">
        <f t="shared" si="551"/>
        <v/>
      </c>
      <c r="EW101" s="9" t="str">
        <f t="shared" si="552"/>
        <v/>
      </c>
      <c r="EX101" s="5" t="str">
        <f t="shared" si="553"/>
        <v/>
      </c>
      <c r="EY101" s="6" t="str">
        <f t="shared" si="699"/>
        <v/>
      </c>
      <c r="EZ101" s="51" t="str">
        <f t="shared" si="700"/>
        <v/>
      </c>
      <c r="FA101" s="173" t="str">
        <f t="shared" si="554"/>
        <v/>
      </c>
      <c r="FB101" s="5" t="str">
        <f t="shared" si="555"/>
        <v/>
      </c>
      <c r="FC101" s="6" t="str">
        <f t="shared" si="556"/>
        <v/>
      </c>
      <c r="FD101" s="4" t="str">
        <f t="shared" si="557"/>
        <v/>
      </c>
      <c r="FE101" s="5" t="str">
        <f t="shared" si="558"/>
        <v/>
      </c>
      <c r="FF101" s="7" t="str">
        <f t="shared" si="701"/>
        <v/>
      </c>
      <c r="FG101" s="173" t="str">
        <f t="shared" si="559"/>
        <v/>
      </c>
      <c r="FH101" s="5" t="str">
        <f t="shared" si="560"/>
        <v/>
      </c>
      <c r="FI101" s="10" t="str">
        <f t="shared" si="561"/>
        <v/>
      </c>
      <c r="FJ101" s="279" t="str">
        <f t="shared" si="702"/>
        <v/>
      </c>
      <c r="FK101" s="4" t="str">
        <f t="shared" si="562"/>
        <v/>
      </c>
      <c r="FL101" s="5" t="str">
        <f t="shared" si="627"/>
        <v/>
      </c>
      <c r="FM101" s="8" t="str">
        <f t="shared" si="628"/>
        <v/>
      </c>
      <c r="FN101" s="9" t="str">
        <f t="shared" si="629"/>
        <v/>
      </c>
      <c r="FO101" s="10" t="str">
        <f t="shared" si="563"/>
        <v/>
      </c>
      <c r="FP101" s="277" t="str">
        <f t="shared" si="630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4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5"/>
        <v/>
      </c>
      <c r="GH101" s="286" t="str">
        <f t="shared" si="566"/>
        <v/>
      </c>
      <c r="GI101" s="281" t="str">
        <f t="shared" si="567"/>
        <v/>
      </c>
      <c r="GJ101" s="167" t="str">
        <f t="shared" si="718"/>
        <v/>
      </c>
      <c r="GK101" s="174" t="str">
        <f t="shared" si="568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9"/>
        <v/>
      </c>
      <c r="GT101" s="343" t="str">
        <f t="shared" si="570"/>
        <v/>
      </c>
      <c r="GU101" s="344" t="str">
        <f t="shared" si="571"/>
        <v/>
      </c>
      <c r="GV101" s="343" t="str">
        <f t="shared" si="726"/>
        <v/>
      </c>
      <c r="GW101" s="345" t="str">
        <f t="shared" si="572"/>
        <v/>
      </c>
      <c r="GX101" s="346" t="str">
        <f t="shared" si="573"/>
        <v/>
      </c>
      <c r="GY101" s="344" t="str">
        <f t="shared" si="574"/>
        <v/>
      </c>
      <c r="GZ101" s="345" t="str">
        <f t="shared" si="575"/>
        <v/>
      </c>
      <c r="HA101" s="342" t="str">
        <f t="shared" si="576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7"/>
        <v/>
      </c>
      <c r="HF101" s="5" t="str">
        <f t="shared" si="578"/>
        <v/>
      </c>
      <c r="HG101" s="343" t="str">
        <f t="shared" si="730"/>
        <v/>
      </c>
      <c r="HH101" s="349" t="str">
        <f t="shared" si="731"/>
        <v/>
      </c>
      <c r="HI101" s="317" t="str">
        <f t="shared" si="579"/>
        <v/>
      </c>
      <c r="HK101" s="310" t="str">
        <f t="shared" si="631"/>
        <v/>
      </c>
      <c r="HL101" s="348" t="str">
        <f t="shared" si="580"/>
        <v/>
      </c>
      <c r="HM101" s="909" t="str">
        <f t="shared" si="581"/>
        <v/>
      </c>
      <c r="HN101" s="910" t="str">
        <f t="shared" si="582"/>
        <v/>
      </c>
      <c r="HO101" s="911"/>
      <c r="HP101" s="912"/>
      <c r="HQ101" s="910" t="str">
        <f t="shared" si="583"/>
        <v/>
      </c>
      <c r="HR101" s="913" t="str">
        <f t="shared" si="584"/>
        <v/>
      </c>
      <c r="HS101" s="865" t="str">
        <f t="shared" si="632"/>
        <v/>
      </c>
      <c r="HT101" s="875" t="str">
        <f t="shared" si="585"/>
        <v/>
      </c>
      <c r="HU101" s="876" t="str">
        <f t="shared" si="586"/>
        <v/>
      </c>
      <c r="HV101" s="872" t="str">
        <f t="shared" si="587"/>
        <v/>
      </c>
      <c r="HW101" s="866" t="str">
        <f t="shared" si="588"/>
        <v/>
      </c>
      <c r="HX101" s="867" t="str">
        <f t="shared" si="589"/>
        <v/>
      </c>
      <c r="HY101" s="866" t="str">
        <f t="shared" si="590"/>
        <v/>
      </c>
      <c r="HZ101" s="868" t="str">
        <f t="shared" si="591"/>
        <v/>
      </c>
      <c r="IA101" s="869" t="str">
        <f t="shared" si="592"/>
        <v/>
      </c>
      <c r="IB101" s="870" t="str">
        <f t="shared" si="593"/>
        <v/>
      </c>
      <c r="IC101" s="841" t="str">
        <f t="shared" si="594"/>
        <v/>
      </c>
      <c r="ID101" s="351" t="str">
        <f t="shared" si="595"/>
        <v/>
      </c>
      <c r="IE101" s="843" t="str">
        <f t="shared" si="596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2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7"/>
        <v/>
      </c>
      <c r="IM101" s="482" t="str">
        <f t="shared" si="733"/>
        <v/>
      </c>
      <c r="IN101" s="670" t="str">
        <f t="shared" si="598"/>
        <v/>
      </c>
      <c r="IO101" s="702"/>
      <c r="IP101" s="5" t="str">
        <f t="shared" si="599"/>
        <v/>
      </c>
      <c r="IQ101" s="714"/>
      <c r="IR101" s="9" t="str">
        <f t="shared" si="600"/>
        <v/>
      </c>
      <c r="IS101" s="5" t="str">
        <f t="shared" si="601"/>
        <v/>
      </c>
      <c r="IT101" s="5" t="str">
        <f t="shared" si="602"/>
        <v/>
      </c>
      <c r="IU101" s="5" t="str">
        <f t="shared" si="603"/>
        <v/>
      </c>
      <c r="IV101" s="670" t="str">
        <f t="shared" si="604"/>
        <v/>
      </c>
      <c r="IW101" s="9" t="str">
        <f t="shared" si="605"/>
        <v/>
      </c>
      <c r="IX101" s="5" t="str">
        <f t="shared" si="606"/>
        <v/>
      </c>
      <c r="IY101" s="5" t="str">
        <f t="shared" si="607"/>
        <v/>
      </c>
      <c r="IZ101" s="5" t="str">
        <f t="shared" si="608"/>
        <v/>
      </c>
      <c r="JA101" s="705" t="str">
        <f t="shared" si="609"/>
        <v/>
      </c>
    </row>
    <row r="102" spans="1:261" ht="15" customHeight="1" x14ac:dyDescent="0.25">
      <c r="A102" s="75" t="str">
        <f t="shared" si="516"/>
        <v/>
      </c>
      <c r="B102" s="578" t="str">
        <f t="shared" si="517"/>
        <v/>
      </c>
      <c r="C102" s="572" t="str">
        <f t="shared" si="518"/>
        <v/>
      </c>
      <c r="D102" s="576" t="str">
        <f t="shared" si="519"/>
        <v/>
      </c>
      <c r="E102" s="580" t="str">
        <f t="shared" si="520"/>
        <v/>
      </c>
      <c r="F102" s="572" t="str">
        <f t="shared" si="521"/>
        <v/>
      </c>
      <c r="G102" s="579" t="str">
        <f t="shared" si="522"/>
        <v/>
      </c>
      <c r="H102" s="580" t="str">
        <f t="shared" si="523"/>
        <v/>
      </c>
      <c r="I102" s="572" t="str">
        <f t="shared" si="524"/>
        <v/>
      </c>
      <c r="J102" s="483" t="str">
        <f t="shared" si="525"/>
        <v/>
      </c>
      <c r="K102" s="806" t="str">
        <f t="shared" si="526"/>
        <v/>
      </c>
      <c r="L102" s="309"/>
      <c r="M102" s="164" t="str">
        <f t="shared" si="527"/>
        <v/>
      </c>
      <c r="N102" s="575" t="str">
        <f t="shared" si="528"/>
        <v/>
      </c>
      <c r="O102" s="572" t="str">
        <f t="shared" si="529"/>
        <v/>
      </c>
      <c r="P102" s="576" t="str">
        <f t="shared" si="530"/>
        <v/>
      </c>
      <c r="Q102" s="528" t="str">
        <f t="shared" si="610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6"/>
        <v/>
      </c>
      <c r="X102" s="572" t="str">
        <f t="shared" si="105"/>
        <v/>
      </c>
      <c r="Y102" s="573" t="str">
        <f t="shared" si="734"/>
        <v/>
      </c>
      <c r="Z102" s="575" t="str">
        <f t="shared" si="531"/>
        <v/>
      </c>
      <c r="AA102" s="572" t="str">
        <f t="shared" si="532"/>
        <v/>
      </c>
      <c r="AB102" s="572" t="str">
        <f t="shared" si="533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15"/>
        <v/>
      </c>
      <c r="AP102" s="528" t="str">
        <f t="shared" si="117"/>
        <v/>
      </c>
      <c r="AQ102" s="529" t="str">
        <f t="shared" si="534"/>
        <v/>
      </c>
      <c r="AS102" s="932" t="str">
        <f t="shared" si="633"/>
        <v/>
      </c>
      <c r="AT102" s="928" t="str">
        <f t="shared" si="535"/>
        <v/>
      </c>
      <c r="AU102" s="418"/>
      <c r="AV102" s="164" t="str">
        <f t="shared" si="536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4"/>
        <v/>
      </c>
      <c r="BA102" s="296" t="str">
        <f t="shared" si="537"/>
        <v/>
      </c>
      <c r="BB102" s="177" t="str">
        <f t="shared" si="611"/>
        <v/>
      </c>
      <c r="BC102" s="9"/>
      <c r="BD102" s="5" t="str">
        <f t="shared" si="612"/>
        <v/>
      </c>
      <c r="BE102" s="6" t="str">
        <f t="shared" si="538"/>
        <v/>
      </c>
      <c r="BF102" s="4" t="str">
        <f t="shared" si="539"/>
        <v/>
      </c>
      <c r="BG102" s="5" t="str">
        <f t="shared" si="540"/>
        <v/>
      </c>
      <c r="BH102" s="10" t="str">
        <f t="shared" si="541"/>
        <v/>
      </c>
      <c r="BI102" s="9" t="str">
        <f t="shared" si="635"/>
        <v/>
      </c>
      <c r="BJ102" s="5" t="str">
        <f t="shared" si="542"/>
        <v/>
      </c>
      <c r="BK102" s="8" t="str">
        <f t="shared" si="543"/>
        <v/>
      </c>
      <c r="BL102" s="173" t="str">
        <f t="shared" si="544"/>
        <v/>
      </c>
      <c r="BM102" s="5" t="str">
        <f t="shared" si="545"/>
        <v/>
      </c>
      <c r="BN102" s="6" t="str">
        <f t="shared" si="546"/>
        <v/>
      </c>
      <c r="BO102" s="4" t="str">
        <f t="shared" si="636"/>
        <v/>
      </c>
      <c r="BP102" s="5" t="str">
        <f t="shared" si="735"/>
        <v/>
      </c>
      <c r="BQ102" s="5" t="str">
        <f t="shared" si="637"/>
        <v/>
      </c>
      <c r="BR102" s="6" t="str">
        <f t="shared" si="638"/>
        <v/>
      </c>
      <c r="BS102" s="4" t="str">
        <f t="shared" si="613"/>
        <v/>
      </c>
      <c r="BT102" s="5" t="str">
        <f t="shared" si="613"/>
        <v/>
      </c>
      <c r="BU102" s="10" t="str">
        <f t="shared" si="614"/>
        <v/>
      </c>
      <c r="BV102" s="9" t="str">
        <f t="shared" si="615"/>
        <v/>
      </c>
      <c r="BW102" s="5" t="str">
        <f t="shared" si="616"/>
        <v/>
      </c>
      <c r="BX102" s="8" t="str">
        <f t="shared" si="617"/>
        <v/>
      </c>
      <c r="BY102" s="173" t="str">
        <f t="shared" si="618"/>
        <v/>
      </c>
      <c r="BZ102" s="5" t="str">
        <f t="shared" si="619"/>
        <v/>
      </c>
      <c r="CA102" s="6" t="str">
        <f t="shared" si="620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1"/>
        <v/>
      </c>
      <c r="CJ102" s="5" t="str">
        <f t="shared" si="622"/>
        <v/>
      </c>
      <c r="CK102" s="8" t="str">
        <f t="shared" si="623"/>
        <v/>
      </c>
      <c r="CL102" s="173" t="str">
        <f t="shared" si="624"/>
        <v/>
      </c>
      <c r="CM102" s="5" t="str">
        <f t="shared" si="625"/>
        <v/>
      </c>
      <c r="CN102" s="6" t="str">
        <f t="shared" si="626"/>
        <v/>
      </c>
      <c r="CO102" s="167" t="str">
        <f t="shared" si="547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8"/>
        <v/>
      </c>
      <c r="ET102" s="5" t="str">
        <f t="shared" si="549"/>
        <v/>
      </c>
      <c r="EU102" s="10" t="str">
        <f t="shared" si="550"/>
        <v/>
      </c>
      <c r="EV102" s="174" t="str">
        <f t="shared" si="551"/>
        <v/>
      </c>
      <c r="EW102" s="9" t="str">
        <f t="shared" si="552"/>
        <v/>
      </c>
      <c r="EX102" s="5" t="str">
        <f t="shared" si="553"/>
        <v/>
      </c>
      <c r="EY102" s="6" t="str">
        <f t="shared" si="699"/>
        <v/>
      </c>
      <c r="EZ102" s="51" t="str">
        <f t="shared" si="700"/>
        <v/>
      </c>
      <c r="FA102" s="173" t="str">
        <f t="shared" si="554"/>
        <v/>
      </c>
      <c r="FB102" s="5" t="str">
        <f t="shared" si="555"/>
        <v/>
      </c>
      <c r="FC102" s="6" t="str">
        <f t="shared" si="556"/>
        <v/>
      </c>
      <c r="FD102" s="4" t="str">
        <f t="shared" si="557"/>
        <v/>
      </c>
      <c r="FE102" s="5" t="str">
        <f t="shared" si="558"/>
        <v/>
      </c>
      <c r="FF102" s="7" t="str">
        <f t="shared" si="701"/>
        <v/>
      </c>
      <c r="FG102" s="173" t="str">
        <f t="shared" si="559"/>
        <v/>
      </c>
      <c r="FH102" s="5" t="str">
        <f t="shared" si="560"/>
        <v/>
      </c>
      <c r="FI102" s="10" t="str">
        <f t="shared" si="561"/>
        <v/>
      </c>
      <c r="FJ102" s="279" t="str">
        <f t="shared" si="702"/>
        <v/>
      </c>
      <c r="FK102" s="4" t="str">
        <f t="shared" si="562"/>
        <v/>
      </c>
      <c r="FL102" s="5" t="str">
        <f t="shared" si="627"/>
        <v/>
      </c>
      <c r="FM102" s="8" t="str">
        <f t="shared" si="628"/>
        <v/>
      </c>
      <c r="FN102" s="9" t="str">
        <f t="shared" si="629"/>
        <v/>
      </c>
      <c r="FO102" s="10" t="str">
        <f t="shared" si="563"/>
        <v/>
      </c>
      <c r="FP102" s="277" t="str">
        <f t="shared" si="630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4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5"/>
        <v/>
      </c>
      <c r="GH102" s="286" t="str">
        <f t="shared" si="566"/>
        <v/>
      </c>
      <c r="GI102" s="281" t="str">
        <f t="shared" si="567"/>
        <v/>
      </c>
      <c r="GJ102" s="167" t="str">
        <f t="shared" si="718"/>
        <v/>
      </c>
      <c r="GK102" s="174" t="str">
        <f t="shared" si="568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9"/>
        <v/>
      </c>
      <c r="GT102" s="343" t="str">
        <f t="shared" si="570"/>
        <v/>
      </c>
      <c r="GU102" s="344" t="str">
        <f t="shared" si="571"/>
        <v/>
      </c>
      <c r="GV102" s="343" t="str">
        <f t="shared" si="726"/>
        <v/>
      </c>
      <c r="GW102" s="345" t="str">
        <f t="shared" si="572"/>
        <v/>
      </c>
      <c r="GX102" s="346" t="str">
        <f t="shared" si="573"/>
        <v/>
      </c>
      <c r="GY102" s="344" t="str">
        <f t="shared" si="574"/>
        <v/>
      </c>
      <c r="GZ102" s="345" t="str">
        <f t="shared" si="575"/>
        <v/>
      </c>
      <c r="HA102" s="342" t="str">
        <f t="shared" si="576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7"/>
        <v/>
      </c>
      <c r="HF102" s="5" t="str">
        <f t="shared" si="578"/>
        <v/>
      </c>
      <c r="HG102" s="343" t="str">
        <f t="shared" si="730"/>
        <v/>
      </c>
      <c r="HH102" s="349" t="str">
        <f t="shared" si="731"/>
        <v/>
      </c>
      <c r="HI102" s="317" t="str">
        <f t="shared" si="579"/>
        <v/>
      </c>
      <c r="HK102" s="310" t="str">
        <f t="shared" si="631"/>
        <v/>
      </c>
      <c r="HL102" s="348" t="str">
        <f t="shared" si="580"/>
        <v/>
      </c>
      <c r="HM102" s="909" t="str">
        <f t="shared" si="581"/>
        <v/>
      </c>
      <c r="HN102" s="910" t="str">
        <f t="shared" si="582"/>
        <v/>
      </c>
      <c r="HO102" s="911"/>
      <c r="HP102" s="912"/>
      <c r="HQ102" s="910" t="str">
        <f t="shared" si="583"/>
        <v/>
      </c>
      <c r="HR102" s="913" t="str">
        <f t="shared" si="584"/>
        <v/>
      </c>
      <c r="HS102" s="865" t="str">
        <f t="shared" si="632"/>
        <v/>
      </c>
      <c r="HT102" s="875" t="str">
        <f t="shared" si="585"/>
        <v/>
      </c>
      <c r="HU102" s="876" t="str">
        <f t="shared" si="586"/>
        <v/>
      </c>
      <c r="HV102" s="872" t="str">
        <f t="shared" si="587"/>
        <v/>
      </c>
      <c r="HW102" s="866" t="str">
        <f t="shared" si="588"/>
        <v/>
      </c>
      <c r="HX102" s="867" t="str">
        <f t="shared" si="589"/>
        <v/>
      </c>
      <c r="HY102" s="866" t="str">
        <f t="shared" si="590"/>
        <v/>
      </c>
      <c r="HZ102" s="868" t="str">
        <f t="shared" si="591"/>
        <v/>
      </c>
      <c r="IA102" s="869" t="str">
        <f t="shared" si="592"/>
        <v/>
      </c>
      <c r="IB102" s="870" t="str">
        <f t="shared" si="593"/>
        <v/>
      </c>
      <c r="IC102" s="841" t="str">
        <f t="shared" si="594"/>
        <v/>
      </c>
      <c r="ID102" s="351" t="str">
        <f t="shared" si="595"/>
        <v/>
      </c>
      <c r="IE102" s="843" t="str">
        <f t="shared" si="596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2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7"/>
        <v/>
      </c>
      <c r="IM102" s="482" t="str">
        <f t="shared" si="733"/>
        <v/>
      </c>
      <c r="IN102" s="670" t="str">
        <f t="shared" si="598"/>
        <v/>
      </c>
      <c r="IO102" s="702"/>
      <c r="IP102" s="5" t="str">
        <f t="shared" si="599"/>
        <v/>
      </c>
      <c r="IQ102" s="714"/>
      <c r="IR102" s="9" t="str">
        <f t="shared" si="600"/>
        <v/>
      </c>
      <c r="IS102" s="5" t="str">
        <f t="shared" si="601"/>
        <v/>
      </c>
      <c r="IT102" s="5" t="str">
        <f t="shared" si="602"/>
        <v/>
      </c>
      <c r="IU102" s="5" t="str">
        <f t="shared" si="603"/>
        <v/>
      </c>
      <c r="IV102" s="670" t="str">
        <f t="shared" si="604"/>
        <v/>
      </c>
      <c r="IW102" s="9" t="str">
        <f t="shared" si="605"/>
        <v/>
      </c>
      <c r="IX102" s="5" t="str">
        <f t="shared" si="606"/>
        <v/>
      </c>
      <c r="IY102" s="5" t="str">
        <f t="shared" si="607"/>
        <v/>
      </c>
      <c r="IZ102" s="5" t="str">
        <f t="shared" si="608"/>
        <v/>
      </c>
      <c r="JA102" s="705" t="str">
        <f t="shared" si="609"/>
        <v/>
      </c>
    </row>
    <row r="103" spans="1:261" ht="15" customHeight="1" x14ac:dyDescent="0.25">
      <c r="A103" s="75" t="str">
        <f t="shared" si="516"/>
        <v/>
      </c>
      <c r="B103" s="578" t="str">
        <f t="shared" si="517"/>
        <v/>
      </c>
      <c r="C103" s="572" t="str">
        <f t="shared" si="518"/>
        <v/>
      </c>
      <c r="D103" s="576" t="str">
        <f t="shared" si="519"/>
        <v/>
      </c>
      <c r="E103" s="580" t="str">
        <f t="shared" si="520"/>
        <v/>
      </c>
      <c r="F103" s="572" t="str">
        <f t="shared" si="521"/>
        <v/>
      </c>
      <c r="G103" s="579" t="str">
        <f t="shared" si="522"/>
        <v/>
      </c>
      <c r="H103" s="580" t="str">
        <f t="shared" si="523"/>
        <v/>
      </c>
      <c r="I103" s="572" t="str">
        <f t="shared" si="524"/>
        <v/>
      </c>
      <c r="J103" s="483" t="str">
        <f t="shared" si="525"/>
        <v/>
      </c>
      <c r="K103" s="806" t="str">
        <f t="shared" si="526"/>
        <v/>
      </c>
      <c r="L103" s="309"/>
      <c r="M103" s="164" t="str">
        <f t="shared" si="527"/>
        <v/>
      </c>
      <c r="N103" s="575" t="str">
        <f t="shared" si="528"/>
        <v/>
      </c>
      <c r="O103" s="572" t="str">
        <f t="shared" si="529"/>
        <v/>
      </c>
      <c r="P103" s="576" t="str">
        <f t="shared" si="530"/>
        <v/>
      </c>
      <c r="Q103" s="528" t="str">
        <f t="shared" si="610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6"/>
        <v/>
      </c>
      <c r="X103" s="572" t="str">
        <f t="shared" si="105"/>
        <v/>
      </c>
      <c r="Y103" s="573" t="str">
        <f t="shared" si="734"/>
        <v/>
      </c>
      <c r="Z103" s="575" t="str">
        <f t="shared" si="531"/>
        <v/>
      </c>
      <c r="AA103" s="572" t="str">
        <f t="shared" si="532"/>
        <v/>
      </c>
      <c r="AB103" s="572" t="str">
        <f t="shared" si="533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15"/>
        <v/>
      </c>
      <c r="AP103" s="528" t="str">
        <f t="shared" si="117"/>
        <v/>
      </c>
      <c r="AQ103" s="529" t="str">
        <f t="shared" si="534"/>
        <v/>
      </c>
      <c r="AS103" s="932" t="str">
        <f t="shared" si="633"/>
        <v/>
      </c>
      <c r="AT103" s="928" t="str">
        <f t="shared" si="535"/>
        <v/>
      </c>
      <c r="AU103" s="418"/>
      <c r="AV103" s="164" t="str">
        <f t="shared" si="536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4"/>
        <v/>
      </c>
      <c r="BA103" s="296" t="str">
        <f t="shared" si="537"/>
        <v/>
      </c>
      <c r="BB103" s="177" t="str">
        <f t="shared" si="611"/>
        <v/>
      </c>
      <c r="BC103" s="9"/>
      <c r="BD103" s="5" t="str">
        <f t="shared" si="612"/>
        <v/>
      </c>
      <c r="BE103" s="6" t="str">
        <f t="shared" si="538"/>
        <v/>
      </c>
      <c r="BF103" s="4" t="str">
        <f t="shared" si="539"/>
        <v/>
      </c>
      <c r="BG103" s="5" t="str">
        <f t="shared" si="540"/>
        <v/>
      </c>
      <c r="BH103" s="10" t="str">
        <f t="shared" si="541"/>
        <v/>
      </c>
      <c r="BI103" s="9" t="str">
        <f t="shared" si="635"/>
        <v/>
      </c>
      <c r="BJ103" s="5" t="str">
        <f t="shared" si="542"/>
        <v/>
      </c>
      <c r="BK103" s="8" t="str">
        <f t="shared" si="543"/>
        <v/>
      </c>
      <c r="BL103" s="173" t="str">
        <f t="shared" si="544"/>
        <v/>
      </c>
      <c r="BM103" s="5" t="str">
        <f t="shared" si="545"/>
        <v/>
      </c>
      <c r="BN103" s="6" t="str">
        <f t="shared" si="546"/>
        <v/>
      </c>
      <c r="BO103" s="4" t="str">
        <f t="shared" si="636"/>
        <v/>
      </c>
      <c r="BP103" s="5" t="str">
        <f t="shared" si="735"/>
        <v/>
      </c>
      <c r="BQ103" s="5" t="str">
        <f t="shared" si="637"/>
        <v/>
      </c>
      <c r="BR103" s="6" t="str">
        <f t="shared" si="638"/>
        <v/>
      </c>
      <c r="BS103" s="4" t="str">
        <f t="shared" si="613"/>
        <v/>
      </c>
      <c r="BT103" s="5" t="str">
        <f t="shared" si="613"/>
        <v/>
      </c>
      <c r="BU103" s="10" t="str">
        <f t="shared" si="614"/>
        <v/>
      </c>
      <c r="BV103" s="9" t="str">
        <f t="shared" si="615"/>
        <v/>
      </c>
      <c r="BW103" s="5" t="str">
        <f t="shared" si="616"/>
        <v/>
      </c>
      <c r="BX103" s="8" t="str">
        <f t="shared" si="617"/>
        <v/>
      </c>
      <c r="BY103" s="173" t="str">
        <f t="shared" si="618"/>
        <v/>
      </c>
      <c r="BZ103" s="5" t="str">
        <f t="shared" si="619"/>
        <v/>
      </c>
      <c r="CA103" s="6" t="str">
        <f t="shared" si="620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1"/>
        <v/>
      </c>
      <c r="CJ103" s="5" t="str">
        <f t="shared" si="622"/>
        <v/>
      </c>
      <c r="CK103" s="8" t="str">
        <f t="shared" si="623"/>
        <v/>
      </c>
      <c r="CL103" s="173" t="str">
        <f t="shared" si="624"/>
        <v/>
      </c>
      <c r="CM103" s="5" t="str">
        <f t="shared" si="625"/>
        <v/>
      </c>
      <c r="CN103" s="6" t="str">
        <f t="shared" si="626"/>
        <v/>
      </c>
      <c r="CO103" s="167" t="str">
        <f t="shared" si="547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8"/>
        <v/>
      </c>
      <c r="ET103" s="5" t="str">
        <f t="shared" si="549"/>
        <v/>
      </c>
      <c r="EU103" s="10" t="str">
        <f t="shared" si="550"/>
        <v/>
      </c>
      <c r="EV103" s="174" t="str">
        <f t="shared" si="551"/>
        <v/>
      </c>
      <c r="EW103" s="9" t="str">
        <f t="shared" si="552"/>
        <v/>
      </c>
      <c r="EX103" s="5" t="str">
        <f t="shared" si="553"/>
        <v/>
      </c>
      <c r="EY103" s="6" t="str">
        <f t="shared" si="699"/>
        <v/>
      </c>
      <c r="EZ103" s="51" t="str">
        <f t="shared" si="700"/>
        <v/>
      </c>
      <c r="FA103" s="173" t="str">
        <f t="shared" si="554"/>
        <v/>
      </c>
      <c r="FB103" s="5" t="str">
        <f t="shared" si="555"/>
        <v/>
      </c>
      <c r="FC103" s="6" t="str">
        <f t="shared" si="556"/>
        <v/>
      </c>
      <c r="FD103" s="4" t="str">
        <f t="shared" si="557"/>
        <v/>
      </c>
      <c r="FE103" s="5" t="str">
        <f t="shared" si="558"/>
        <v/>
      </c>
      <c r="FF103" s="7" t="str">
        <f t="shared" si="701"/>
        <v/>
      </c>
      <c r="FG103" s="173" t="str">
        <f t="shared" si="559"/>
        <v/>
      </c>
      <c r="FH103" s="5" t="str">
        <f t="shared" si="560"/>
        <v/>
      </c>
      <c r="FI103" s="10" t="str">
        <f t="shared" si="561"/>
        <v/>
      </c>
      <c r="FJ103" s="279" t="str">
        <f t="shared" si="702"/>
        <v/>
      </c>
      <c r="FK103" s="4" t="str">
        <f t="shared" si="562"/>
        <v/>
      </c>
      <c r="FL103" s="5" t="str">
        <f t="shared" si="627"/>
        <v/>
      </c>
      <c r="FM103" s="8" t="str">
        <f t="shared" si="628"/>
        <v/>
      </c>
      <c r="FN103" s="9" t="str">
        <f t="shared" si="629"/>
        <v/>
      </c>
      <c r="FO103" s="10" t="str">
        <f t="shared" si="563"/>
        <v/>
      </c>
      <c r="FP103" s="277" t="str">
        <f t="shared" si="630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4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5"/>
        <v/>
      </c>
      <c r="GH103" s="286" t="str">
        <f t="shared" si="566"/>
        <v/>
      </c>
      <c r="GI103" s="281" t="str">
        <f t="shared" si="567"/>
        <v/>
      </c>
      <c r="GJ103" s="167" t="str">
        <f t="shared" si="718"/>
        <v/>
      </c>
      <c r="GK103" s="174" t="str">
        <f t="shared" si="568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9"/>
        <v/>
      </c>
      <c r="GT103" s="343" t="str">
        <f t="shared" si="570"/>
        <v/>
      </c>
      <c r="GU103" s="344" t="str">
        <f t="shared" si="571"/>
        <v/>
      </c>
      <c r="GV103" s="343" t="str">
        <f t="shared" si="726"/>
        <v/>
      </c>
      <c r="GW103" s="345" t="str">
        <f t="shared" si="572"/>
        <v/>
      </c>
      <c r="GX103" s="346" t="str">
        <f t="shared" si="573"/>
        <v/>
      </c>
      <c r="GY103" s="344" t="str">
        <f t="shared" si="574"/>
        <v/>
      </c>
      <c r="GZ103" s="345" t="str">
        <f t="shared" si="575"/>
        <v/>
      </c>
      <c r="HA103" s="342" t="str">
        <f t="shared" si="576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7"/>
        <v/>
      </c>
      <c r="HF103" s="5" t="str">
        <f t="shared" si="578"/>
        <v/>
      </c>
      <c r="HG103" s="343" t="str">
        <f t="shared" si="730"/>
        <v/>
      </c>
      <c r="HH103" s="349" t="str">
        <f t="shared" si="731"/>
        <v/>
      </c>
      <c r="HI103" s="317" t="str">
        <f t="shared" si="579"/>
        <v/>
      </c>
      <c r="HK103" s="310" t="str">
        <f t="shared" si="631"/>
        <v/>
      </c>
      <c r="HL103" s="348" t="str">
        <f t="shared" si="580"/>
        <v/>
      </c>
      <c r="HM103" s="909" t="str">
        <f t="shared" si="581"/>
        <v/>
      </c>
      <c r="HN103" s="910" t="str">
        <f t="shared" si="582"/>
        <v/>
      </c>
      <c r="HO103" s="911"/>
      <c r="HP103" s="912"/>
      <c r="HQ103" s="910" t="str">
        <f t="shared" si="583"/>
        <v/>
      </c>
      <c r="HR103" s="913" t="str">
        <f t="shared" si="584"/>
        <v/>
      </c>
      <c r="HS103" s="865" t="str">
        <f t="shared" si="632"/>
        <v/>
      </c>
      <c r="HT103" s="875" t="str">
        <f t="shared" si="585"/>
        <v/>
      </c>
      <c r="HU103" s="876" t="str">
        <f t="shared" si="586"/>
        <v/>
      </c>
      <c r="HV103" s="872" t="str">
        <f t="shared" si="587"/>
        <v/>
      </c>
      <c r="HW103" s="866" t="str">
        <f t="shared" si="588"/>
        <v/>
      </c>
      <c r="HX103" s="867" t="str">
        <f t="shared" si="589"/>
        <v/>
      </c>
      <c r="HY103" s="866" t="str">
        <f t="shared" si="590"/>
        <v/>
      </c>
      <c r="HZ103" s="868" t="str">
        <f t="shared" si="591"/>
        <v/>
      </c>
      <c r="IA103" s="869" t="str">
        <f t="shared" si="592"/>
        <v/>
      </c>
      <c r="IB103" s="870" t="str">
        <f t="shared" si="593"/>
        <v/>
      </c>
      <c r="IC103" s="841" t="str">
        <f t="shared" si="594"/>
        <v/>
      </c>
      <c r="ID103" s="351" t="str">
        <f t="shared" si="595"/>
        <v/>
      </c>
      <c r="IE103" s="843" t="str">
        <f t="shared" si="596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2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7"/>
        <v/>
      </c>
      <c r="IM103" s="482" t="str">
        <f t="shared" si="733"/>
        <v/>
      </c>
      <c r="IN103" s="670" t="str">
        <f t="shared" si="598"/>
        <v/>
      </c>
      <c r="IO103" s="702"/>
      <c r="IP103" s="5" t="str">
        <f t="shared" si="599"/>
        <v/>
      </c>
      <c r="IQ103" s="714"/>
      <c r="IR103" s="9" t="str">
        <f t="shared" si="600"/>
        <v/>
      </c>
      <c r="IS103" s="5" t="str">
        <f t="shared" si="601"/>
        <v/>
      </c>
      <c r="IT103" s="5" t="str">
        <f t="shared" si="602"/>
        <v/>
      </c>
      <c r="IU103" s="5" t="str">
        <f t="shared" si="603"/>
        <v/>
      </c>
      <c r="IV103" s="670" t="str">
        <f t="shared" si="604"/>
        <v/>
      </c>
      <c r="IW103" s="9" t="str">
        <f t="shared" si="605"/>
        <v/>
      </c>
      <c r="IX103" s="5" t="str">
        <f t="shared" si="606"/>
        <v/>
      </c>
      <c r="IY103" s="5" t="str">
        <f t="shared" si="607"/>
        <v/>
      </c>
      <c r="IZ103" s="5" t="str">
        <f t="shared" si="608"/>
        <v/>
      </c>
      <c r="JA103" s="705" t="str">
        <f t="shared" si="609"/>
        <v/>
      </c>
    </row>
    <row r="104" spans="1:261" ht="15" customHeight="1" x14ac:dyDescent="0.25">
      <c r="A104" s="75" t="str">
        <f t="shared" si="516"/>
        <v/>
      </c>
      <c r="B104" s="578" t="str">
        <f t="shared" si="517"/>
        <v/>
      </c>
      <c r="C104" s="572" t="str">
        <f t="shared" si="518"/>
        <v/>
      </c>
      <c r="D104" s="576" t="str">
        <f t="shared" si="519"/>
        <v/>
      </c>
      <c r="E104" s="580" t="str">
        <f t="shared" si="520"/>
        <v/>
      </c>
      <c r="F104" s="572" t="str">
        <f t="shared" si="521"/>
        <v/>
      </c>
      <c r="G104" s="579" t="str">
        <f t="shared" si="522"/>
        <v/>
      </c>
      <c r="H104" s="580" t="str">
        <f t="shared" si="523"/>
        <v/>
      </c>
      <c r="I104" s="572" t="str">
        <f t="shared" si="524"/>
        <v/>
      </c>
      <c r="J104" s="483" t="str">
        <f t="shared" si="525"/>
        <v/>
      </c>
      <c r="K104" s="806" t="str">
        <f t="shared" si="526"/>
        <v/>
      </c>
      <c r="L104" s="309"/>
      <c r="M104" s="164" t="str">
        <f t="shared" si="527"/>
        <v/>
      </c>
      <c r="N104" s="575" t="str">
        <f t="shared" si="528"/>
        <v/>
      </c>
      <c r="O104" s="572" t="str">
        <f t="shared" si="529"/>
        <v/>
      </c>
      <c r="P104" s="576" t="str">
        <f t="shared" si="530"/>
        <v/>
      </c>
      <c r="Q104" s="528" t="str">
        <f t="shared" si="610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6"/>
        <v/>
      </c>
      <c r="X104" s="572" t="str">
        <f t="shared" si="105"/>
        <v/>
      </c>
      <c r="Y104" s="573" t="str">
        <f t="shared" si="734"/>
        <v/>
      </c>
      <c r="Z104" s="575" t="str">
        <f t="shared" si="531"/>
        <v/>
      </c>
      <c r="AA104" s="572" t="str">
        <f t="shared" si="532"/>
        <v/>
      </c>
      <c r="AB104" s="572" t="str">
        <f t="shared" si="533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15"/>
        <v/>
      </c>
      <c r="AP104" s="528" t="str">
        <f t="shared" si="117"/>
        <v/>
      </c>
      <c r="AQ104" s="529" t="str">
        <f t="shared" si="534"/>
        <v/>
      </c>
      <c r="AS104" s="932" t="str">
        <f t="shared" si="633"/>
        <v/>
      </c>
      <c r="AT104" s="928" t="str">
        <f t="shared" si="535"/>
        <v/>
      </c>
      <c r="AU104" s="418"/>
      <c r="AV104" s="164" t="str">
        <f t="shared" si="536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4"/>
        <v/>
      </c>
      <c r="BA104" s="296" t="str">
        <f t="shared" si="537"/>
        <v/>
      </c>
      <c r="BB104" s="177" t="str">
        <f t="shared" si="611"/>
        <v/>
      </c>
      <c r="BC104" s="9"/>
      <c r="BD104" s="5" t="str">
        <f t="shared" si="612"/>
        <v/>
      </c>
      <c r="BE104" s="6" t="str">
        <f t="shared" si="538"/>
        <v/>
      </c>
      <c r="BF104" s="4" t="str">
        <f t="shared" si="539"/>
        <v/>
      </c>
      <c r="BG104" s="5" t="str">
        <f t="shared" si="540"/>
        <v/>
      </c>
      <c r="BH104" s="10" t="str">
        <f t="shared" si="541"/>
        <v/>
      </c>
      <c r="BI104" s="9" t="str">
        <f t="shared" si="635"/>
        <v/>
      </c>
      <c r="BJ104" s="5" t="str">
        <f t="shared" si="542"/>
        <v/>
      </c>
      <c r="BK104" s="8" t="str">
        <f t="shared" si="543"/>
        <v/>
      </c>
      <c r="BL104" s="173" t="str">
        <f t="shared" si="544"/>
        <v/>
      </c>
      <c r="BM104" s="5" t="str">
        <f t="shared" si="545"/>
        <v/>
      </c>
      <c r="BN104" s="6" t="str">
        <f t="shared" si="546"/>
        <v/>
      </c>
      <c r="BO104" s="4" t="str">
        <f t="shared" si="636"/>
        <v/>
      </c>
      <c r="BP104" s="5" t="str">
        <f t="shared" si="735"/>
        <v/>
      </c>
      <c r="BQ104" s="5" t="str">
        <f t="shared" si="637"/>
        <v/>
      </c>
      <c r="BR104" s="6" t="str">
        <f t="shared" si="638"/>
        <v/>
      </c>
      <c r="BS104" s="4" t="str">
        <f t="shared" si="613"/>
        <v/>
      </c>
      <c r="BT104" s="5" t="str">
        <f t="shared" si="613"/>
        <v/>
      </c>
      <c r="BU104" s="10" t="str">
        <f t="shared" si="614"/>
        <v/>
      </c>
      <c r="BV104" s="9" t="str">
        <f t="shared" si="615"/>
        <v/>
      </c>
      <c r="BW104" s="5" t="str">
        <f t="shared" si="616"/>
        <v/>
      </c>
      <c r="BX104" s="8" t="str">
        <f t="shared" si="617"/>
        <v/>
      </c>
      <c r="BY104" s="173" t="str">
        <f t="shared" si="618"/>
        <v/>
      </c>
      <c r="BZ104" s="5" t="str">
        <f t="shared" si="619"/>
        <v/>
      </c>
      <c r="CA104" s="6" t="str">
        <f t="shared" si="620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1"/>
        <v/>
      </c>
      <c r="CJ104" s="5" t="str">
        <f t="shared" si="622"/>
        <v/>
      </c>
      <c r="CK104" s="8" t="str">
        <f t="shared" si="623"/>
        <v/>
      </c>
      <c r="CL104" s="173" t="str">
        <f t="shared" si="624"/>
        <v/>
      </c>
      <c r="CM104" s="5" t="str">
        <f t="shared" si="625"/>
        <v/>
      </c>
      <c r="CN104" s="6" t="str">
        <f t="shared" si="626"/>
        <v/>
      </c>
      <c r="CO104" s="167" t="str">
        <f t="shared" si="547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8"/>
        <v/>
      </c>
      <c r="ET104" s="5" t="str">
        <f t="shared" si="549"/>
        <v/>
      </c>
      <c r="EU104" s="10" t="str">
        <f t="shared" si="550"/>
        <v/>
      </c>
      <c r="EV104" s="174" t="str">
        <f t="shared" si="551"/>
        <v/>
      </c>
      <c r="EW104" s="9" t="str">
        <f t="shared" si="552"/>
        <v/>
      </c>
      <c r="EX104" s="5" t="str">
        <f t="shared" si="553"/>
        <v/>
      </c>
      <c r="EY104" s="6" t="str">
        <f t="shared" si="699"/>
        <v/>
      </c>
      <c r="EZ104" s="51" t="str">
        <f t="shared" si="700"/>
        <v/>
      </c>
      <c r="FA104" s="173" t="str">
        <f t="shared" si="554"/>
        <v/>
      </c>
      <c r="FB104" s="5" t="str">
        <f t="shared" si="555"/>
        <v/>
      </c>
      <c r="FC104" s="6" t="str">
        <f t="shared" si="556"/>
        <v/>
      </c>
      <c r="FD104" s="4" t="str">
        <f t="shared" si="557"/>
        <v/>
      </c>
      <c r="FE104" s="5" t="str">
        <f t="shared" si="558"/>
        <v/>
      </c>
      <c r="FF104" s="7" t="str">
        <f t="shared" si="701"/>
        <v/>
      </c>
      <c r="FG104" s="173" t="str">
        <f t="shared" si="559"/>
        <v/>
      </c>
      <c r="FH104" s="5" t="str">
        <f t="shared" si="560"/>
        <v/>
      </c>
      <c r="FI104" s="10" t="str">
        <f t="shared" si="561"/>
        <v/>
      </c>
      <c r="FJ104" s="279" t="str">
        <f t="shared" si="702"/>
        <v/>
      </c>
      <c r="FK104" s="4" t="str">
        <f t="shared" si="562"/>
        <v/>
      </c>
      <c r="FL104" s="5" t="str">
        <f t="shared" si="627"/>
        <v/>
      </c>
      <c r="FM104" s="8" t="str">
        <f t="shared" si="628"/>
        <v/>
      </c>
      <c r="FN104" s="9" t="str">
        <f t="shared" si="629"/>
        <v/>
      </c>
      <c r="FO104" s="10" t="str">
        <f t="shared" si="563"/>
        <v/>
      </c>
      <c r="FP104" s="277" t="str">
        <f t="shared" si="630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4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5"/>
        <v/>
      </c>
      <c r="GH104" s="286" t="str">
        <f t="shared" si="566"/>
        <v/>
      </c>
      <c r="GI104" s="281" t="str">
        <f t="shared" si="567"/>
        <v/>
      </c>
      <c r="GJ104" s="167" t="str">
        <f t="shared" si="718"/>
        <v/>
      </c>
      <c r="GK104" s="174" t="str">
        <f t="shared" si="568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9"/>
        <v/>
      </c>
      <c r="GT104" s="343" t="str">
        <f t="shared" si="570"/>
        <v/>
      </c>
      <c r="GU104" s="344" t="str">
        <f t="shared" si="571"/>
        <v/>
      </c>
      <c r="GV104" s="343" t="str">
        <f t="shared" si="726"/>
        <v/>
      </c>
      <c r="GW104" s="345" t="str">
        <f t="shared" si="572"/>
        <v/>
      </c>
      <c r="GX104" s="346" t="str">
        <f t="shared" si="573"/>
        <v/>
      </c>
      <c r="GY104" s="344" t="str">
        <f t="shared" si="574"/>
        <v/>
      </c>
      <c r="GZ104" s="345" t="str">
        <f t="shared" si="575"/>
        <v/>
      </c>
      <c r="HA104" s="342" t="str">
        <f t="shared" si="576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7"/>
        <v/>
      </c>
      <c r="HF104" s="5" t="str">
        <f t="shared" si="578"/>
        <v/>
      </c>
      <c r="HG104" s="343" t="str">
        <f t="shared" si="730"/>
        <v/>
      </c>
      <c r="HH104" s="349" t="str">
        <f t="shared" si="731"/>
        <v/>
      </c>
      <c r="HI104" s="317" t="str">
        <f t="shared" si="579"/>
        <v/>
      </c>
      <c r="HK104" s="310" t="str">
        <f t="shared" si="631"/>
        <v/>
      </c>
      <c r="HL104" s="348" t="str">
        <f t="shared" si="580"/>
        <v/>
      </c>
      <c r="HM104" s="909" t="str">
        <f t="shared" si="581"/>
        <v/>
      </c>
      <c r="HN104" s="910" t="str">
        <f t="shared" si="582"/>
        <v/>
      </c>
      <c r="HO104" s="911"/>
      <c r="HP104" s="912"/>
      <c r="HQ104" s="910" t="str">
        <f t="shared" si="583"/>
        <v/>
      </c>
      <c r="HR104" s="913" t="str">
        <f t="shared" si="584"/>
        <v/>
      </c>
      <c r="HS104" s="865" t="str">
        <f t="shared" si="632"/>
        <v/>
      </c>
      <c r="HT104" s="875" t="str">
        <f t="shared" si="585"/>
        <v/>
      </c>
      <c r="HU104" s="876" t="str">
        <f t="shared" si="586"/>
        <v/>
      </c>
      <c r="HV104" s="872" t="str">
        <f t="shared" si="587"/>
        <v/>
      </c>
      <c r="HW104" s="866" t="str">
        <f t="shared" si="588"/>
        <v/>
      </c>
      <c r="HX104" s="867" t="str">
        <f t="shared" si="589"/>
        <v/>
      </c>
      <c r="HY104" s="866" t="str">
        <f t="shared" si="590"/>
        <v/>
      </c>
      <c r="HZ104" s="868" t="str">
        <f t="shared" si="591"/>
        <v/>
      </c>
      <c r="IA104" s="869" t="str">
        <f t="shared" si="592"/>
        <v/>
      </c>
      <c r="IB104" s="870" t="str">
        <f t="shared" si="593"/>
        <v/>
      </c>
      <c r="IC104" s="841" t="str">
        <f t="shared" si="594"/>
        <v/>
      </c>
      <c r="ID104" s="351" t="str">
        <f t="shared" si="595"/>
        <v/>
      </c>
      <c r="IE104" s="843" t="str">
        <f t="shared" si="596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2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7"/>
        <v/>
      </c>
      <c r="IM104" s="482" t="str">
        <f t="shared" si="733"/>
        <v/>
      </c>
      <c r="IN104" s="670" t="str">
        <f t="shared" si="598"/>
        <v/>
      </c>
      <c r="IO104" s="702"/>
      <c r="IP104" s="5" t="str">
        <f t="shared" si="599"/>
        <v/>
      </c>
      <c r="IQ104" s="714"/>
      <c r="IR104" s="9" t="str">
        <f t="shared" si="600"/>
        <v/>
      </c>
      <c r="IS104" s="5" t="str">
        <f t="shared" si="601"/>
        <v/>
      </c>
      <c r="IT104" s="5" t="str">
        <f t="shared" si="602"/>
        <v/>
      </c>
      <c r="IU104" s="5" t="str">
        <f t="shared" si="603"/>
        <v/>
      </c>
      <c r="IV104" s="670" t="str">
        <f t="shared" si="604"/>
        <v/>
      </c>
      <c r="IW104" s="9" t="str">
        <f t="shared" si="605"/>
        <v/>
      </c>
      <c r="IX104" s="5" t="str">
        <f t="shared" si="606"/>
        <v/>
      </c>
      <c r="IY104" s="5" t="str">
        <f t="shared" si="607"/>
        <v/>
      </c>
      <c r="IZ104" s="5" t="str">
        <f t="shared" si="608"/>
        <v/>
      </c>
      <c r="JA104" s="705" t="str">
        <f t="shared" si="609"/>
        <v/>
      </c>
    </row>
    <row r="105" spans="1:261" ht="15" customHeight="1" x14ac:dyDescent="0.25">
      <c r="A105" s="75" t="str">
        <f t="shared" ref="A105:A136" si="737">IF($K105="","",IF(AND($A$8="Y",ISNUMBER($K105)),$A$5,0))</f>
        <v/>
      </c>
      <c r="B105" s="578" t="str">
        <f t="shared" ref="B105:B136" si="738">IFERROR(Q260+($A105*-E105),"")</f>
        <v/>
      </c>
      <c r="C105" s="572" t="str">
        <f t="shared" ref="C105:C136" si="739">IFERROR(R260+($A105*-F105),"")</f>
        <v/>
      </c>
      <c r="D105" s="576" t="str">
        <f t="shared" ref="D105:D136" si="740">IFERROR(S260+($A105*-G105),"")</f>
        <v/>
      </c>
      <c r="E105" s="580" t="str">
        <f t="shared" ref="E105:E136" si="741">T260</f>
        <v/>
      </c>
      <c r="F105" s="572" t="str">
        <f t="shared" ref="F105:F136" si="742">U260</f>
        <v/>
      </c>
      <c r="G105" s="579" t="str">
        <f t="shared" ref="G105:G136" si="743">V260</f>
        <v/>
      </c>
      <c r="H105" s="580" t="str">
        <f t="shared" ref="H105:H136" si="744">W260</f>
        <v/>
      </c>
      <c r="I105" s="572" t="str">
        <f t="shared" ref="I105:I136" si="745">X260</f>
        <v/>
      </c>
      <c r="J105" s="483" t="str">
        <f t="shared" ref="J105:J136" si="746">IF(Y260=0,"",Y260)</f>
        <v/>
      </c>
      <c r="K105" s="806" t="str">
        <f t="shared" ref="K105:K136" si="747">Z260</f>
        <v/>
      </c>
      <c r="L105" s="309"/>
      <c r="M105" s="164" t="str">
        <f t="shared" ref="M105:M136" si="748">IF(J105="","",VALUE(J105))</f>
        <v/>
      </c>
      <c r="N105" s="575" t="str">
        <f t="shared" ref="N105:N136" si="749">IF(M105="","",B105)</f>
        <v/>
      </c>
      <c r="O105" s="572" t="str">
        <f t="shared" ref="O105:O136" si="750">IF(M105="","",C105)</f>
        <v/>
      </c>
      <c r="P105" s="576" t="str">
        <f t="shared" ref="P105:P136" si="751">IF(M105="","",D105)</f>
        <v/>
      </c>
      <c r="Q105" s="528" t="str">
        <f t="shared" si="610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6"/>
        <v/>
      </c>
      <c r="X105" s="572" t="str">
        <f t="shared" si="105"/>
        <v/>
      </c>
      <c r="Y105" s="573" t="str">
        <f t="shared" si="734"/>
        <v/>
      </c>
      <c r="Z105" s="575" t="str">
        <f t="shared" ref="Z105:Z136" si="752">IF(M105="","",-E105)</f>
        <v/>
      </c>
      <c r="AA105" s="572" t="str">
        <f t="shared" ref="AA105:AA136" si="753">IF(M105="","",-F105)</f>
        <v/>
      </c>
      <c r="AB105" s="572" t="str">
        <f t="shared" ref="AB105:AB136" si="754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15"/>
        <v/>
      </c>
      <c r="AP105" s="528" t="str">
        <f t="shared" si="117"/>
        <v/>
      </c>
      <c r="AQ105" s="529" t="str">
        <f t="shared" ref="AQ105:AQ136" si="755">IF(M105="","",DEGREES(ATAN(($AS$5*SIN(RADIANS(90)))/(($X105*2*PI())-($AS$5*COS(RADIANS(90)))))))</f>
        <v/>
      </c>
      <c r="AS105" s="932" t="str">
        <f t="shared" si="633"/>
        <v/>
      </c>
      <c r="AT105" s="928" t="str">
        <f t="shared" ref="AT105:AT136" si="756">IF(M105="","",Y105+(((AS105-$AS$9)*$AS$6)*-1))</f>
        <v/>
      </c>
      <c r="AU105" s="418"/>
      <c r="AV105" s="164" t="str">
        <f t="shared" ref="AV105:AV136" si="757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4"/>
        <v/>
      </c>
      <c r="BA105" s="296" t="str">
        <f t="shared" ref="BA105:BA129" si="758">IF(ISNUMBER(AV105),AZ105/$AZ$151,"")</f>
        <v/>
      </c>
      <c r="BB105" s="177" t="str">
        <f t="shared" si="611"/>
        <v/>
      </c>
      <c r="BC105" s="9"/>
      <c r="BD105" s="5" t="str">
        <f t="shared" si="612"/>
        <v/>
      </c>
      <c r="BE105" s="6" t="str">
        <f t="shared" ref="BE105:BE136" si="759">IF(ISNUMBER(AV105),Y105+BB105,"")</f>
        <v/>
      </c>
      <c r="BF105" s="4" t="str">
        <f t="shared" ref="BF105:BF136" si="760">IF(ISNUMBER($AV105),N105,"")</f>
        <v/>
      </c>
      <c r="BG105" s="5" t="str">
        <f t="shared" ref="BG105:BG136" si="761">IF(ISNUMBER($AV105),O105,"")</f>
        <v/>
      </c>
      <c r="BH105" s="10" t="str">
        <f t="shared" ref="BH105:BH136" si="762">IF(ISNUMBER($AV105),P105,"")</f>
        <v/>
      </c>
      <c r="BI105" s="9" t="str">
        <f t="shared" si="635"/>
        <v/>
      </c>
      <c r="BJ105" s="5" t="str">
        <f t="shared" ref="BJ105:BJ136" si="763">IF(ISNUMBER($AV105),BG105+COS(RADIANS($AG105)),"")</f>
        <v/>
      </c>
      <c r="BK105" s="8" t="str">
        <f t="shared" ref="BK105:BK136" si="764">IF(ISNUMBER($AV105),BH105+SIN(RADIANS($AG105)),"")</f>
        <v/>
      </c>
      <c r="BL105" s="173" t="str">
        <f t="shared" ref="BL105:BL136" si="765">IF(ISNUMBER($AV105),BF105+SIN(RADIANS($AH105)),"")</f>
        <v/>
      </c>
      <c r="BM105" s="5" t="str">
        <f t="shared" ref="BM105:BM136" si="766">IF(ISNUMBER($AV105),BG105-SIN(RADIANS($AG105))*COS(RADIANS($AH105)),"")</f>
        <v/>
      </c>
      <c r="BN105" s="6" t="str">
        <f t="shared" ref="BN105:BN136" si="767">IF(ISNUMBER($AV105),BH105+COS(RADIANS($AG105))*COS(RADIANS($AH105)),"")</f>
        <v/>
      </c>
      <c r="BO105" s="4" t="str">
        <f t="shared" si="636"/>
        <v/>
      </c>
      <c r="BP105" s="5" t="str">
        <f t="shared" si="735"/>
        <v/>
      </c>
      <c r="BQ105" s="5" t="str">
        <f t="shared" si="637"/>
        <v/>
      </c>
      <c r="BR105" s="6" t="str">
        <f t="shared" si="638"/>
        <v/>
      </c>
      <c r="BS105" s="4" t="str">
        <f t="shared" si="613"/>
        <v/>
      </c>
      <c r="BT105" s="5" t="str">
        <f t="shared" si="613"/>
        <v/>
      </c>
      <c r="BU105" s="10" t="str">
        <f t="shared" si="614"/>
        <v/>
      </c>
      <c r="BV105" s="9" t="str">
        <f t="shared" si="615"/>
        <v/>
      </c>
      <c r="BW105" s="5" t="str">
        <f t="shared" si="616"/>
        <v/>
      </c>
      <c r="BX105" s="8" t="str">
        <f t="shared" si="617"/>
        <v/>
      </c>
      <c r="BY105" s="173" t="str">
        <f t="shared" si="618"/>
        <v/>
      </c>
      <c r="BZ105" s="5" t="str">
        <f t="shared" si="619"/>
        <v/>
      </c>
      <c r="CA105" s="6" t="str">
        <f t="shared" si="620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1"/>
        <v/>
      </c>
      <c r="CJ105" s="5" t="str">
        <f t="shared" si="622"/>
        <v/>
      </c>
      <c r="CK105" s="8" t="str">
        <f t="shared" si="623"/>
        <v/>
      </c>
      <c r="CL105" s="173" t="str">
        <f t="shared" si="624"/>
        <v/>
      </c>
      <c r="CM105" s="5" t="str">
        <f t="shared" si="625"/>
        <v/>
      </c>
      <c r="CN105" s="6" t="str">
        <f t="shared" si="626"/>
        <v/>
      </c>
      <c r="CO105" s="167" t="str">
        <f t="shared" ref="CO105:CO136" si="768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9">IF(ISNUMBER($AV105),AD105,"")</f>
        <v/>
      </c>
      <c r="ET105" s="5" t="str">
        <f t="shared" ref="ET105:ET136" si="770">IF(ISNUMBER($AV105),AE105,"")</f>
        <v/>
      </c>
      <c r="EU105" s="10" t="str">
        <f t="shared" ref="EU105:EU136" si="771">IF(ISNUMBER($AV105),AF105,"")</f>
        <v/>
      </c>
      <c r="EV105" s="174" t="str">
        <f t="shared" ref="EV105:EV129" si="772">IF(ISNUMBER($AV105),IF(($EV$1-EP105)&lt;0,(360+($EV$1-EP105)),($EV$1-EP105)),"")</f>
        <v/>
      </c>
      <c r="EW105" s="9" t="str">
        <f t="shared" ref="EW105:EW129" si="773">IF(ISNUMBER($AV105),(COS(RADIANS($EV105))*ES105)+(-SIN(RADIANS($EV105))*ET105),"")</f>
        <v/>
      </c>
      <c r="EX105" s="5" t="str">
        <f t="shared" ref="EX105:EX129" si="774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5">IF(ISNUMBER($AV105),SIN(RADIANS($EP105))*COS(RADIANS($EZ105)),"")</f>
        <v/>
      </c>
      <c r="FB105" s="5" t="str">
        <f t="shared" ref="FB105:FB150" si="776">IF(ISNUMBER($AV105),-1*COS(RADIANS($EP105))*COS(RADIANS($EZ105)),"")</f>
        <v/>
      </c>
      <c r="FC105" s="6" t="str">
        <f t="shared" ref="FC105:FC150" si="777">IF(ISNUMBER($AV105),-1*SIN(RADIANS($EZ105)),"")</f>
        <v/>
      </c>
      <c r="FD105" s="4" t="str">
        <f t="shared" ref="FD105:FD129" si="778">IF(ISNUMBER($AV105),(COS(RADIANS($EV105))*FA105)+(-SIN(RADIANS($EV105))*FB105),"")</f>
        <v/>
      </c>
      <c r="FE105" s="5" t="str">
        <f t="shared" ref="FE105:FE129" si="779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80">IF(ISNUMBER($AV105),EW105-FD105,"")</f>
        <v/>
      </c>
      <c r="FH105" s="5" t="str">
        <f t="shared" ref="FH105:FH129" si="781">IF(ISNUMBER($AV105),EX105-FE105,"")</f>
        <v/>
      </c>
      <c r="FI105" s="10" t="str">
        <f t="shared" ref="FI105:FI129" si="782">IF(ISNUMBER($AV105),EY105-FF105,"")</f>
        <v/>
      </c>
      <c r="FJ105" s="279" t="str">
        <f t="shared" si="702"/>
        <v/>
      </c>
      <c r="FK105" s="4" t="str">
        <f t="shared" ref="FK105:FK129" si="783">IF(ISNUMBER($AV105),SQRT(ES105^2+ET105^2),"")</f>
        <v/>
      </c>
      <c r="FL105" s="5" t="str">
        <f t="shared" si="627"/>
        <v/>
      </c>
      <c r="FM105" s="8" t="str">
        <f t="shared" si="628"/>
        <v/>
      </c>
      <c r="FN105" s="9" t="str">
        <f t="shared" si="629"/>
        <v/>
      </c>
      <c r="FO105" s="10" t="str">
        <f t="shared" ref="FO105:FO129" si="784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30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5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6">IF(ISNUMBER($AV105),ABS(GB105)/(ABS($GB105)+ABS($GC105)+ABS($GD105)),"")</f>
        <v/>
      </c>
      <c r="GH105" s="286" t="str">
        <f t="shared" ref="GH105:GH129" si="787">IF(ISNUMBER($AV105),ABS(GC105)/(ABS($GB105)+ABS($GC105)+ABS($GD105)),"")</f>
        <v/>
      </c>
      <c r="GI105" s="281" t="str">
        <f t="shared" ref="GI105:GI129" si="788">IF(ISNUMBER($AV105),ABS(GD105)/(ABS($GB105)+ABS($GC105)+ABS($GD105)),"")</f>
        <v/>
      </c>
      <c r="GJ105" s="167" t="str">
        <f t="shared" si="718"/>
        <v/>
      </c>
      <c r="GK105" s="174" t="str">
        <f t="shared" ref="GK105:GK150" si="789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90">IF(ISNUMBER($AV105),GU105/GH105*GG105,"")</f>
        <v/>
      </c>
      <c r="GT105" s="343" t="str">
        <f t="shared" ref="GT105:GT129" si="791">IF(ISNUMBER($AV105),GS105/$GK105,"")</f>
        <v/>
      </c>
      <c r="GU105" s="344" t="str">
        <f t="shared" ref="GU105:GU150" si="792">IF(ISNUMBER($AV105),$GV105*$GK105,"")</f>
        <v/>
      </c>
      <c r="GV105" s="343" t="str">
        <f t="shared" si="726"/>
        <v/>
      </c>
      <c r="GW105" s="345" t="str">
        <f t="shared" ref="GW105:GW150" si="793">IF(ISNUMBER($AV105),$GW$2,"")</f>
        <v/>
      </c>
      <c r="GX105" s="346" t="str">
        <f t="shared" ref="GX105:GX150" si="794">IF(ISNUMBER($AV105),($GJ105/12)*$GV105,"")</f>
        <v/>
      </c>
      <c r="GY105" s="344" t="str">
        <f t="shared" ref="GY105:GY129" si="795">IF(ISNUMBER($AV105),GU105/GH105*GI105,"")</f>
        <v/>
      </c>
      <c r="GZ105" s="345" t="str">
        <f t="shared" ref="GZ105:GZ129" si="796">IF(ISNUMBER($AV105),GY105/$GK105,"")</f>
        <v/>
      </c>
      <c r="HA105" s="342" t="str">
        <f t="shared" ref="HA105:HA150" si="797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8">IF(ISNUMBER($AV105),$FY105*$GV105,"")</f>
        <v/>
      </c>
      <c r="HF105" s="5" t="str">
        <f t="shared" ref="HF105:HF150" si="799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800">IF(ISNUMBER($AV105),$M105,"")</f>
        <v/>
      </c>
      <c r="HK105" s="310" t="str">
        <f t="shared" si="631"/>
        <v/>
      </c>
      <c r="HL105" s="348" t="str">
        <f t="shared" ref="HL105:HL136" si="801">IF(ISNUMBER($HS105),INDEX(HI$9:HI$150,MATCH($HS105,$GJ$9:$GJ$150,0)),"")</f>
        <v/>
      </c>
      <c r="HM105" s="909" t="str">
        <f t="shared" ref="HM105:HM136" si="802">IF(ISNUMBER($HL105),INDEX(GO$9:GO$150,MATCH($HL105,$AV$9:$AV$150,0)),"")</f>
        <v/>
      </c>
      <c r="HN105" s="910" t="str">
        <f t="shared" ref="HN105:HN136" si="803">IF(ISNUMBER($HL105),INDEX(AO$9:AO$150,MATCH($HL105,$AV$9:$AV$150,0)),"")</f>
        <v/>
      </c>
      <c r="HO105" s="911"/>
      <c r="HP105" s="912"/>
      <c r="HQ105" s="910" t="str">
        <f t="shared" ref="HQ105:HQ136" si="804">IF(ISNUMBER($HL105),INDEX(GQ$9:GQ$150,MATCH($HL105,$AV$9:$AV$150,0)),"")</f>
        <v/>
      </c>
      <c r="HR105" s="913" t="str">
        <f t="shared" ref="HR105:HR136" si="805">IF(ISNUMBER($HL105),INDEX(GP$9:GP$150,MATCH($HL105,$AV$9:$AV$150,0)),"")</f>
        <v/>
      </c>
      <c r="HS105" s="865" t="str">
        <f t="shared" si="632"/>
        <v/>
      </c>
      <c r="HT105" s="875" t="str">
        <f t="shared" ref="HT105:HT136" si="806">IF(ISNUMBER($HL105),INDEX(GL$9:GL$150,MATCH($HL105,$AV$9:$AV$150,0)),"")</f>
        <v/>
      </c>
      <c r="HU105" s="876" t="str">
        <f t="shared" ref="HU105:HU136" si="807">IF(ISNUMBER($HL105),INDEX(GM$9:GM$150,MATCH($HL105,$AV$9:$AV$150,0)),"")</f>
        <v/>
      </c>
      <c r="HV105" s="872" t="str">
        <f t="shared" ref="HV105:HV136" si="808">IF(ISNUMBER($HL105),INDEX(GN$9:GN$150,MATCH($HL105,$AV$9:$AV$150,0)),"")</f>
        <v/>
      </c>
      <c r="HW105" s="866" t="str">
        <f t="shared" ref="HW105:HW136" si="809">IF(ISNUMBER($HL105),INDEX(GW$9:GW$150,MATCH($HL105,$AV$9:$AV$150,0)),"")</f>
        <v/>
      </c>
      <c r="HX105" s="867" t="str">
        <f t="shared" ref="HX105:HX136" si="810">IF(ISNUMBER($HL105),INDEX(GX$9:GX$150,MATCH($HL105,$AV$9:$AV$150,0)),"")</f>
        <v/>
      </c>
      <c r="HY105" s="866" t="str">
        <f t="shared" ref="HY105:HY136" si="811">IF(ISNUMBER($HL105),INDEX(GS$9:GS$150,MATCH($HL105,$AV$9:$AV$150,0)),"")</f>
        <v/>
      </c>
      <c r="HZ105" s="868" t="str">
        <f t="shared" ref="HZ105:HZ136" si="812">IF(ISNUMBER($HL105),INDEX(GU$9:GU$150,MATCH($HL105,$AV$9:$AV$150,0)),"")</f>
        <v/>
      </c>
      <c r="IA105" s="869" t="str">
        <f t="shared" ref="IA105:IA136" si="813">IF(ISNUMBER($HL105),INDEX(GY$9:GY$150,MATCH($HL105,$AV$9:$AV$150,0)),"")</f>
        <v/>
      </c>
      <c r="IB105" s="870" t="str">
        <f t="shared" ref="IB105:IB136" si="814">IF(ISNUMBER($HL105),INDEX(GR$9:GR$150,MATCH($HL105,$AV$9:$AV$150,0)),"")</f>
        <v/>
      </c>
      <c r="IC105" s="841" t="str">
        <f t="shared" ref="IC105:IC136" si="815">IF(ISNUMBER($HL105),INDEX(GT$9:GT$150,MATCH($HL105,$AV$9:$AV$150,0)),"")</f>
        <v/>
      </c>
      <c r="ID105" s="351" t="str">
        <f t="shared" ref="ID105:ID136" si="816">IF(ISNUMBER($HL105),INDEX(GV$9:GV$150,MATCH($HL105,$AV$9:$AV$150,0)),"")</f>
        <v/>
      </c>
      <c r="IE105" s="843" t="str">
        <f t="shared" ref="IE105:IE136" si="817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2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18">IF(ISNUMBER($IK105),INDEX($K$9:$K$150,MATCH($IK105,$M$9:$M$150,0)),$K105)</f>
        <v/>
      </c>
      <c r="IM105" s="482" t="str">
        <f t="shared" si="733"/>
        <v/>
      </c>
      <c r="IN105" s="670" t="str">
        <f t="shared" ref="IN105:IN136" si="819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20">IF(ISNUMBER($IK105),(($IQ105*12)/60)/$AS$3,"")</f>
        <v/>
      </c>
      <c r="IQ105" s="714"/>
      <c r="IR105" s="9" t="str">
        <f t="shared" ref="IR105:IR136" si="821">IF(ISNUMBER($IK105),(INDEX($X$9:$X$150,MATCH($IK105,$M$9:$M$150,0))*-1),"")</f>
        <v/>
      </c>
      <c r="IS105" s="5" t="str">
        <f t="shared" ref="IS105:IS136" si="822">IF(ISNUMBER($IK105),INDEX($Y$9:$Y$150,MATCH($IK105,$M$9:$M$150,0)),"")</f>
        <v/>
      </c>
      <c r="IT105" s="5" t="str">
        <f t="shared" ref="IT105:IT136" si="823">IF(ISNUMBER($IK105),INDEX($H$9:$H$150,MATCH($IK105,$M$9:$M$150,0)),"")</f>
        <v/>
      </c>
      <c r="IU105" s="5" t="str">
        <f t="shared" ref="IU105:IU136" si="824">IF(ISNUMBER($IK105),$IT105*COS(RADIANS(INDEX($AO$9:$AO$150,MATCH($IK105,$M$9:$M$150,0)))),"")</f>
        <v/>
      </c>
      <c r="IV105" s="670" t="str">
        <f t="shared" ref="IV105:IV136" si="825">IF(ISNUMBER($IK105),(-1*INDEX($AN$9:$AN$150,MATCH($IK105,$M$9:$M$150,0))),"")</f>
        <v/>
      </c>
      <c r="IW105" s="9" t="str">
        <f t="shared" ref="IW105:IW136" si="826">IF(ISNUMBER($IK105),-$X105,"")</f>
        <v/>
      </c>
      <c r="IX105" s="5" t="str">
        <f t="shared" ref="IX105:IX136" si="827">IF(ISNUMBER($IK105),$Y105,"")</f>
        <v/>
      </c>
      <c r="IY105" s="5" t="str">
        <f t="shared" ref="IY105:IY136" si="828">IF(ISNUMBER($IK105),$H105,"")</f>
        <v/>
      </c>
      <c r="IZ105" s="5" t="str">
        <f t="shared" ref="IZ105:IZ136" si="829">IF(ISNUMBER($IK105),$IY105*COS(RADIANS($AO105)),"")</f>
        <v/>
      </c>
      <c r="JA105" s="705" t="str">
        <f t="shared" ref="JA105:JA136" si="830">IF(ISNUMBER($IK105),(-1*$AN105),"")</f>
        <v/>
      </c>
    </row>
    <row r="106" spans="1:261" ht="15" customHeight="1" x14ac:dyDescent="0.25">
      <c r="A106" s="75" t="str">
        <f t="shared" si="737"/>
        <v/>
      </c>
      <c r="B106" s="578" t="str">
        <f t="shared" si="738"/>
        <v/>
      </c>
      <c r="C106" s="572" t="str">
        <f t="shared" si="739"/>
        <v/>
      </c>
      <c r="D106" s="576" t="str">
        <f t="shared" si="740"/>
        <v/>
      </c>
      <c r="E106" s="580" t="str">
        <f t="shared" si="741"/>
        <v/>
      </c>
      <c r="F106" s="572" t="str">
        <f t="shared" si="742"/>
        <v/>
      </c>
      <c r="G106" s="579" t="str">
        <f t="shared" si="743"/>
        <v/>
      </c>
      <c r="H106" s="580" t="str">
        <f t="shared" si="744"/>
        <v/>
      </c>
      <c r="I106" s="572" t="str">
        <f t="shared" si="745"/>
        <v/>
      </c>
      <c r="J106" s="483" t="str">
        <f t="shared" si="746"/>
        <v/>
      </c>
      <c r="K106" s="806" t="str">
        <f t="shared" si="747"/>
        <v/>
      </c>
      <c r="L106" s="309"/>
      <c r="M106" s="164" t="str">
        <f t="shared" si="748"/>
        <v/>
      </c>
      <c r="N106" s="575" t="str">
        <f t="shared" si="749"/>
        <v/>
      </c>
      <c r="O106" s="572" t="str">
        <f t="shared" si="750"/>
        <v/>
      </c>
      <c r="P106" s="576" t="str">
        <f t="shared" si="751"/>
        <v/>
      </c>
      <c r="Q106" s="528" t="str">
        <f t="shared" si="610"/>
        <v/>
      </c>
      <c r="R106" s="572" t="str">
        <f t="shared" ref="R106:R129" si="831">IF(M106="","",SQRT(N106^2+O106^2))</f>
        <v/>
      </c>
      <c r="S106" s="577" t="str">
        <f t="shared" ref="S106:S129" si="832">IF(M106="","",P106)</f>
        <v/>
      </c>
      <c r="T106" s="578" t="str">
        <f t="shared" ref="T106:T129" si="833">IF(M106="","",X106*COS(RADIANS(W106)))</f>
        <v/>
      </c>
      <c r="U106" s="572" t="str">
        <f t="shared" ref="U106:U129" si="834">IF(M106="","",X106*SIN(RADIANS(W106)))</f>
        <v/>
      </c>
      <c r="V106" s="579" t="str">
        <f t="shared" ref="V106:V129" si="835">IF(M106="","",Y106)</f>
        <v/>
      </c>
      <c r="W106" s="528" t="str">
        <f t="shared" si="736"/>
        <v/>
      </c>
      <c r="X106" s="572" t="str">
        <f t="shared" ref="X106:X129" si="836">IF(M106="","",R106)</f>
        <v/>
      </c>
      <c r="Y106" s="573" t="str">
        <f t="shared" si="734"/>
        <v/>
      </c>
      <c r="Z106" s="575" t="str">
        <f t="shared" si="752"/>
        <v/>
      </c>
      <c r="AA106" s="572" t="str">
        <f t="shared" si="753"/>
        <v/>
      </c>
      <c r="AB106" s="572" t="str">
        <f t="shared" si="754"/>
        <v/>
      </c>
      <c r="AC106" s="579" t="str">
        <f t="shared" ref="AC106:AC129" si="837">IF(M106="","",SQRT(Z106^2+AA106^2+AB106^2))</f>
        <v/>
      </c>
      <c r="AD106" s="580" t="str">
        <f t="shared" ref="AD106:AD129" si="838">IF(M106="","",Z106*(1/SQRT(Z106^2+AA106^2+AB106^2)))</f>
        <v/>
      </c>
      <c r="AE106" s="572" t="str">
        <f t="shared" ref="AE106:AE129" si="839">IF(M106="","",AA106*(1/SQRT(Z106^2+AA106^2+AB106^2)))</f>
        <v/>
      </c>
      <c r="AF106" s="576" t="str">
        <f t="shared" ref="AF106:AF129" si="840">IF(M106="","",AB106*(1/SQRT(Z106^2+AA106^2+AB106^2)))</f>
        <v/>
      </c>
      <c r="AG106" s="545" t="str">
        <f t="shared" ref="AG106:AG129" si="841">IF(M106="","",DEGREES(ATAN2(-AF106,AE106)))</f>
        <v/>
      </c>
      <c r="AH106" s="546" t="str">
        <f t="shared" ref="AH106:AH129" si="842">IF(M106="","",DEGREES(ACOS(AD106)))</f>
        <v/>
      </c>
      <c r="AI106" s="528" t="str">
        <f t="shared" ref="AI106:AI129" si="843">IF(M106="","",DEGREES(-ACOS(-AF106)))</f>
        <v/>
      </c>
      <c r="AJ106" s="529" t="str">
        <f t="shared" ref="AJ106:AJ129" si="844">IF(M106="","",DEGREES(ATAN2(-AE106,AD106)))</f>
        <v/>
      </c>
      <c r="AK106" s="578" t="str">
        <f t="shared" ref="AK106:AK129" si="845">IF(M106="","",(COS(RADIANS((90-$Q$8)-W106))*AD106)+(-SIN(RADIANS((90-$Q$8)-W106))*AE106))</f>
        <v/>
      </c>
      <c r="AL106" s="572" t="str">
        <f t="shared" ref="AL106:AL129" si="846">IF(M106="","",(SIN(RADIANS((90-$Q$8)-W106))*AD106)+(COS(RADIANS((90-$Q$8)-W106))*AE106))</f>
        <v/>
      </c>
      <c r="AM106" s="577" t="str">
        <f t="shared" ref="AM106:AM129" si="847">IF(M106="","",AF106)</f>
        <v/>
      </c>
      <c r="AN106" s="524" t="str">
        <f t="shared" ref="AN106:AN129" si="848">IF(M106="","",DEGREES(ATAN2(-AM106,AL106)))</f>
        <v/>
      </c>
      <c r="AO106" s="525" t="str">
        <f t="shared" si="515"/>
        <v/>
      </c>
      <c r="AP106" s="528" t="str">
        <f t="shared" ref="AP106:AP129" si="849">IF(M106="","",DEGREES(ATAN2(AK106,AL106)))</f>
        <v/>
      </c>
      <c r="AQ106" s="529" t="str">
        <f t="shared" si="755"/>
        <v/>
      </c>
      <c r="AS106" s="932" t="str">
        <f t="shared" si="633"/>
        <v/>
      </c>
      <c r="AT106" s="928" t="str">
        <f t="shared" si="756"/>
        <v/>
      </c>
      <c r="AU106" s="418"/>
      <c r="AV106" s="164" t="str">
        <f t="shared" si="757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4"/>
        <v/>
      </c>
      <c r="BA106" s="296" t="str">
        <f t="shared" si="758"/>
        <v/>
      </c>
      <c r="BB106" s="177" t="str">
        <f t="shared" si="611"/>
        <v/>
      </c>
      <c r="BC106" s="9"/>
      <c r="BD106" s="5" t="str">
        <f t="shared" si="612"/>
        <v/>
      </c>
      <c r="BE106" s="6" t="str">
        <f t="shared" si="759"/>
        <v/>
      </c>
      <c r="BF106" s="4" t="str">
        <f t="shared" si="760"/>
        <v/>
      </c>
      <c r="BG106" s="5" t="str">
        <f t="shared" si="761"/>
        <v/>
      </c>
      <c r="BH106" s="10" t="str">
        <f t="shared" si="762"/>
        <v/>
      </c>
      <c r="BI106" s="9" t="str">
        <f t="shared" si="635"/>
        <v/>
      </c>
      <c r="BJ106" s="5" t="str">
        <f t="shared" si="763"/>
        <v/>
      </c>
      <c r="BK106" s="8" t="str">
        <f t="shared" si="764"/>
        <v/>
      </c>
      <c r="BL106" s="173" t="str">
        <f t="shared" si="765"/>
        <v/>
      </c>
      <c r="BM106" s="5" t="str">
        <f t="shared" si="766"/>
        <v/>
      </c>
      <c r="BN106" s="6" t="str">
        <f t="shared" si="767"/>
        <v/>
      </c>
      <c r="BO106" s="4" t="str">
        <f t="shared" si="636"/>
        <v/>
      </c>
      <c r="BP106" s="5" t="str">
        <f t="shared" si="735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50">IF(ISNUMBER($AV106),0,"")</f>
        <v/>
      </c>
      <c r="BT106" s="5" t="str">
        <f t="shared" si="850"/>
        <v/>
      </c>
      <c r="BU106" s="10" t="str">
        <f t="shared" si="614"/>
        <v/>
      </c>
      <c r="BV106" s="9" t="str">
        <f t="shared" si="615"/>
        <v/>
      </c>
      <c r="BW106" s="5" t="str">
        <f t="shared" si="616"/>
        <v/>
      </c>
      <c r="BX106" s="8" t="str">
        <f t="shared" si="617"/>
        <v/>
      </c>
      <c r="BY106" s="173" t="str">
        <f t="shared" si="618"/>
        <v/>
      </c>
      <c r="BZ106" s="5" t="str">
        <f t="shared" si="619"/>
        <v/>
      </c>
      <c r="CA106" s="6" t="str">
        <f t="shared" si="620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1"/>
        <v/>
      </c>
      <c r="CJ106" s="5" t="str">
        <f t="shared" si="622"/>
        <v/>
      </c>
      <c r="CK106" s="8" t="str">
        <f t="shared" si="623"/>
        <v/>
      </c>
      <c r="CL106" s="173" t="str">
        <f t="shared" si="624"/>
        <v/>
      </c>
      <c r="CM106" s="5" t="str">
        <f t="shared" si="625"/>
        <v/>
      </c>
      <c r="CN106" s="6" t="str">
        <f t="shared" si="626"/>
        <v/>
      </c>
      <c r="CO106" s="167" t="str">
        <f t="shared" si="768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9"/>
        <v/>
      </c>
      <c r="ET106" s="5" t="str">
        <f t="shared" si="770"/>
        <v/>
      </c>
      <c r="EU106" s="10" t="str">
        <f t="shared" si="771"/>
        <v/>
      </c>
      <c r="EV106" s="174" t="str">
        <f t="shared" si="772"/>
        <v/>
      </c>
      <c r="EW106" s="9" t="str">
        <f t="shared" si="773"/>
        <v/>
      </c>
      <c r="EX106" s="5" t="str">
        <f t="shared" si="774"/>
        <v/>
      </c>
      <c r="EY106" s="6" t="str">
        <f t="shared" si="699"/>
        <v/>
      </c>
      <c r="EZ106" s="51" t="str">
        <f t="shared" si="700"/>
        <v/>
      </c>
      <c r="FA106" s="173" t="str">
        <f t="shared" si="775"/>
        <v/>
      </c>
      <c r="FB106" s="5" t="str">
        <f t="shared" si="776"/>
        <v/>
      </c>
      <c r="FC106" s="6" t="str">
        <f t="shared" si="777"/>
        <v/>
      </c>
      <c r="FD106" s="4" t="str">
        <f t="shared" si="778"/>
        <v/>
      </c>
      <c r="FE106" s="5" t="str">
        <f t="shared" si="779"/>
        <v/>
      </c>
      <c r="FF106" s="7" t="str">
        <f t="shared" si="701"/>
        <v/>
      </c>
      <c r="FG106" s="173" t="str">
        <f t="shared" si="780"/>
        <v/>
      </c>
      <c r="FH106" s="5" t="str">
        <f t="shared" si="781"/>
        <v/>
      </c>
      <c r="FI106" s="10" t="str">
        <f t="shared" si="782"/>
        <v/>
      </c>
      <c r="FJ106" s="279" t="str">
        <f t="shared" si="702"/>
        <v/>
      </c>
      <c r="FK106" s="4" t="str">
        <f t="shared" si="783"/>
        <v/>
      </c>
      <c r="FL106" s="5" t="str">
        <f t="shared" si="627"/>
        <v/>
      </c>
      <c r="FM106" s="8" t="str">
        <f t="shared" si="628"/>
        <v/>
      </c>
      <c r="FN106" s="9" t="str">
        <f t="shared" si="629"/>
        <v/>
      </c>
      <c r="FO106" s="10" t="str">
        <f t="shared" si="784"/>
        <v/>
      </c>
      <c r="FP106" s="277" t="str">
        <f t="shared" si="630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5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6"/>
        <v/>
      </c>
      <c r="GH106" s="286" t="str">
        <f t="shared" si="787"/>
        <v/>
      </c>
      <c r="GI106" s="281" t="str">
        <f t="shared" si="788"/>
        <v/>
      </c>
      <c r="GJ106" s="167" t="str">
        <f t="shared" si="718"/>
        <v/>
      </c>
      <c r="GK106" s="174" t="str">
        <f t="shared" si="789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90"/>
        <v/>
      </c>
      <c r="GT106" s="343" t="str">
        <f t="shared" si="791"/>
        <v/>
      </c>
      <c r="GU106" s="344" t="str">
        <f t="shared" si="792"/>
        <v/>
      </c>
      <c r="GV106" s="343" t="str">
        <f t="shared" si="726"/>
        <v/>
      </c>
      <c r="GW106" s="345" t="str">
        <f t="shared" si="793"/>
        <v/>
      </c>
      <c r="GX106" s="346" t="str">
        <f t="shared" si="794"/>
        <v/>
      </c>
      <c r="GY106" s="344" t="str">
        <f t="shared" si="795"/>
        <v/>
      </c>
      <c r="GZ106" s="345" t="str">
        <f t="shared" si="796"/>
        <v/>
      </c>
      <c r="HA106" s="342" t="str">
        <f t="shared" si="797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8"/>
        <v/>
      </c>
      <c r="HF106" s="5" t="str">
        <f t="shared" si="799"/>
        <v/>
      </c>
      <c r="HG106" s="343" t="str">
        <f t="shared" si="730"/>
        <v/>
      </c>
      <c r="HH106" s="349" t="str">
        <f t="shared" si="731"/>
        <v/>
      </c>
      <c r="HI106" s="317" t="str">
        <f t="shared" si="800"/>
        <v/>
      </c>
      <c r="HK106" s="310" t="str">
        <f t="shared" ref="HK106:HK137" si="851">IF(ISNUMBER(HS106),HK105+1,"")</f>
        <v/>
      </c>
      <c r="HL106" s="348" t="str">
        <f t="shared" si="801"/>
        <v/>
      </c>
      <c r="HM106" s="909" t="str">
        <f t="shared" si="802"/>
        <v/>
      </c>
      <c r="HN106" s="910" t="str">
        <f t="shared" si="803"/>
        <v/>
      </c>
      <c r="HO106" s="911"/>
      <c r="HP106" s="912"/>
      <c r="HQ106" s="910" t="str">
        <f t="shared" si="804"/>
        <v/>
      </c>
      <c r="HR106" s="913" t="str">
        <f t="shared" si="805"/>
        <v/>
      </c>
      <c r="HS106" s="865" t="str">
        <f t="shared" ref="HS106:HS129" si="852">IFERROR(SMALL($GJ$9:$GJ$150,($HK105+1)),"")</f>
        <v/>
      </c>
      <c r="HT106" s="875" t="str">
        <f t="shared" si="806"/>
        <v/>
      </c>
      <c r="HU106" s="876" t="str">
        <f t="shared" si="807"/>
        <v/>
      </c>
      <c r="HV106" s="872" t="str">
        <f t="shared" si="808"/>
        <v/>
      </c>
      <c r="HW106" s="866" t="str">
        <f t="shared" si="809"/>
        <v/>
      </c>
      <c r="HX106" s="867" t="str">
        <f t="shared" si="810"/>
        <v/>
      </c>
      <c r="HY106" s="866" t="str">
        <f t="shared" si="811"/>
        <v/>
      </c>
      <c r="HZ106" s="868" t="str">
        <f t="shared" si="812"/>
        <v/>
      </c>
      <c r="IA106" s="869" t="str">
        <f t="shared" si="813"/>
        <v/>
      </c>
      <c r="IB106" s="870" t="str">
        <f t="shared" si="814"/>
        <v/>
      </c>
      <c r="IC106" s="841" t="str">
        <f t="shared" si="815"/>
        <v/>
      </c>
      <c r="ID106" s="351" t="str">
        <f t="shared" si="816"/>
        <v/>
      </c>
      <c r="IE106" s="843" t="str">
        <f t="shared" si="817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2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18"/>
        <v/>
      </c>
      <c r="IM106" s="482" t="str">
        <f t="shared" si="733"/>
        <v/>
      </c>
      <c r="IN106" s="670" t="str">
        <f t="shared" si="819"/>
        <v/>
      </c>
      <c r="IO106" s="702"/>
      <c r="IP106" s="5" t="str">
        <f t="shared" si="820"/>
        <v/>
      </c>
      <c r="IQ106" s="714"/>
      <c r="IR106" s="9" t="str">
        <f t="shared" si="821"/>
        <v/>
      </c>
      <c r="IS106" s="5" t="str">
        <f t="shared" si="822"/>
        <v/>
      </c>
      <c r="IT106" s="5" t="str">
        <f t="shared" si="823"/>
        <v/>
      </c>
      <c r="IU106" s="5" t="str">
        <f t="shared" si="824"/>
        <v/>
      </c>
      <c r="IV106" s="670" t="str">
        <f t="shared" si="825"/>
        <v/>
      </c>
      <c r="IW106" s="9" t="str">
        <f t="shared" si="826"/>
        <v/>
      </c>
      <c r="IX106" s="5" t="str">
        <f t="shared" si="827"/>
        <v/>
      </c>
      <c r="IY106" s="5" t="str">
        <f t="shared" si="828"/>
        <v/>
      </c>
      <c r="IZ106" s="5" t="str">
        <f t="shared" si="829"/>
        <v/>
      </c>
      <c r="JA106" s="705" t="str">
        <f t="shared" si="830"/>
        <v/>
      </c>
    </row>
    <row r="107" spans="1:261" ht="15" customHeight="1" x14ac:dyDescent="0.25">
      <c r="A107" s="75" t="str">
        <f t="shared" si="737"/>
        <v/>
      </c>
      <c r="B107" s="578" t="str">
        <f t="shared" si="738"/>
        <v/>
      </c>
      <c r="C107" s="572" t="str">
        <f t="shared" si="739"/>
        <v/>
      </c>
      <c r="D107" s="576" t="str">
        <f t="shared" si="740"/>
        <v/>
      </c>
      <c r="E107" s="580" t="str">
        <f t="shared" si="741"/>
        <v/>
      </c>
      <c r="F107" s="572" t="str">
        <f t="shared" si="742"/>
        <v/>
      </c>
      <c r="G107" s="579" t="str">
        <f t="shared" si="743"/>
        <v/>
      </c>
      <c r="H107" s="580" t="str">
        <f t="shared" si="744"/>
        <v/>
      </c>
      <c r="I107" s="572" t="str">
        <f t="shared" si="745"/>
        <v/>
      </c>
      <c r="J107" s="483" t="str">
        <f t="shared" si="746"/>
        <v/>
      </c>
      <c r="K107" s="806" t="str">
        <f t="shared" si="747"/>
        <v/>
      </c>
      <c r="L107" s="309"/>
      <c r="M107" s="164" t="str">
        <f t="shared" si="748"/>
        <v/>
      </c>
      <c r="N107" s="575" t="str">
        <f t="shared" si="749"/>
        <v/>
      </c>
      <c r="O107" s="572" t="str">
        <f t="shared" si="750"/>
        <v/>
      </c>
      <c r="P107" s="576" t="str">
        <f t="shared" si="751"/>
        <v/>
      </c>
      <c r="Q107" s="528" t="str">
        <f t="shared" si="610"/>
        <v/>
      </c>
      <c r="R107" s="572" t="str">
        <f t="shared" si="831"/>
        <v/>
      </c>
      <c r="S107" s="577" t="str">
        <f t="shared" si="832"/>
        <v/>
      </c>
      <c r="T107" s="578" t="str">
        <f t="shared" si="833"/>
        <v/>
      </c>
      <c r="U107" s="572" t="str">
        <f t="shared" si="834"/>
        <v/>
      </c>
      <c r="V107" s="579" t="str">
        <f t="shared" si="835"/>
        <v/>
      </c>
      <c r="W107" s="528" t="str">
        <f t="shared" si="736"/>
        <v/>
      </c>
      <c r="X107" s="572" t="str">
        <f t="shared" si="836"/>
        <v/>
      </c>
      <c r="Y107" s="573" t="str">
        <f t="shared" si="734"/>
        <v/>
      </c>
      <c r="Z107" s="575" t="str">
        <f t="shared" si="752"/>
        <v/>
      </c>
      <c r="AA107" s="572" t="str">
        <f t="shared" si="753"/>
        <v/>
      </c>
      <c r="AB107" s="572" t="str">
        <f t="shared" si="754"/>
        <v/>
      </c>
      <c r="AC107" s="579" t="str">
        <f t="shared" si="837"/>
        <v/>
      </c>
      <c r="AD107" s="580" t="str">
        <f t="shared" si="838"/>
        <v/>
      </c>
      <c r="AE107" s="572" t="str">
        <f t="shared" si="839"/>
        <v/>
      </c>
      <c r="AF107" s="576" t="str">
        <f t="shared" si="840"/>
        <v/>
      </c>
      <c r="AG107" s="545" t="str">
        <f t="shared" si="841"/>
        <v/>
      </c>
      <c r="AH107" s="546" t="str">
        <f t="shared" si="842"/>
        <v/>
      </c>
      <c r="AI107" s="528" t="str">
        <f t="shared" si="843"/>
        <v/>
      </c>
      <c r="AJ107" s="529" t="str">
        <f t="shared" si="844"/>
        <v/>
      </c>
      <c r="AK107" s="578" t="str">
        <f t="shared" si="845"/>
        <v/>
      </c>
      <c r="AL107" s="572" t="str">
        <f t="shared" si="846"/>
        <v/>
      </c>
      <c r="AM107" s="577" t="str">
        <f t="shared" si="847"/>
        <v/>
      </c>
      <c r="AN107" s="524" t="str">
        <f t="shared" si="848"/>
        <v/>
      </c>
      <c r="AO107" s="525" t="str">
        <f t="shared" si="515"/>
        <v/>
      </c>
      <c r="AP107" s="528" t="str">
        <f t="shared" si="849"/>
        <v/>
      </c>
      <c r="AQ107" s="529" t="str">
        <f t="shared" si="755"/>
        <v/>
      </c>
      <c r="AS107" s="932" t="str">
        <f t="shared" ref="AS107:AS138" si="853">IF(G107="","",IF(AND(W107&lt;(AS106+180),W107&gt;(AS106-180)),W107,IF(W107&gt;(AS106+180),W107-360,IF(W107&lt;(AS106-180),W107+360,"Error"))))</f>
        <v/>
      </c>
      <c r="AT107" s="928" t="str">
        <f t="shared" si="756"/>
        <v/>
      </c>
      <c r="AU107" s="418"/>
      <c r="AV107" s="164" t="str">
        <f t="shared" si="757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4"/>
        <v/>
      </c>
      <c r="BA107" s="296" t="str">
        <f t="shared" si="758"/>
        <v/>
      </c>
      <c r="BB107" s="177" t="str">
        <f t="shared" si="611"/>
        <v/>
      </c>
      <c r="BC107" s="9"/>
      <c r="BD107" s="5" t="str">
        <f t="shared" si="612"/>
        <v/>
      </c>
      <c r="BE107" s="6" t="str">
        <f t="shared" si="759"/>
        <v/>
      </c>
      <c r="BF107" s="4" t="str">
        <f t="shared" si="760"/>
        <v/>
      </c>
      <c r="BG107" s="5" t="str">
        <f t="shared" si="761"/>
        <v/>
      </c>
      <c r="BH107" s="10" t="str">
        <f t="shared" si="762"/>
        <v/>
      </c>
      <c r="BI107" s="9" t="str">
        <f t="shared" si="635"/>
        <v/>
      </c>
      <c r="BJ107" s="5" t="str">
        <f t="shared" si="763"/>
        <v/>
      </c>
      <c r="BK107" s="8" t="str">
        <f t="shared" si="764"/>
        <v/>
      </c>
      <c r="BL107" s="173" t="str">
        <f t="shared" si="765"/>
        <v/>
      </c>
      <c r="BM107" s="5" t="str">
        <f t="shared" si="766"/>
        <v/>
      </c>
      <c r="BN107" s="6" t="str">
        <f t="shared" si="767"/>
        <v/>
      </c>
      <c r="BO107" s="4" t="str">
        <f t="shared" si="636"/>
        <v/>
      </c>
      <c r="BP107" s="5" t="str">
        <f t="shared" si="735"/>
        <v/>
      </c>
      <c r="BQ107" s="5" t="str">
        <f t="shared" si="637"/>
        <v/>
      </c>
      <c r="BR107" s="6" t="str">
        <f t="shared" si="638"/>
        <v/>
      </c>
      <c r="BS107" s="4" t="str">
        <f t="shared" si="850"/>
        <v/>
      </c>
      <c r="BT107" s="5" t="str">
        <f t="shared" si="850"/>
        <v/>
      </c>
      <c r="BU107" s="10" t="str">
        <f t="shared" si="614"/>
        <v/>
      </c>
      <c r="BV107" s="9" t="str">
        <f t="shared" si="615"/>
        <v/>
      </c>
      <c r="BW107" s="5" t="str">
        <f t="shared" si="616"/>
        <v/>
      </c>
      <c r="BX107" s="8" t="str">
        <f t="shared" si="617"/>
        <v/>
      </c>
      <c r="BY107" s="173" t="str">
        <f t="shared" si="618"/>
        <v/>
      </c>
      <c r="BZ107" s="5" t="str">
        <f t="shared" si="619"/>
        <v/>
      </c>
      <c r="CA107" s="6" t="str">
        <f t="shared" si="620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1"/>
        <v/>
      </c>
      <c r="CJ107" s="5" t="str">
        <f t="shared" si="622"/>
        <v/>
      </c>
      <c r="CK107" s="8" t="str">
        <f t="shared" si="623"/>
        <v/>
      </c>
      <c r="CL107" s="173" t="str">
        <f t="shared" si="624"/>
        <v/>
      </c>
      <c r="CM107" s="5" t="str">
        <f t="shared" si="625"/>
        <v/>
      </c>
      <c r="CN107" s="6" t="str">
        <f t="shared" si="626"/>
        <v/>
      </c>
      <c r="CO107" s="167" t="str">
        <f t="shared" si="768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4">IF(ISNUMBER($AV107),0,"")</f>
        <v/>
      </c>
      <c r="DC107" s="5" t="str">
        <f t="shared" si="854"/>
        <v/>
      </c>
      <c r="DD107" s="10" t="str">
        <f t="shared" si="659"/>
        <v/>
      </c>
      <c r="DE107" s="9" t="str">
        <f t="shared" ref="DE107:DF150" si="855">IF(ISNUMBER($AV107),0,"")</f>
        <v/>
      </c>
      <c r="DF107" s="5" t="str">
        <f t="shared" si="855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9"/>
        <v/>
      </c>
      <c r="ET107" s="5" t="str">
        <f t="shared" si="770"/>
        <v/>
      </c>
      <c r="EU107" s="10" t="str">
        <f t="shared" si="771"/>
        <v/>
      </c>
      <c r="EV107" s="174" t="str">
        <f t="shared" si="772"/>
        <v/>
      </c>
      <c r="EW107" s="9" t="str">
        <f t="shared" si="773"/>
        <v/>
      </c>
      <c r="EX107" s="5" t="str">
        <f t="shared" si="774"/>
        <v/>
      </c>
      <c r="EY107" s="6" t="str">
        <f t="shared" si="699"/>
        <v/>
      </c>
      <c r="EZ107" s="51" t="str">
        <f t="shared" si="700"/>
        <v/>
      </c>
      <c r="FA107" s="173" t="str">
        <f t="shared" si="775"/>
        <v/>
      </c>
      <c r="FB107" s="5" t="str">
        <f t="shared" si="776"/>
        <v/>
      </c>
      <c r="FC107" s="6" t="str">
        <f t="shared" si="777"/>
        <v/>
      </c>
      <c r="FD107" s="4" t="str">
        <f t="shared" si="778"/>
        <v/>
      </c>
      <c r="FE107" s="5" t="str">
        <f t="shared" si="779"/>
        <v/>
      </c>
      <c r="FF107" s="7" t="str">
        <f t="shared" si="701"/>
        <v/>
      </c>
      <c r="FG107" s="173" t="str">
        <f t="shared" si="780"/>
        <v/>
      </c>
      <c r="FH107" s="5" t="str">
        <f t="shared" si="781"/>
        <v/>
      </c>
      <c r="FI107" s="10" t="str">
        <f t="shared" si="782"/>
        <v/>
      </c>
      <c r="FJ107" s="279" t="str">
        <f t="shared" si="702"/>
        <v/>
      </c>
      <c r="FK107" s="4" t="str">
        <f t="shared" si="783"/>
        <v/>
      </c>
      <c r="FL107" s="5" t="str">
        <f t="shared" si="627"/>
        <v/>
      </c>
      <c r="FM107" s="8" t="str">
        <f t="shared" si="628"/>
        <v/>
      </c>
      <c r="FN107" s="9" t="str">
        <f t="shared" si="629"/>
        <v/>
      </c>
      <c r="FO107" s="10" t="str">
        <f t="shared" si="784"/>
        <v/>
      </c>
      <c r="FP107" s="277" t="str">
        <f t="shared" si="630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5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6"/>
        <v/>
      </c>
      <c r="GH107" s="286" t="str">
        <f t="shared" si="787"/>
        <v/>
      </c>
      <c r="GI107" s="281" t="str">
        <f t="shared" si="788"/>
        <v/>
      </c>
      <c r="GJ107" s="167" t="str">
        <f t="shared" si="718"/>
        <v/>
      </c>
      <c r="GK107" s="174" t="str">
        <f t="shared" si="789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90"/>
        <v/>
      </c>
      <c r="GT107" s="343" t="str">
        <f t="shared" si="791"/>
        <v/>
      </c>
      <c r="GU107" s="344" t="str">
        <f t="shared" si="792"/>
        <v/>
      </c>
      <c r="GV107" s="343" t="str">
        <f t="shared" si="726"/>
        <v/>
      </c>
      <c r="GW107" s="345" t="str">
        <f t="shared" si="793"/>
        <v/>
      </c>
      <c r="GX107" s="346" t="str">
        <f t="shared" si="794"/>
        <v/>
      </c>
      <c r="GY107" s="344" t="str">
        <f t="shared" si="795"/>
        <v/>
      </c>
      <c r="GZ107" s="345" t="str">
        <f t="shared" si="796"/>
        <v/>
      </c>
      <c r="HA107" s="342" t="str">
        <f t="shared" si="797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8"/>
        <v/>
      </c>
      <c r="HF107" s="5" t="str">
        <f t="shared" si="799"/>
        <v/>
      </c>
      <c r="HG107" s="343" t="str">
        <f t="shared" si="730"/>
        <v/>
      </c>
      <c r="HH107" s="349" t="str">
        <f t="shared" si="731"/>
        <v/>
      </c>
      <c r="HI107" s="317" t="str">
        <f t="shared" si="800"/>
        <v/>
      </c>
      <c r="HK107" s="310" t="str">
        <f t="shared" si="851"/>
        <v/>
      </c>
      <c r="HL107" s="348" t="str">
        <f t="shared" si="801"/>
        <v/>
      </c>
      <c r="HM107" s="909" t="str">
        <f t="shared" si="802"/>
        <v/>
      </c>
      <c r="HN107" s="910" t="str">
        <f t="shared" si="803"/>
        <v/>
      </c>
      <c r="HO107" s="911"/>
      <c r="HP107" s="912"/>
      <c r="HQ107" s="910" t="str">
        <f t="shared" si="804"/>
        <v/>
      </c>
      <c r="HR107" s="913" t="str">
        <f t="shared" si="805"/>
        <v/>
      </c>
      <c r="HS107" s="865" t="str">
        <f t="shared" si="852"/>
        <v/>
      </c>
      <c r="HT107" s="875" t="str">
        <f t="shared" si="806"/>
        <v/>
      </c>
      <c r="HU107" s="876" t="str">
        <f t="shared" si="807"/>
        <v/>
      </c>
      <c r="HV107" s="872" t="str">
        <f t="shared" si="808"/>
        <v/>
      </c>
      <c r="HW107" s="866" t="str">
        <f t="shared" si="809"/>
        <v/>
      </c>
      <c r="HX107" s="867" t="str">
        <f t="shared" si="810"/>
        <v/>
      </c>
      <c r="HY107" s="866" t="str">
        <f t="shared" si="811"/>
        <v/>
      </c>
      <c r="HZ107" s="868" t="str">
        <f t="shared" si="812"/>
        <v/>
      </c>
      <c r="IA107" s="869" t="str">
        <f t="shared" si="813"/>
        <v/>
      </c>
      <c r="IB107" s="870" t="str">
        <f t="shared" si="814"/>
        <v/>
      </c>
      <c r="IC107" s="841" t="str">
        <f t="shared" si="815"/>
        <v/>
      </c>
      <c r="ID107" s="351" t="str">
        <f t="shared" si="816"/>
        <v/>
      </c>
      <c r="IE107" s="843" t="str">
        <f t="shared" si="817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2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18"/>
        <v/>
      </c>
      <c r="IM107" s="482" t="str">
        <f t="shared" si="733"/>
        <v/>
      </c>
      <c r="IN107" s="670" t="str">
        <f t="shared" si="819"/>
        <v/>
      </c>
      <c r="IO107" s="702"/>
      <c r="IP107" s="5" t="str">
        <f t="shared" si="820"/>
        <v/>
      </c>
      <c r="IQ107" s="714"/>
      <c r="IR107" s="9" t="str">
        <f t="shared" si="821"/>
        <v/>
      </c>
      <c r="IS107" s="5" t="str">
        <f t="shared" si="822"/>
        <v/>
      </c>
      <c r="IT107" s="5" t="str">
        <f t="shared" si="823"/>
        <v/>
      </c>
      <c r="IU107" s="5" t="str">
        <f t="shared" si="824"/>
        <v/>
      </c>
      <c r="IV107" s="670" t="str">
        <f t="shared" si="825"/>
        <v/>
      </c>
      <c r="IW107" s="9" t="str">
        <f t="shared" si="826"/>
        <v/>
      </c>
      <c r="IX107" s="5" t="str">
        <f t="shared" si="827"/>
        <v/>
      </c>
      <c r="IY107" s="5" t="str">
        <f t="shared" si="828"/>
        <v/>
      </c>
      <c r="IZ107" s="5" t="str">
        <f t="shared" si="829"/>
        <v/>
      </c>
      <c r="JA107" s="705" t="str">
        <f t="shared" si="830"/>
        <v/>
      </c>
    </row>
    <row r="108" spans="1:261" ht="15" customHeight="1" x14ac:dyDescent="0.25">
      <c r="A108" s="75" t="str">
        <f t="shared" si="737"/>
        <v/>
      </c>
      <c r="B108" s="578" t="str">
        <f t="shared" si="738"/>
        <v/>
      </c>
      <c r="C108" s="572" t="str">
        <f t="shared" si="739"/>
        <v/>
      </c>
      <c r="D108" s="576" t="str">
        <f t="shared" si="740"/>
        <v/>
      </c>
      <c r="E108" s="580" t="str">
        <f t="shared" si="741"/>
        <v/>
      </c>
      <c r="F108" s="572" t="str">
        <f t="shared" si="742"/>
        <v/>
      </c>
      <c r="G108" s="579" t="str">
        <f t="shared" si="743"/>
        <v/>
      </c>
      <c r="H108" s="580" t="str">
        <f t="shared" si="744"/>
        <v/>
      </c>
      <c r="I108" s="572" t="str">
        <f t="shared" si="745"/>
        <v/>
      </c>
      <c r="J108" s="483" t="str">
        <f t="shared" si="746"/>
        <v/>
      </c>
      <c r="K108" s="806" t="str">
        <f t="shared" si="747"/>
        <v/>
      </c>
      <c r="L108" s="309"/>
      <c r="M108" s="164" t="str">
        <f t="shared" si="748"/>
        <v/>
      </c>
      <c r="N108" s="575" t="str">
        <f t="shared" si="749"/>
        <v/>
      </c>
      <c r="O108" s="572" t="str">
        <f t="shared" si="750"/>
        <v/>
      </c>
      <c r="P108" s="576" t="str">
        <f t="shared" si="751"/>
        <v/>
      </c>
      <c r="Q108" s="528" t="str">
        <f t="shared" si="610"/>
        <v/>
      </c>
      <c r="R108" s="572" t="str">
        <f t="shared" si="831"/>
        <v/>
      </c>
      <c r="S108" s="577" t="str">
        <f t="shared" si="832"/>
        <v/>
      </c>
      <c r="T108" s="578" t="str">
        <f t="shared" si="833"/>
        <v/>
      </c>
      <c r="U108" s="572" t="str">
        <f t="shared" si="834"/>
        <v/>
      </c>
      <c r="V108" s="579" t="str">
        <f t="shared" si="835"/>
        <v/>
      </c>
      <c r="W108" s="528" t="str">
        <f t="shared" si="736"/>
        <v/>
      </c>
      <c r="X108" s="572" t="str">
        <f t="shared" si="836"/>
        <v/>
      </c>
      <c r="Y108" s="573" t="str">
        <f t="shared" si="734"/>
        <v/>
      </c>
      <c r="Z108" s="575" t="str">
        <f t="shared" si="752"/>
        <v/>
      </c>
      <c r="AA108" s="572" t="str">
        <f t="shared" si="753"/>
        <v/>
      </c>
      <c r="AB108" s="572" t="str">
        <f t="shared" si="754"/>
        <v/>
      </c>
      <c r="AC108" s="579" t="str">
        <f t="shared" si="837"/>
        <v/>
      </c>
      <c r="AD108" s="580" t="str">
        <f t="shared" si="838"/>
        <v/>
      </c>
      <c r="AE108" s="572" t="str">
        <f t="shared" si="839"/>
        <v/>
      </c>
      <c r="AF108" s="576" t="str">
        <f t="shared" si="840"/>
        <v/>
      </c>
      <c r="AG108" s="545" t="str">
        <f t="shared" si="841"/>
        <v/>
      </c>
      <c r="AH108" s="546" t="str">
        <f t="shared" si="842"/>
        <v/>
      </c>
      <c r="AI108" s="528" t="str">
        <f t="shared" si="843"/>
        <v/>
      </c>
      <c r="AJ108" s="529" t="str">
        <f t="shared" si="844"/>
        <v/>
      </c>
      <c r="AK108" s="578" t="str">
        <f t="shared" si="845"/>
        <v/>
      </c>
      <c r="AL108" s="572" t="str">
        <f t="shared" si="846"/>
        <v/>
      </c>
      <c r="AM108" s="577" t="str">
        <f t="shared" si="847"/>
        <v/>
      </c>
      <c r="AN108" s="524" t="str">
        <f t="shared" si="848"/>
        <v/>
      </c>
      <c r="AO108" s="525" t="str">
        <f t="shared" si="515"/>
        <v/>
      </c>
      <c r="AP108" s="528" t="str">
        <f t="shared" si="849"/>
        <v/>
      </c>
      <c r="AQ108" s="529" t="str">
        <f t="shared" si="755"/>
        <v/>
      </c>
      <c r="AS108" s="932" t="str">
        <f t="shared" si="853"/>
        <v/>
      </c>
      <c r="AT108" s="928" t="str">
        <f t="shared" si="756"/>
        <v/>
      </c>
      <c r="AU108" s="418"/>
      <c r="AV108" s="164" t="str">
        <f t="shared" si="757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4"/>
        <v/>
      </c>
      <c r="BA108" s="296" t="str">
        <f t="shared" si="758"/>
        <v/>
      </c>
      <c r="BB108" s="177" t="str">
        <f t="shared" si="611"/>
        <v/>
      </c>
      <c r="BC108" s="9"/>
      <c r="BD108" s="5" t="str">
        <f t="shared" si="612"/>
        <v/>
      </c>
      <c r="BE108" s="6" t="str">
        <f t="shared" si="759"/>
        <v/>
      </c>
      <c r="BF108" s="4" t="str">
        <f t="shared" si="760"/>
        <v/>
      </c>
      <c r="BG108" s="5" t="str">
        <f t="shared" si="761"/>
        <v/>
      </c>
      <c r="BH108" s="10" t="str">
        <f t="shared" si="762"/>
        <v/>
      </c>
      <c r="BI108" s="9" t="str">
        <f t="shared" si="635"/>
        <v/>
      </c>
      <c r="BJ108" s="5" t="str">
        <f t="shared" si="763"/>
        <v/>
      </c>
      <c r="BK108" s="8" t="str">
        <f t="shared" si="764"/>
        <v/>
      </c>
      <c r="BL108" s="173" t="str">
        <f t="shared" si="765"/>
        <v/>
      </c>
      <c r="BM108" s="5" t="str">
        <f t="shared" si="766"/>
        <v/>
      </c>
      <c r="BN108" s="6" t="str">
        <f t="shared" si="767"/>
        <v/>
      </c>
      <c r="BO108" s="4" t="str">
        <f t="shared" si="636"/>
        <v/>
      </c>
      <c r="BP108" s="5" t="str">
        <f t="shared" si="735"/>
        <v/>
      </c>
      <c r="BQ108" s="5" t="str">
        <f t="shared" si="637"/>
        <v/>
      </c>
      <c r="BR108" s="6" t="str">
        <f t="shared" si="638"/>
        <v/>
      </c>
      <c r="BS108" s="4" t="str">
        <f t="shared" si="850"/>
        <v/>
      </c>
      <c r="BT108" s="5" t="str">
        <f t="shared" si="850"/>
        <v/>
      </c>
      <c r="BU108" s="10" t="str">
        <f t="shared" si="614"/>
        <v/>
      </c>
      <c r="BV108" s="9" t="str">
        <f t="shared" si="615"/>
        <v/>
      </c>
      <c r="BW108" s="5" t="str">
        <f t="shared" si="616"/>
        <v/>
      </c>
      <c r="BX108" s="8" t="str">
        <f t="shared" si="617"/>
        <v/>
      </c>
      <c r="BY108" s="173" t="str">
        <f t="shared" si="618"/>
        <v/>
      </c>
      <c r="BZ108" s="5" t="str">
        <f t="shared" si="619"/>
        <v/>
      </c>
      <c r="CA108" s="6" t="str">
        <f t="shared" si="620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1"/>
        <v/>
      </c>
      <c r="CJ108" s="5" t="str">
        <f t="shared" si="622"/>
        <v/>
      </c>
      <c r="CK108" s="8" t="str">
        <f t="shared" si="623"/>
        <v/>
      </c>
      <c r="CL108" s="173" t="str">
        <f t="shared" si="624"/>
        <v/>
      </c>
      <c r="CM108" s="5" t="str">
        <f t="shared" si="625"/>
        <v/>
      </c>
      <c r="CN108" s="6" t="str">
        <f t="shared" si="626"/>
        <v/>
      </c>
      <c r="CO108" s="167" t="str">
        <f t="shared" si="768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4"/>
        <v/>
      </c>
      <c r="DC108" s="5" t="str">
        <f t="shared" si="854"/>
        <v/>
      </c>
      <c r="DD108" s="10" t="str">
        <f t="shared" si="659"/>
        <v/>
      </c>
      <c r="DE108" s="9" t="str">
        <f t="shared" si="855"/>
        <v/>
      </c>
      <c r="DF108" s="5" t="str">
        <f t="shared" si="855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9"/>
        <v/>
      </c>
      <c r="ET108" s="5" t="str">
        <f t="shared" si="770"/>
        <v/>
      </c>
      <c r="EU108" s="10" t="str">
        <f t="shared" si="771"/>
        <v/>
      </c>
      <c r="EV108" s="174" t="str">
        <f t="shared" si="772"/>
        <v/>
      </c>
      <c r="EW108" s="9" t="str">
        <f t="shared" si="773"/>
        <v/>
      </c>
      <c r="EX108" s="5" t="str">
        <f t="shared" si="774"/>
        <v/>
      </c>
      <c r="EY108" s="6" t="str">
        <f t="shared" si="699"/>
        <v/>
      </c>
      <c r="EZ108" s="51" t="str">
        <f t="shared" si="700"/>
        <v/>
      </c>
      <c r="FA108" s="173" t="str">
        <f t="shared" si="775"/>
        <v/>
      </c>
      <c r="FB108" s="5" t="str">
        <f t="shared" si="776"/>
        <v/>
      </c>
      <c r="FC108" s="6" t="str">
        <f t="shared" si="777"/>
        <v/>
      </c>
      <c r="FD108" s="4" t="str">
        <f t="shared" si="778"/>
        <v/>
      </c>
      <c r="FE108" s="5" t="str">
        <f t="shared" si="779"/>
        <v/>
      </c>
      <c r="FF108" s="7" t="str">
        <f t="shared" si="701"/>
        <v/>
      </c>
      <c r="FG108" s="173" t="str">
        <f t="shared" si="780"/>
        <v/>
      </c>
      <c r="FH108" s="5" t="str">
        <f t="shared" si="781"/>
        <v/>
      </c>
      <c r="FI108" s="10" t="str">
        <f t="shared" si="782"/>
        <v/>
      </c>
      <c r="FJ108" s="279" t="str">
        <f t="shared" si="702"/>
        <v/>
      </c>
      <c r="FK108" s="4" t="str">
        <f t="shared" si="783"/>
        <v/>
      </c>
      <c r="FL108" s="5" t="str">
        <f t="shared" si="627"/>
        <v/>
      </c>
      <c r="FM108" s="8" t="str">
        <f t="shared" si="628"/>
        <v/>
      </c>
      <c r="FN108" s="9" t="str">
        <f t="shared" si="629"/>
        <v/>
      </c>
      <c r="FO108" s="10" t="str">
        <f t="shared" si="784"/>
        <v/>
      </c>
      <c r="FP108" s="277" t="str">
        <f t="shared" si="630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5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6"/>
        <v/>
      </c>
      <c r="GH108" s="286" t="str">
        <f t="shared" si="787"/>
        <v/>
      </c>
      <c r="GI108" s="281" t="str">
        <f t="shared" si="788"/>
        <v/>
      </c>
      <c r="GJ108" s="167" t="str">
        <f t="shared" si="718"/>
        <v/>
      </c>
      <c r="GK108" s="174" t="str">
        <f t="shared" si="789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90"/>
        <v/>
      </c>
      <c r="GT108" s="343" t="str">
        <f t="shared" si="791"/>
        <v/>
      </c>
      <c r="GU108" s="344" t="str">
        <f t="shared" si="792"/>
        <v/>
      </c>
      <c r="GV108" s="343" t="str">
        <f t="shared" si="726"/>
        <v/>
      </c>
      <c r="GW108" s="345" t="str">
        <f t="shared" si="793"/>
        <v/>
      </c>
      <c r="GX108" s="346" t="str">
        <f t="shared" si="794"/>
        <v/>
      </c>
      <c r="GY108" s="344" t="str">
        <f t="shared" si="795"/>
        <v/>
      </c>
      <c r="GZ108" s="345" t="str">
        <f t="shared" si="796"/>
        <v/>
      </c>
      <c r="HA108" s="342" t="str">
        <f t="shared" si="797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8"/>
        <v/>
      </c>
      <c r="HF108" s="5" t="str">
        <f t="shared" si="799"/>
        <v/>
      </c>
      <c r="HG108" s="343" t="str">
        <f t="shared" si="730"/>
        <v/>
      </c>
      <c r="HH108" s="349" t="str">
        <f t="shared" si="731"/>
        <v/>
      </c>
      <c r="HI108" s="317" t="str">
        <f t="shared" si="800"/>
        <v/>
      </c>
      <c r="HK108" s="310" t="str">
        <f t="shared" si="851"/>
        <v/>
      </c>
      <c r="HL108" s="348" t="str">
        <f t="shared" si="801"/>
        <v/>
      </c>
      <c r="HM108" s="909" t="str">
        <f t="shared" si="802"/>
        <v/>
      </c>
      <c r="HN108" s="910" t="str">
        <f t="shared" si="803"/>
        <v/>
      </c>
      <c r="HO108" s="911"/>
      <c r="HP108" s="912"/>
      <c r="HQ108" s="910" t="str">
        <f t="shared" si="804"/>
        <v/>
      </c>
      <c r="HR108" s="913" t="str">
        <f t="shared" si="805"/>
        <v/>
      </c>
      <c r="HS108" s="865" t="str">
        <f t="shared" si="852"/>
        <v/>
      </c>
      <c r="HT108" s="875" t="str">
        <f t="shared" si="806"/>
        <v/>
      </c>
      <c r="HU108" s="876" t="str">
        <f t="shared" si="807"/>
        <v/>
      </c>
      <c r="HV108" s="872" t="str">
        <f t="shared" si="808"/>
        <v/>
      </c>
      <c r="HW108" s="866" t="str">
        <f t="shared" si="809"/>
        <v/>
      </c>
      <c r="HX108" s="867" t="str">
        <f t="shared" si="810"/>
        <v/>
      </c>
      <c r="HY108" s="866" t="str">
        <f t="shared" si="811"/>
        <v/>
      </c>
      <c r="HZ108" s="868" t="str">
        <f t="shared" si="812"/>
        <v/>
      </c>
      <c r="IA108" s="869" t="str">
        <f t="shared" si="813"/>
        <v/>
      </c>
      <c r="IB108" s="870" t="str">
        <f t="shared" si="814"/>
        <v/>
      </c>
      <c r="IC108" s="841" t="str">
        <f t="shared" si="815"/>
        <v/>
      </c>
      <c r="ID108" s="351" t="str">
        <f t="shared" si="816"/>
        <v/>
      </c>
      <c r="IE108" s="843" t="str">
        <f t="shared" si="817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2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18"/>
        <v/>
      </c>
      <c r="IM108" s="482" t="str">
        <f t="shared" si="733"/>
        <v/>
      </c>
      <c r="IN108" s="670" t="str">
        <f t="shared" si="819"/>
        <v/>
      </c>
      <c r="IO108" s="702"/>
      <c r="IP108" s="5" t="str">
        <f t="shared" si="820"/>
        <v/>
      </c>
      <c r="IQ108" s="714"/>
      <c r="IR108" s="9" t="str">
        <f t="shared" si="821"/>
        <v/>
      </c>
      <c r="IS108" s="5" t="str">
        <f t="shared" si="822"/>
        <v/>
      </c>
      <c r="IT108" s="5" t="str">
        <f t="shared" si="823"/>
        <v/>
      </c>
      <c r="IU108" s="5" t="str">
        <f t="shared" si="824"/>
        <v/>
      </c>
      <c r="IV108" s="670" t="str">
        <f t="shared" si="825"/>
        <v/>
      </c>
      <c r="IW108" s="9" t="str">
        <f t="shared" si="826"/>
        <v/>
      </c>
      <c r="IX108" s="5" t="str">
        <f t="shared" si="827"/>
        <v/>
      </c>
      <c r="IY108" s="5" t="str">
        <f t="shared" si="828"/>
        <v/>
      </c>
      <c r="IZ108" s="5" t="str">
        <f t="shared" si="829"/>
        <v/>
      </c>
      <c r="JA108" s="705" t="str">
        <f t="shared" si="830"/>
        <v/>
      </c>
    </row>
    <row r="109" spans="1:261" ht="15" customHeight="1" x14ac:dyDescent="0.25">
      <c r="A109" s="75" t="str">
        <f t="shared" si="737"/>
        <v/>
      </c>
      <c r="B109" s="578" t="str">
        <f t="shared" si="738"/>
        <v/>
      </c>
      <c r="C109" s="572" t="str">
        <f t="shared" si="739"/>
        <v/>
      </c>
      <c r="D109" s="576" t="str">
        <f t="shared" si="740"/>
        <v/>
      </c>
      <c r="E109" s="580" t="str">
        <f t="shared" si="741"/>
        <v/>
      </c>
      <c r="F109" s="572" t="str">
        <f t="shared" si="742"/>
        <v/>
      </c>
      <c r="G109" s="579" t="str">
        <f t="shared" si="743"/>
        <v/>
      </c>
      <c r="H109" s="580" t="str">
        <f t="shared" si="744"/>
        <v/>
      </c>
      <c r="I109" s="572" t="str">
        <f t="shared" si="745"/>
        <v/>
      </c>
      <c r="J109" s="483" t="str">
        <f t="shared" si="746"/>
        <v/>
      </c>
      <c r="K109" s="806" t="str">
        <f t="shared" si="747"/>
        <v/>
      </c>
      <c r="L109" s="309"/>
      <c r="M109" s="164" t="str">
        <f t="shared" si="748"/>
        <v/>
      </c>
      <c r="N109" s="575" t="str">
        <f t="shared" si="749"/>
        <v/>
      </c>
      <c r="O109" s="572" t="str">
        <f t="shared" si="750"/>
        <v/>
      </c>
      <c r="P109" s="576" t="str">
        <f t="shared" si="751"/>
        <v/>
      </c>
      <c r="Q109" s="528" t="str">
        <f t="shared" si="610"/>
        <v/>
      </c>
      <c r="R109" s="572" t="str">
        <f t="shared" si="831"/>
        <v/>
      </c>
      <c r="S109" s="577" t="str">
        <f t="shared" si="832"/>
        <v/>
      </c>
      <c r="T109" s="578" t="str">
        <f t="shared" si="833"/>
        <v/>
      </c>
      <c r="U109" s="572" t="str">
        <f t="shared" si="834"/>
        <v/>
      </c>
      <c r="V109" s="579" t="str">
        <f t="shared" si="835"/>
        <v/>
      </c>
      <c r="W109" s="528" t="str">
        <f t="shared" si="736"/>
        <v/>
      </c>
      <c r="X109" s="572" t="str">
        <f t="shared" si="836"/>
        <v/>
      </c>
      <c r="Y109" s="573" t="str">
        <f t="shared" si="734"/>
        <v/>
      </c>
      <c r="Z109" s="575" t="str">
        <f t="shared" si="752"/>
        <v/>
      </c>
      <c r="AA109" s="572" t="str">
        <f t="shared" si="753"/>
        <v/>
      </c>
      <c r="AB109" s="572" t="str">
        <f t="shared" si="754"/>
        <v/>
      </c>
      <c r="AC109" s="579" t="str">
        <f t="shared" si="837"/>
        <v/>
      </c>
      <c r="AD109" s="580" t="str">
        <f t="shared" si="838"/>
        <v/>
      </c>
      <c r="AE109" s="572" t="str">
        <f t="shared" si="839"/>
        <v/>
      </c>
      <c r="AF109" s="576" t="str">
        <f t="shared" si="840"/>
        <v/>
      </c>
      <c r="AG109" s="545" t="str">
        <f t="shared" si="841"/>
        <v/>
      </c>
      <c r="AH109" s="546" t="str">
        <f t="shared" si="842"/>
        <v/>
      </c>
      <c r="AI109" s="528" t="str">
        <f t="shared" si="843"/>
        <v/>
      </c>
      <c r="AJ109" s="529" t="str">
        <f t="shared" si="844"/>
        <v/>
      </c>
      <c r="AK109" s="578" t="str">
        <f t="shared" si="845"/>
        <v/>
      </c>
      <c r="AL109" s="572" t="str">
        <f t="shared" si="846"/>
        <v/>
      </c>
      <c r="AM109" s="577" t="str">
        <f t="shared" si="847"/>
        <v/>
      </c>
      <c r="AN109" s="524" t="str">
        <f t="shared" si="848"/>
        <v/>
      </c>
      <c r="AO109" s="525" t="str">
        <f t="shared" si="515"/>
        <v/>
      </c>
      <c r="AP109" s="528" t="str">
        <f t="shared" si="849"/>
        <v/>
      </c>
      <c r="AQ109" s="529" t="str">
        <f t="shared" si="755"/>
        <v/>
      </c>
      <c r="AS109" s="932" t="str">
        <f t="shared" si="853"/>
        <v/>
      </c>
      <c r="AT109" s="928" t="str">
        <f t="shared" si="756"/>
        <v/>
      </c>
      <c r="AU109" s="418"/>
      <c r="AV109" s="164" t="str">
        <f t="shared" si="757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4"/>
        <v/>
      </c>
      <c r="BA109" s="296" t="str">
        <f t="shared" si="758"/>
        <v/>
      </c>
      <c r="BB109" s="177" t="str">
        <f t="shared" si="611"/>
        <v/>
      </c>
      <c r="BC109" s="9"/>
      <c r="BD109" s="5" t="str">
        <f t="shared" si="612"/>
        <v/>
      </c>
      <c r="BE109" s="6" t="str">
        <f t="shared" si="759"/>
        <v/>
      </c>
      <c r="BF109" s="4" t="str">
        <f t="shared" si="760"/>
        <v/>
      </c>
      <c r="BG109" s="5" t="str">
        <f t="shared" si="761"/>
        <v/>
      </c>
      <c r="BH109" s="10" t="str">
        <f t="shared" si="762"/>
        <v/>
      </c>
      <c r="BI109" s="9" t="str">
        <f t="shared" si="635"/>
        <v/>
      </c>
      <c r="BJ109" s="5" t="str">
        <f t="shared" si="763"/>
        <v/>
      </c>
      <c r="BK109" s="8" t="str">
        <f t="shared" si="764"/>
        <v/>
      </c>
      <c r="BL109" s="173" t="str">
        <f t="shared" si="765"/>
        <v/>
      </c>
      <c r="BM109" s="5" t="str">
        <f t="shared" si="766"/>
        <v/>
      </c>
      <c r="BN109" s="6" t="str">
        <f t="shared" si="767"/>
        <v/>
      </c>
      <c r="BO109" s="4" t="str">
        <f t="shared" si="636"/>
        <v/>
      </c>
      <c r="BP109" s="5" t="str">
        <f t="shared" si="735"/>
        <v/>
      </c>
      <c r="BQ109" s="5" t="str">
        <f t="shared" si="637"/>
        <v/>
      </c>
      <c r="BR109" s="6" t="str">
        <f t="shared" si="638"/>
        <v/>
      </c>
      <c r="BS109" s="4" t="str">
        <f t="shared" si="850"/>
        <v/>
      </c>
      <c r="BT109" s="5" t="str">
        <f t="shared" si="850"/>
        <v/>
      </c>
      <c r="BU109" s="10" t="str">
        <f t="shared" si="614"/>
        <v/>
      </c>
      <c r="BV109" s="9" t="str">
        <f t="shared" si="615"/>
        <v/>
      </c>
      <c r="BW109" s="5" t="str">
        <f t="shared" si="616"/>
        <v/>
      </c>
      <c r="BX109" s="8" t="str">
        <f t="shared" si="617"/>
        <v/>
      </c>
      <c r="BY109" s="173" t="str">
        <f t="shared" si="618"/>
        <v/>
      </c>
      <c r="BZ109" s="5" t="str">
        <f t="shared" si="619"/>
        <v/>
      </c>
      <c r="CA109" s="6" t="str">
        <f t="shared" si="620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1"/>
        <v/>
      </c>
      <c r="CJ109" s="5" t="str">
        <f t="shared" si="622"/>
        <v/>
      </c>
      <c r="CK109" s="8" t="str">
        <f t="shared" si="623"/>
        <v/>
      </c>
      <c r="CL109" s="173" t="str">
        <f t="shared" si="624"/>
        <v/>
      </c>
      <c r="CM109" s="5" t="str">
        <f t="shared" si="625"/>
        <v/>
      </c>
      <c r="CN109" s="6" t="str">
        <f t="shared" si="626"/>
        <v/>
      </c>
      <c r="CO109" s="167" t="str">
        <f t="shared" si="768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4"/>
        <v/>
      </c>
      <c r="DC109" s="5" t="str">
        <f t="shared" si="854"/>
        <v/>
      </c>
      <c r="DD109" s="10" t="str">
        <f t="shared" si="659"/>
        <v/>
      </c>
      <c r="DE109" s="9" t="str">
        <f t="shared" si="855"/>
        <v/>
      </c>
      <c r="DF109" s="5" t="str">
        <f t="shared" si="855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9"/>
        <v/>
      </c>
      <c r="ET109" s="5" t="str">
        <f t="shared" si="770"/>
        <v/>
      </c>
      <c r="EU109" s="10" t="str">
        <f t="shared" si="771"/>
        <v/>
      </c>
      <c r="EV109" s="174" t="str">
        <f t="shared" si="772"/>
        <v/>
      </c>
      <c r="EW109" s="9" t="str">
        <f t="shared" si="773"/>
        <v/>
      </c>
      <c r="EX109" s="5" t="str">
        <f t="shared" si="774"/>
        <v/>
      </c>
      <c r="EY109" s="6" t="str">
        <f t="shared" si="699"/>
        <v/>
      </c>
      <c r="EZ109" s="51" t="str">
        <f t="shared" si="700"/>
        <v/>
      </c>
      <c r="FA109" s="173" t="str">
        <f t="shared" si="775"/>
        <v/>
      </c>
      <c r="FB109" s="5" t="str">
        <f t="shared" si="776"/>
        <v/>
      </c>
      <c r="FC109" s="6" t="str">
        <f t="shared" si="777"/>
        <v/>
      </c>
      <c r="FD109" s="4" t="str">
        <f t="shared" si="778"/>
        <v/>
      </c>
      <c r="FE109" s="5" t="str">
        <f t="shared" si="779"/>
        <v/>
      </c>
      <c r="FF109" s="7" t="str">
        <f t="shared" si="701"/>
        <v/>
      </c>
      <c r="FG109" s="173" t="str">
        <f t="shared" si="780"/>
        <v/>
      </c>
      <c r="FH109" s="5" t="str">
        <f t="shared" si="781"/>
        <v/>
      </c>
      <c r="FI109" s="10" t="str">
        <f t="shared" si="782"/>
        <v/>
      </c>
      <c r="FJ109" s="279" t="str">
        <f t="shared" si="702"/>
        <v/>
      </c>
      <c r="FK109" s="4" t="str">
        <f t="shared" si="783"/>
        <v/>
      </c>
      <c r="FL109" s="5" t="str">
        <f t="shared" si="627"/>
        <v/>
      </c>
      <c r="FM109" s="8" t="str">
        <f t="shared" si="628"/>
        <v/>
      </c>
      <c r="FN109" s="9" t="str">
        <f t="shared" si="629"/>
        <v/>
      </c>
      <c r="FO109" s="10" t="str">
        <f t="shared" si="784"/>
        <v/>
      </c>
      <c r="FP109" s="277" t="str">
        <f t="shared" si="630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5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6"/>
        <v/>
      </c>
      <c r="GH109" s="286" t="str">
        <f t="shared" si="787"/>
        <v/>
      </c>
      <c r="GI109" s="281" t="str">
        <f t="shared" si="788"/>
        <v/>
      </c>
      <c r="GJ109" s="167" t="str">
        <f t="shared" si="718"/>
        <v/>
      </c>
      <c r="GK109" s="174" t="str">
        <f t="shared" si="789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90"/>
        <v/>
      </c>
      <c r="GT109" s="343" t="str">
        <f t="shared" si="791"/>
        <v/>
      </c>
      <c r="GU109" s="344" t="str">
        <f t="shared" si="792"/>
        <v/>
      </c>
      <c r="GV109" s="343" t="str">
        <f t="shared" si="726"/>
        <v/>
      </c>
      <c r="GW109" s="345" t="str">
        <f t="shared" si="793"/>
        <v/>
      </c>
      <c r="GX109" s="346" t="str">
        <f t="shared" si="794"/>
        <v/>
      </c>
      <c r="GY109" s="344" t="str">
        <f t="shared" si="795"/>
        <v/>
      </c>
      <c r="GZ109" s="345" t="str">
        <f t="shared" si="796"/>
        <v/>
      </c>
      <c r="HA109" s="342" t="str">
        <f t="shared" si="797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8"/>
        <v/>
      </c>
      <c r="HF109" s="5" t="str">
        <f t="shared" si="799"/>
        <v/>
      </c>
      <c r="HG109" s="343" t="str">
        <f t="shared" si="730"/>
        <v/>
      </c>
      <c r="HH109" s="349" t="str">
        <f t="shared" si="731"/>
        <v/>
      </c>
      <c r="HI109" s="317" t="str">
        <f t="shared" si="800"/>
        <v/>
      </c>
      <c r="HK109" s="310" t="str">
        <f t="shared" si="851"/>
        <v/>
      </c>
      <c r="HL109" s="348" t="str">
        <f t="shared" si="801"/>
        <v/>
      </c>
      <c r="HM109" s="909" t="str">
        <f t="shared" si="802"/>
        <v/>
      </c>
      <c r="HN109" s="910" t="str">
        <f t="shared" si="803"/>
        <v/>
      </c>
      <c r="HO109" s="911"/>
      <c r="HP109" s="912"/>
      <c r="HQ109" s="910" t="str">
        <f t="shared" si="804"/>
        <v/>
      </c>
      <c r="HR109" s="913" t="str">
        <f t="shared" si="805"/>
        <v/>
      </c>
      <c r="HS109" s="865" t="str">
        <f t="shared" si="852"/>
        <v/>
      </c>
      <c r="HT109" s="875" t="str">
        <f t="shared" si="806"/>
        <v/>
      </c>
      <c r="HU109" s="876" t="str">
        <f t="shared" si="807"/>
        <v/>
      </c>
      <c r="HV109" s="872" t="str">
        <f t="shared" si="808"/>
        <v/>
      </c>
      <c r="HW109" s="866" t="str">
        <f t="shared" si="809"/>
        <v/>
      </c>
      <c r="HX109" s="867" t="str">
        <f t="shared" si="810"/>
        <v/>
      </c>
      <c r="HY109" s="866" t="str">
        <f t="shared" si="811"/>
        <v/>
      </c>
      <c r="HZ109" s="868" t="str">
        <f t="shared" si="812"/>
        <v/>
      </c>
      <c r="IA109" s="869" t="str">
        <f t="shared" si="813"/>
        <v/>
      </c>
      <c r="IB109" s="870" t="str">
        <f t="shared" si="814"/>
        <v/>
      </c>
      <c r="IC109" s="841" t="str">
        <f t="shared" si="815"/>
        <v/>
      </c>
      <c r="ID109" s="351" t="str">
        <f t="shared" si="816"/>
        <v/>
      </c>
      <c r="IE109" s="843" t="str">
        <f t="shared" si="817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2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18"/>
        <v/>
      </c>
      <c r="IM109" s="482" t="str">
        <f t="shared" si="733"/>
        <v/>
      </c>
      <c r="IN109" s="670" t="str">
        <f t="shared" si="819"/>
        <v/>
      </c>
      <c r="IO109" s="702"/>
      <c r="IP109" s="5" t="str">
        <f t="shared" si="820"/>
        <v/>
      </c>
      <c r="IQ109" s="714"/>
      <c r="IR109" s="9" t="str">
        <f t="shared" si="821"/>
        <v/>
      </c>
      <c r="IS109" s="5" t="str">
        <f t="shared" si="822"/>
        <v/>
      </c>
      <c r="IT109" s="5" t="str">
        <f t="shared" si="823"/>
        <v/>
      </c>
      <c r="IU109" s="5" t="str">
        <f t="shared" si="824"/>
        <v/>
      </c>
      <c r="IV109" s="670" t="str">
        <f t="shared" si="825"/>
        <v/>
      </c>
      <c r="IW109" s="9" t="str">
        <f t="shared" si="826"/>
        <v/>
      </c>
      <c r="IX109" s="5" t="str">
        <f t="shared" si="827"/>
        <v/>
      </c>
      <c r="IY109" s="5" t="str">
        <f t="shared" si="828"/>
        <v/>
      </c>
      <c r="IZ109" s="5" t="str">
        <f t="shared" si="829"/>
        <v/>
      </c>
      <c r="JA109" s="705" t="str">
        <f t="shared" si="830"/>
        <v/>
      </c>
    </row>
    <row r="110" spans="1:261" ht="15" customHeight="1" x14ac:dyDescent="0.25">
      <c r="A110" s="75" t="str">
        <f t="shared" si="737"/>
        <v/>
      </c>
      <c r="B110" s="578" t="str">
        <f t="shared" si="738"/>
        <v/>
      </c>
      <c r="C110" s="572" t="str">
        <f t="shared" si="739"/>
        <v/>
      </c>
      <c r="D110" s="576" t="str">
        <f t="shared" si="740"/>
        <v/>
      </c>
      <c r="E110" s="580" t="str">
        <f t="shared" si="741"/>
        <v/>
      </c>
      <c r="F110" s="572" t="str">
        <f t="shared" si="742"/>
        <v/>
      </c>
      <c r="G110" s="579" t="str">
        <f t="shared" si="743"/>
        <v/>
      </c>
      <c r="H110" s="580" t="str">
        <f t="shared" si="744"/>
        <v/>
      </c>
      <c r="I110" s="572" t="str">
        <f t="shared" si="745"/>
        <v/>
      </c>
      <c r="J110" s="483" t="str">
        <f t="shared" si="746"/>
        <v/>
      </c>
      <c r="K110" s="806" t="str">
        <f t="shared" si="747"/>
        <v/>
      </c>
      <c r="L110" s="309"/>
      <c r="M110" s="164" t="str">
        <f t="shared" si="748"/>
        <v/>
      </c>
      <c r="N110" s="575" t="str">
        <f t="shared" si="749"/>
        <v/>
      </c>
      <c r="O110" s="572" t="str">
        <f t="shared" si="750"/>
        <v/>
      </c>
      <c r="P110" s="576" t="str">
        <f t="shared" si="751"/>
        <v/>
      </c>
      <c r="Q110" s="528" t="str">
        <f t="shared" si="610"/>
        <v/>
      </c>
      <c r="R110" s="572" t="str">
        <f t="shared" si="831"/>
        <v/>
      </c>
      <c r="S110" s="577" t="str">
        <f t="shared" si="832"/>
        <v/>
      </c>
      <c r="T110" s="578" t="str">
        <f t="shared" si="833"/>
        <v/>
      </c>
      <c r="U110" s="572" t="str">
        <f t="shared" si="834"/>
        <v/>
      </c>
      <c r="V110" s="579" t="str">
        <f t="shared" si="835"/>
        <v/>
      </c>
      <c r="W110" s="528" t="str">
        <f t="shared" si="736"/>
        <v/>
      </c>
      <c r="X110" s="572" t="str">
        <f t="shared" si="836"/>
        <v/>
      </c>
      <c r="Y110" s="573" t="str">
        <f t="shared" si="734"/>
        <v/>
      </c>
      <c r="Z110" s="575" t="str">
        <f t="shared" si="752"/>
        <v/>
      </c>
      <c r="AA110" s="572" t="str">
        <f t="shared" si="753"/>
        <v/>
      </c>
      <c r="AB110" s="572" t="str">
        <f t="shared" si="754"/>
        <v/>
      </c>
      <c r="AC110" s="579" t="str">
        <f t="shared" si="837"/>
        <v/>
      </c>
      <c r="AD110" s="580" t="str">
        <f t="shared" si="838"/>
        <v/>
      </c>
      <c r="AE110" s="572" t="str">
        <f t="shared" si="839"/>
        <v/>
      </c>
      <c r="AF110" s="576" t="str">
        <f t="shared" si="840"/>
        <v/>
      </c>
      <c r="AG110" s="545" t="str">
        <f t="shared" si="841"/>
        <v/>
      </c>
      <c r="AH110" s="546" t="str">
        <f t="shared" si="842"/>
        <v/>
      </c>
      <c r="AI110" s="528" t="str">
        <f t="shared" si="843"/>
        <v/>
      </c>
      <c r="AJ110" s="529" t="str">
        <f t="shared" si="844"/>
        <v/>
      </c>
      <c r="AK110" s="578" t="str">
        <f t="shared" si="845"/>
        <v/>
      </c>
      <c r="AL110" s="572" t="str">
        <f t="shared" si="846"/>
        <v/>
      </c>
      <c r="AM110" s="577" t="str">
        <f t="shared" si="847"/>
        <v/>
      </c>
      <c r="AN110" s="524" t="str">
        <f t="shared" si="848"/>
        <v/>
      </c>
      <c r="AO110" s="525" t="str">
        <f t="shared" si="515"/>
        <v/>
      </c>
      <c r="AP110" s="528" t="str">
        <f t="shared" si="849"/>
        <v/>
      </c>
      <c r="AQ110" s="529" t="str">
        <f t="shared" si="755"/>
        <v/>
      </c>
      <c r="AS110" s="932" t="str">
        <f t="shared" si="853"/>
        <v/>
      </c>
      <c r="AT110" s="928" t="str">
        <f t="shared" si="756"/>
        <v/>
      </c>
      <c r="AU110" s="418"/>
      <c r="AV110" s="164" t="str">
        <f t="shared" si="757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4"/>
        <v/>
      </c>
      <c r="BA110" s="296" t="str">
        <f t="shared" si="758"/>
        <v/>
      </c>
      <c r="BB110" s="177" t="str">
        <f t="shared" si="611"/>
        <v/>
      </c>
      <c r="BC110" s="9"/>
      <c r="BD110" s="5" t="str">
        <f t="shared" si="612"/>
        <v/>
      </c>
      <c r="BE110" s="6" t="str">
        <f t="shared" si="759"/>
        <v/>
      </c>
      <c r="BF110" s="4" t="str">
        <f t="shared" si="760"/>
        <v/>
      </c>
      <c r="BG110" s="5" t="str">
        <f t="shared" si="761"/>
        <v/>
      </c>
      <c r="BH110" s="10" t="str">
        <f t="shared" si="762"/>
        <v/>
      </c>
      <c r="BI110" s="9" t="str">
        <f t="shared" si="635"/>
        <v/>
      </c>
      <c r="BJ110" s="5" t="str">
        <f t="shared" si="763"/>
        <v/>
      </c>
      <c r="BK110" s="8" t="str">
        <f t="shared" si="764"/>
        <v/>
      </c>
      <c r="BL110" s="173" t="str">
        <f t="shared" si="765"/>
        <v/>
      </c>
      <c r="BM110" s="5" t="str">
        <f t="shared" si="766"/>
        <v/>
      </c>
      <c r="BN110" s="6" t="str">
        <f t="shared" si="767"/>
        <v/>
      </c>
      <c r="BO110" s="4" t="str">
        <f t="shared" si="636"/>
        <v/>
      </c>
      <c r="BP110" s="5" t="str">
        <f t="shared" si="735"/>
        <v/>
      </c>
      <c r="BQ110" s="5" t="str">
        <f t="shared" si="637"/>
        <v/>
      </c>
      <c r="BR110" s="6" t="str">
        <f t="shared" si="638"/>
        <v/>
      </c>
      <c r="BS110" s="4" t="str">
        <f t="shared" si="850"/>
        <v/>
      </c>
      <c r="BT110" s="5" t="str">
        <f t="shared" si="850"/>
        <v/>
      </c>
      <c r="BU110" s="10" t="str">
        <f t="shared" si="614"/>
        <v/>
      </c>
      <c r="BV110" s="9" t="str">
        <f t="shared" si="615"/>
        <v/>
      </c>
      <c r="BW110" s="5" t="str">
        <f t="shared" si="616"/>
        <v/>
      </c>
      <c r="BX110" s="8" t="str">
        <f t="shared" si="617"/>
        <v/>
      </c>
      <c r="BY110" s="173" t="str">
        <f t="shared" si="618"/>
        <v/>
      </c>
      <c r="BZ110" s="5" t="str">
        <f t="shared" si="619"/>
        <v/>
      </c>
      <c r="CA110" s="6" t="str">
        <f t="shared" si="620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1"/>
        <v/>
      </c>
      <c r="CJ110" s="5" t="str">
        <f t="shared" si="622"/>
        <v/>
      </c>
      <c r="CK110" s="8" t="str">
        <f t="shared" si="623"/>
        <v/>
      </c>
      <c r="CL110" s="173" t="str">
        <f t="shared" si="624"/>
        <v/>
      </c>
      <c r="CM110" s="5" t="str">
        <f t="shared" si="625"/>
        <v/>
      </c>
      <c r="CN110" s="6" t="str">
        <f t="shared" si="626"/>
        <v/>
      </c>
      <c r="CO110" s="167" t="str">
        <f t="shared" si="768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4"/>
        <v/>
      </c>
      <c r="DC110" s="5" t="str">
        <f t="shared" si="854"/>
        <v/>
      </c>
      <c r="DD110" s="10" t="str">
        <f t="shared" si="659"/>
        <v/>
      </c>
      <c r="DE110" s="9" t="str">
        <f t="shared" si="855"/>
        <v/>
      </c>
      <c r="DF110" s="5" t="str">
        <f t="shared" si="855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9"/>
        <v/>
      </c>
      <c r="ET110" s="5" t="str">
        <f t="shared" si="770"/>
        <v/>
      </c>
      <c r="EU110" s="10" t="str">
        <f t="shared" si="771"/>
        <v/>
      </c>
      <c r="EV110" s="174" t="str">
        <f t="shared" si="772"/>
        <v/>
      </c>
      <c r="EW110" s="9" t="str">
        <f t="shared" si="773"/>
        <v/>
      </c>
      <c r="EX110" s="5" t="str">
        <f t="shared" si="774"/>
        <v/>
      </c>
      <c r="EY110" s="6" t="str">
        <f t="shared" si="699"/>
        <v/>
      </c>
      <c r="EZ110" s="51" t="str">
        <f t="shared" si="700"/>
        <v/>
      </c>
      <c r="FA110" s="173" t="str">
        <f t="shared" si="775"/>
        <v/>
      </c>
      <c r="FB110" s="5" t="str">
        <f t="shared" si="776"/>
        <v/>
      </c>
      <c r="FC110" s="6" t="str">
        <f t="shared" si="777"/>
        <v/>
      </c>
      <c r="FD110" s="4" t="str">
        <f t="shared" si="778"/>
        <v/>
      </c>
      <c r="FE110" s="5" t="str">
        <f t="shared" si="779"/>
        <v/>
      </c>
      <c r="FF110" s="7" t="str">
        <f t="shared" si="701"/>
        <v/>
      </c>
      <c r="FG110" s="173" t="str">
        <f t="shared" si="780"/>
        <v/>
      </c>
      <c r="FH110" s="5" t="str">
        <f t="shared" si="781"/>
        <v/>
      </c>
      <c r="FI110" s="10" t="str">
        <f t="shared" si="782"/>
        <v/>
      </c>
      <c r="FJ110" s="279" t="str">
        <f t="shared" si="702"/>
        <v/>
      </c>
      <c r="FK110" s="4" t="str">
        <f t="shared" si="783"/>
        <v/>
      </c>
      <c r="FL110" s="5" t="str">
        <f t="shared" si="627"/>
        <v/>
      </c>
      <c r="FM110" s="8" t="str">
        <f t="shared" si="628"/>
        <v/>
      </c>
      <c r="FN110" s="9" t="str">
        <f t="shared" si="629"/>
        <v/>
      </c>
      <c r="FO110" s="10" t="str">
        <f t="shared" si="784"/>
        <v/>
      </c>
      <c r="FP110" s="277" t="str">
        <f t="shared" si="630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5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6"/>
        <v/>
      </c>
      <c r="GH110" s="286" t="str">
        <f t="shared" si="787"/>
        <v/>
      </c>
      <c r="GI110" s="281" t="str">
        <f t="shared" si="788"/>
        <v/>
      </c>
      <c r="GJ110" s="167" t="str">
        <f t="shared" si="718"/>
        <v/>
      </c>
      <c r="GK110" s="174" t="str">
        <f t="shared" si="789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90"/>
        <v/>
      </c>
      <c r="GT110" s="343" t="str">
        <f t="shared" si="791"/>
        <v/>
      </c>
      <c r="GU110" s="344" t="str">
        <f t="shared" si="792"/>
        <v/>
      </c>
      <c r="GV110" s="343" t="str">
        <f t="shared" si="726"/>
        <v/>
      </c>
      <c r="GW110" s="345" t="str">
        <f t="shared" si="793"/>
        <v/>
      </c>
      <c r="GX110" s="346" t="str">
        <f t="shared" si="794"/>
        <v/>
      </c>
      <c r="GY110" s="344" t="str">
        <f t="shared" si="795"/>
        <v/>
      </c>
      <c r="GZ110" s="345" t="str">
        <f t="shared" si="796"/>
        <v/>
      </c>
      <c r="HA110" s="342" t="str">
        <f t="shared" si="797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8"/>
        <v/>
      </c>
      <c r="HF110" s="5" t="str">
        <f t="shared" si="799"/>
        <v/>
      </c>
      <c r="HG110" s="343" t="str">
        <f t="shared" si="730"/>
        <v/>
      </c>
      <c r="HH110" s="349" t="str">
        <f t="shared" si="731"/>
        <v/>
      </c>
      <c r="HI110" s="317" t="str">
        <f t="shared" si="800"/>
        <v/>
      </c>
      <c r="HK110" s="310" t="str">
        <f t="shared" si="851"/>
        <v/>
      </c>
      <c r="HL110" s="348" t="str">
        <f t="shared" si="801"/>
        <v/>
      </c>
      <c r="HM110" s="909" t="str">
        <f t="shared" si="802"/>
        <v/>
      </c>
      <c r="HN110" s="910" t="str">
        <f t="shared" si="803"/>
        <v/>
      </c>
      <c r="HO110" s="911"/>
      <c r="HP110" s="912"/>
      <c r="HQ110" s="910" t="str">
        <f t="shared" si="804"/>
        <v/>
      </c>
      <c r="HR110" s="913" t="str">
        <f t="shared" si="805"/>
        <v/>
      </c>
      <c r="HS110" s="865" t="str">
        <f t="shared" si="852"/>
        <v/>
      </c>
      <c r="HT110" s="875" t="str">
        <f t="shared" si="806"/>
        <v/>
      </c>
      <c r="HU110" s="876" t="str">
        <f t="shared" si="807"/>
        <v/>
      </c>
      <c r="HV110" s="872" t="str">
        <f t="shared" si="808"/>
        <v/>
      </c>
      <c r="HW110" s="866" t="str">
        <f t="shared" si="809"/>
        <v/>
      </c>
      <c r="HX110" s="867" t="str">
        <f t="shared" si="810"/>
        <v/>
      </c>
      <c r="HY110" s="866" t="str">
        <f t="shared" si="811"/>
        <v/>
      </c>
      <c r="HZ110" s="868" t="str">
        <f t="shared" si="812"/>
        <v/>
      </c>
      <c r="IA110" s="869" t="str">
        <f t="shared" si="813"/>
        <v/>
      </c>
      <c r="IB110" s="870" t="str">
        <f t="shared" si="814"/>
        <v/>
      </c>
      <c r="IC110" s="841" t="str">
        <f t="shared" si="815"/>
        <v/>
      </c>
      <c r="ID110" s="351" t="str">
        <f t="shared" si="816"/>
        <v/>
      </c>
      <c r="IE110" s="843" t="str">
        <f t="shared" si="817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2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18"/>
        <v/>
      </c>
      <c r="IM110" s="482" t="str">
        <f t="shared" si="733"/>
        <v/>
      </c>
      <c r="IN110" s="670" t="str">
        <f t="shared" si="819"/>
        <v/>
      </c>
      <c r="IO110" s="702"/>
      <c r="IP110" s="5" t="str">
        <f t="shared" si="820"/>
        <v/>
      </c>
      <c r="IQ110" s="714"/>
      <c r="IR110" s="9" t="str">
        <f t="shared" si="821"/>
        <v/>
      </c>
      <c r="IS110" s="5" t="str">
        <f t="shared" si="822"/>
        <v/>
      </c>
      <c r="IT110" s="5" t="str">
        <f t="shared" si="823"/>
        <v/>
      </c>
      <c r="IU110" s="5" t="str">
        <f t="shared" si="824"/>
        <v/>
      </c>
      <c r="IV110" s="670" t="str">
        <f t="shared" si="825"/>
        <v/>
      </c>
      <c r="IW110" s="9" t="str">
        <f t="shared" si="826"/>
        <v/>
      </c>
      <c r="IX110" s="5" t="str">
        <f t="shared" si="827"/>
        <v/>
      </c>
      <c r="IY110" s="5" t="str">
        <f t="shared" si="828"/>
        <v/>
      </c>
      <c r="IZ110" s="5" t="str">
        <f t="shared" si="829"/>
        <v/>
      </c>
      <c r="JA110" s="705" t="str">
        <f t="shared" si="830"/>
        <v/>
      </c>
    </row>
    <row r="111" spans="1:261" ht="15" customHeight="1" x14ac:dyDescent="0.25">
      <c r="A111" s="75" t="str">
        <f t="shared" si="737"/>
        <v/>
      </c>
      <c r="B111" s="578" t="str">
        <f t="shared" si="738"/>
        <v/>
      </c>
      <c r="C111" s="572" t="str">
        <f t="shared" si="739"/>
        <v/>
      </c>
      <c r="D111" s="576" t="str">
        <f t="shared" si="740"/>
        <v/>
      </c>
      <c r="E111" s="580" t="str">
        <f t="shared" si="741"/>
        <v/>
      </c>
      <c r="F111" s="572" t="str">
        <f t="shared" si="742"/>
        <v/>
      </c>
      <c r="G111" s="579" t="str">
        <f t="shared" si="743"/>
        <v/>
      </c>
      <c r="H111" s="580" t="str">
        <f t="shared" si="744"/>
        <v/>
      </c>
      <c r="I111" s="572" t="str">
        <f t="shared" si="745"/>
        <v/>
      </c>
      <c r="J111" s="483" t="str">
        <f t="shared" si="746"/>
        <v/>
      </c>
      <c r="K111" s="806" t="str">
        <f t="shared" si="747"/>
        <v/>
      </c>
      <c r="L111" s="309"/>
      <c r="M111" s="164" t="str">
        <f t="shared" si="748"/>
        <v/>
      </c>
      <c r="N111" s="575" t="str">
        <f t="shared" si="749"/>
        <v/>
      </c>
      <c r="O111" s="572" t="str">
        <f t="shared" si="750"/>
        <v/>
      </c>
      <c r="P111" s="576" t="str">
        <f t="shared" si="751"/>
        <v/>
      </c>
      <c r="Q111" s="528" t="str">
        <f t="shared" si="610"/>
        <v/>
      </c>
      <c r="R111" s="572" t="str">
        <f t="shared" si="831"/>
        <v/>
      </c>
      <c r="S111" s="577" t="str">
        <f t="shared" si="832"/>
        <v/>
      </c>
      <c r="T111" s="578" t="str">
        <f t="shared" si="833"/>
        <v/>
      </c>
      <c r="U111" s="572" t="str">
        <f t="shared" si="834"/>
        <v/>
      </c>
      <c r="V111" s="579" t="str">
        <f t="shared" si="835"/>
        <v/>
      </c>
      <c r="W111" s="528" t="str">
        <f t="shared" si="736"/>
        <v/>
      </c>
      <c r="X111" s="572" t="str">
        <f t="shared" si="836"/>
        <v/>
      </c>
      <c r="Y111" s="573" t="str">
        <f t="shared" si="734"/>
        <v/>
      </c>
      <c r="Z111" s="575" t="str">
        <f t="shared" si="752"/>
        <v/>
      </c>
      <c r="AA111" s="572" t="str">
        <f t="shared" si="753"/>
        <v/>
      </c>
      <c r="AB111" s="572" t="str">
        <f t="shared" si="754"/>
        <v/>
      </c>
      <c r="AC111" s="579" t="str">
        <f t="shared" si="837"/>
        <v/>
      </c>
      <c r="AD111" s="580" t="str">
        <f t="shared" si="838"/>
        <v/>
      </c>
      <c r="AE111" s="572" t="str">
        <f t="shared" si="839"/>
        <v/>
      </c>
      <c r="AF111" s="576" t="str">
        <f t="shared" si="840"/>
        <v/>
      </c>
      <c r="AG111" s="545" t="str">
        <f t="shared" si="841"/>
        <v/>
      </c>
      <c r="AH111" s="546" t="str">
        <f t="shared" si="842"/>
        <v/>
      </c>
      <c r="AI111" s="528" t="str">
        <f t="shared" si="843"/>
        <v/>
      </c>
      <c r="AJ111" s="529" t="str">
        <f t="shared" si="844"/>
        <v/>
      </c>
      <c r="AK111" s="578" t="str">
        <f t="shared" si="845"/>
        <v/>
      </c>
      <c r="AL111" s="572" t="str">
        <f t="shared" si="846"/>
        <v/>
      </c>
      <c r="AM111" s="577" t="str">
        <f t="shared" si="847"/>
        <v/>
      </c>
      <c r="AN111" s="524" t="str">
        <f t="shared" si="848"/>
        <v/>
      </c>
      <c r="AO111" s="525" t="str">
        <f t="shared" si="515"/>
        <v/>
      </c>
      <c r="AP111" s="528" t="str">
        <f t="shared" si="849"/>
        <v/>
      </c>
      <c r="AQ111" s="529" t="str">
        <f t="shared" si="755"/>
        <v/>
      </c>
      <c r="AS111" s="932" t="str">
        <f t="shared" si="853"/>
        <v/>
      </c>
      <c r="AT111" s="928" t="str">
        <f t="shared" si="756"/>
        <v/>
      </c>
      <c r="AU111" s="418"/>
      <c r="AV111" s="164" t="str">
        <f t="shared" si="757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4"/>
        <v/>
      </c>
      <c r="BA111" s="296" t="str">
        <f t="shared" si="758"/>
        <v/>
      </c>
      <c r="BB111" s="177" t="str">
        <f t="shared" si="611"/>
        <v/>
      </c>
      <c r="BC111" s="9"/>
      <c r="BD111" s="5" t="str">
        <f t="shared" si="612"/>
        <v/>
      </c>
      <c r="BE111" s="6" t="str">
        <f t="shared" si="759"/>
        <v/>
      </c>
      <c r="BF111" s="4" t="str">
        <f t="shared" si="760"/>
        <v/>
      </c>
      <c r="BG111" s="5" t="str">
        <f t="shared" si="761"/>
        <v/>
      </c>
      <c r="BH111" s="10" t="str">
        <f t="shared" si="762"/>
        <v/>
      </c>
      <c r="BI111" s="9" t="str">
        <f t="shared" si="635"/>
        <v/>
      </c>
      <c r="BJ111" s="5" t="str">
        <f t="shared" si="763"/>
        <v/>
      </c>
      <c r="BK111" s="8" t="str">
        <f t="shared" si="764"/>
        <v/>
      </c>
      <c r="BL111" s="173" t="str">
        <f t="shared" si="765"/>
        <v/>
      </c>
      <c r="BM111" s="5" t="str">
        <f t="shared" si="766"/>
        <v/>
      </c>
      <c r="BN111" s="6" t="str">
        <f t="shared" si="767"/>
        <v/>
      </c>
      <c r="BO111" s="4" t="str">
        <f t="shared" si="636"/>
        <v/>
      </c>
      <c r="BP111" s="5" t="str">
        <f t="shared" si="735"/>
        <v/>
      </c>
      <c r="BQ111" s="5" t="str">
        <f t="shared" si="637"/>
        <v/>
      </c>
      <c r="BR111" s="6" t="str">
        <f t="shared" si="638"/>
        <v/>
      </c>
      <c r="BS111" s="4" t="str">
        <f t="shared" si="850"/>
        <v/>
      </c>
      <c r="BT111" s="5" t="str">
        <f t="shared" si="850"/>
        <v/>
      </c>
      <c r="BU111" s="10" t="str">
        <f t="shared" si="614"/>
        <v/>
      </c>
      <c r="BV111" s="9" t="str">
        <f t="shared" si="615"/>
        <v/>
      </c>
      <c r="BW111" s="5" t="str">
        <f t="shared" si="616"/>
        <v/>
      </c>
      <c r="BX111" s="8" t="str">
        <f t="shared" si="617"/>
        <v/>
      </c>
      <c r="BY111" s="173" t="str">
        <f t="shared" si="618"/>
        <v/>
      </c>
      <c r="BZ111" s="5" t="str">
        <f t="shared" si="619"/>
        <v/>
      </c>
      <c r="CA111" s="6" t="str">
        <f t="shared" si="620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1"/>
        <v/>
      </c>
      <c r="CJ111" s="5" t="str">
        <f t="shared" si="622"/>
        <v/>
      </c>
      <c r="CK111" s="8" t="str">
        <f t="shared" si="623"/>
        <v/>
      </c>
      <c r="CL111" s="173" t="str">
        <f t="shared" si="624"/>
        <v/>
      </c>
      <c r="CM111" s="5" t="str">
        <f t="shared" si="625"/>
        <v/>
      </c>
      <c r="CN111" s="6" t="str">
        <f t="shared" si="626"/>
        <v/>
      </c>
      <c r="CO111" s="167" t="str">
        <f t="shared" si="768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4"/>
        <v/>
      </c>
      <c r="DC111" s="5" t="str">
        <f t="shared" si="854"/>
        <v/>
      </c>
      <c r="DD111" s="10" t="str">
        <f t="shared" si="659"/>
        <v/>
      </c>
      <c r="DE111" s="9" t="str">
        <f t="shared" si="855"/>
        <v/>
      </c>
      <c r="DF111" s="5" t="str">
        <f t="shared" si="855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9"/>
        <v/>
      </c>
      <c r="ET111" s="5" t="str">
        <f t="shared" si="770"/>
        <v/>
      </c>
      <c r="EU111" s="10" t="str">
        <f t="shared" si="771"/>
        <v/>
      </c>
      <c r="EV111" s="174" t="str">
        <f t="shared" si="772"/>
        <v/>
      </c>
      <c r="EW111" s="9" t="str">
        <f t="shared" si="773"/>
        <v/>
      </c>
      <c r="EX111" s="5" t="str">
        <f t="shared" si="774"/>
        <v/>
      </c>
      <c r="EY111" s="6" t="str">
        <f t="shared" si="699"/>
        <v/>
      </c>
      <c r="EZ111" s="51" t="str">
        <f t="shared" si="700"/>
        <v/>
      </c>
      <c r="FA111" s="173" t="str">
        <f t="shared" si="775"/>
        <v/>
      </c>
      <c r="FB111" s="5" t="str">
        <f t="shared" si="776"/>
        <v/>
      </c>
      <c r="FC111" s="6" t="str">
        <f t="shared" si="777"/>
        <v/>
      </c>
      <c r="FD111" s="4" t="str">
        <f t="shared" si="778"/>
        <v/>
      </c>
      <c r="FE111" s="5" t="str">
        <f t="shared" si="779"/>
        <v/>
      </c>
      <c r="FF111" s="7" t="str">
        <f t="shared" si="701"/>
        <v/>
      </c>
      <c r="FG111" s="173" t="str">
        <f t="shared" si="780"/>
        <v/>
      </c>
      <c r="FH111" s="5" t="str">
        <f t="shared" si="781"/>
        <v/>
      </c>
      <c r="FI111" s="10" t="str">
        <f t="shared" si="782"/>
        <v/>
      </c>
      <c r="FJ111" s="279" t="str">
        <f t="shared" si="702"/>
        <v/>
      </c>
      <c r="FK111" s="4" t="str">
        <f t="shared" si="783"/>
        <v/>
      </c>
      <c r="FL111" s="5" t="str">
        <f t="shared" si="627"/>
        <v/>
      </c>
      <c r="FM111" s="8" t="str">
        <f t="shared" si="628"/>
        <v/>
      </c>
      <c r="FN111" s="9" t="str">
        <f t="shared" si="629"/>
        <v/>
      </c>
      <c r="FO111" s="10" t="str">
        <f t="shared" si="784"/>
        <v/>
      </c>
      <c r="FP111" s="277" t="str">
        <f t="shared" si="630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5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6"/>
        <v/>
      </c>
      <c r="GH111" s="286" t="str">
        <f t="shared" si="787"/>
        <v/>
      </c>
      <c r="GI111" s="281" t="str">
        <f t="shared" si="788"/>
        <v/>
      </c>
      <c r="GJ111" s="167" t="str">
        <f t="shared" si="718"/>
        <v/>
      </c>
      <c r="GK111" s="174" t="str">
        <f t="shared" si="789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90"/>
        <v/>
      </c>
      <c r="GT111" s="343" t="str">
        <f t="shared" si="791"/>
        <v/>
      </c>
      <c r="GU111" s="344" t="str">
        <f t="shared" si="792"/>
        <v/>
      </c>
      <c r="GV111" s="343" t="str">
        <f t="shared" si="726"/>
        <v/>
      </c>
      <c r="GW111" s="345" t="str">
        <f t="shared" si="793"/>
        <v/>
      </c>
      <c r="GX111" s="346" t="str">
        <f t="shared" si="794"/>
        <v/>
      </c>
      <c r="GY111" s="344" t="str">
        <f t="shared" si="795"/>
        <v/>
      </c>
      <c r="GZ111" s="345" t="str">
        <f t="shared" si="796"/>
        <v/>
      </c>
      <c r="HA111" s="342" t="str">
        <f t="shared" si="797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8"/>
        <v/>
      </c>
      <c r="HF111" s="5" t="str">
        <f t="shared" si="799"/>
        <v/>
      </c>
      <c r="HG111" s="343" t="str">
        <f t="shared" si="730"/>
        <v/>
      </c>
      <c r="HH111" s="349" t="str">
        <f t="shared" si="731"/>
        <v/>
      </c>
      <c r="HI111" s="317" t="str">
        <f t="shared" si="800"/>
        <v/>
      </c>
      <c r="HK111" s="310" t="str">
        <f t="shared" si="851"/>
        <v/>
      </c>
      <c r="HL111" s="348" t="str">
        <f t="shared" si="801"/>
        <v/>
      </c>
      <c r="HM111" s="909" t="str">
        <f t="shared" si="802"/>
        <v/>
      </c>
      <c r="HN111" s="910" t="str">
        <f t="shared" si="803"/>
        <v/>
      </c>
      <c r="HO111" s="911"/>
      <c r="HP111" s="912"/>
      <c r="HQ111" s="910" t="str">
        <f t="shared" si="804"/>
        <v/>
      </c>
      <c r="HR111" s="913" t="str">
        <f t="shared" si="805"/>
        <v/>
      </c>
      <c r="HS111" s="865" t="str">
        <f t="shared" si="852"/>
        <v/>
      </c>
      <c r="HT111" s="875" t="str">
        <f t="shared" si="806"/>
        <v/>
      </c>
      <c r="HU111" s="876" t="str">
        <f t="shared" si="807"/>
        <v/>
      </c>
      <c r="HV111" s="872" t="str">
        <f t="shared" si="808"/>
        <v/>
      </c>
      <c r="HW111" s="866" t="str">
        <f t="shared" si="809"/>
        <v/>
      </c>
      <c r="HX111" s="867" t="str">
        <f t="shared" si="810"/>
        <v/>
      </c>
      <c r="HY111" s="866" t="str">
        <f t="shared" si="811"/>
        <v/>
      </c>
      <c r="HZ111" s="868" t="str">
        <f t="shared" si="812"/>
        <v/>
      </c>
      <c r="IA111" s="869" t="str">
        <f t="shared" si="813"/>
        <v/>
      </c>
      <c r="IB111" s="870" t="str">
        <f t="shared" si="814"/>
        <v/>
      </c>
      <c r="IC111" s="841" t="str">
        <f t="shared" si="815"/>
        <v/>
      </c>
      <c r="ID111" s="351" t="str">
        <f t="shared" si="816"/>
        <v/>
      </c>
      <c r="IE111" s="843" t="str">
        <f t="shared" si="817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2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18"/>
        <v/>
      </c>
      <c r="IM111" s="482" t="str">
        <f t="shared" si="733"/>
        <v/>
      </c>
      <c r="IN111" s="670" t="str">
        <f t="shared" si="819"/>
        <v/>
      </c>
      <c r="IO111" s="702"/>
      <c r="IP111" s="5" t="str">
        <f t="shared" si="820"/>
        <v/>
      </c>
      <c r="IQ111" s="714"/>
      <c r="IR111" s="9" t="str">
        <f t="shared" si="821"/>
        <v/>
      </c>
      <c r="IS111" s="5" t="str">
        <f t="shared" si="822"/>
        <v/>
      </c>
      <c r="IT111" s="5" t="str">
        <f t="shared" si="823"/>
        <v/>
      </c>
      <c r="IU111" s="5" t="str">
        <f t="shared" si="824"/>
        <v/>
      </c>
      <c r="IV111" s="670" t="str">
        <f t="shared" si="825"/>
        <v/>
      </c>
      <c r="IW111" s="9" t="str">
        <f t="shared" si="826"/>
        <v/>
      </c>
      <c r="IX111" s="5" t="str">
        <f t="shared" si="827"/>
        <v/>
      </c>
      <c r="IY111" s="5" t="str">
        <f t="shared" si="828"/>
        <v/>
      </c>
      <c r="IZ111" s="5" t="str">
        <f t="shared" si="829"/>
        <v/>
      </c>
      <c r="JA111" s="705" t="str">
        <f t="shared" si="830"/>
        <v/>
      </c>
    </row>
    <row r="112" spans="1:261" ht="15" customHeight="1" x14ac:dyDescent="0.25">
      <c r="A112" s="75" t="str">
        <f t="shared" si="737"/>
        <v/>
      </c>
      <c r="B112" s="578" t="str">
        <f t="shared" si="738"/>
        <v/>
      </c>
      <c r="C112" s="572" t="str">
        <f t="shared" si="739"/>
        <v/>
      </c>
      <c r="D112" s="576" t="str">
        <f t="shared" si="740"/>
        <v/>
      </c>
      <c r="E112" s="580" t="str">
        <f t="shared" si="741"/>
        <v/>
      </c>
      <c r="F112" s="572" t="str">
        <f t="shared" si="742"/>
        <v/>
      </c>
      <c r="G112" s="579" t="str">
        <f t="shared" si="743"/>
        <v/>
      </c>
      <c r="H112" s="580" t="str">
        <f t="shared" si="744"/>
        <v/>
      </c>
      <c r="I112" s="572" t="str">
        <f t="shared" si="745"/>
        <v/>
      </c>
      <c r="J112" s="483" t="str">
        <f t="shared" si="746"/>
        <v/>
      </c>
      <c r="K112" s="806" t="str">
        <f t="shared" si="747"/>
        <v/>
      </c>
      <c r="L112" s="309"/>
      <c r="M112" s="164" t="str">
        <f t="shared" si="748"/>
        <v/>
      </c>
      <c r="N112" s="575" t="str">
        <f t="shared" si="749"/>
        <v/>
      </c>
      <c r="O112" s="572" t="str">
        <f t="shared" si="750"/>
        <v/>
      </c>
      <c r="P112" s="576" t="str">
        <f t="shared" si="751"/>
        <v/>
      </c>
      <c r="Q112" s="528" t="str">
        <f t="shared" si="610"/>
        <v/>
      </c>
      <c r="R112" s="572" t="str">
        <f t="shared" si="831"/>
        <v/>
      </c>
      <c r="S112" s="577" t="str">
        <f t="shared" si="832"/>
        <v/>
      </c>
      <c r="T112" s="578" t="str">
        <f t="shared" si="833"/>
        <v/>
      </c>
      <c r="U112" s="572" t="str">
        <f t="shared" si="834"/>
        <v/>
      </c>
      <c r="V112" s="579" t="str">
        <f t="shared" si="835"/>
        <v/>
      </c>
      <c r="W112" s="528" t="str">
        <f t="shared" si="736"/>
        <v/>
      </c>
      <c r="X112" s="572" t="str">
        <f t="shared" si="836"/>
        <v/>
      </c>
      <c r="Y112" s="573" t="str">
        <f t="shared" si="734"/>
        <v/>
      </c>
      <c r="Z112" s="575" t="str">
        <f t="shared" si="752"/>
        <v/>
      </c>
      <c r="AA112" s="572" t="str">
        <f t="shared" si="753"/>
        <v/>
      </c>
      <c r="AB112" s="572" t="str">
        <f t="shared" si="754"/>
        <v/>
      </c>
      <c r="AC112" s="579" t="str">
        <f t="shared" si="837"/>
        <v/>
      </c>
      <c r="AD112" s="580" t="str">
        <f t="shared" si="838"/>
        <v/>
      </c>
      <c r="AE112" s="572" t="str">
        <f t="shared" si="839"/>
        <v/>
      </c>
      <c r="AF112" s="576" t="str">
        <f t="shared" si="840"/>
        <v/>
      </c>
      <c r="AG112" s="545" t="str">
        <f t="shared" si="841"/>
        <v/>
      </c>
      <c r="AH112" s="546" t="str">
        <f t="shared" si="842"/>
        <v/>
      </c>
      <c r="AI112" s="528" t="str">
        <f t="shared" si="843"/>
        <v/>
      </c>
      <c r="AJ112" s="529" t="str">
        <f t="shared" si="844"/>
        <v/>
      </c>
      <c r="AK112" s="578" t="str">
        <f t="shared" si="845"/>
        <v/>
      </c>
      <c r="AL112" s="572" t="str">
        <f t="shared" si="846"/>
        <v/>
      </c>
      <c r="AM112" s="577" t="str">
        <f t="shared" si="847"/>
        <v/>
      </c>
      <c r="AN112" s="524" t="str">
        <f t="shared" si="848"/>
        <v/>
      </c>
      <c r="AO112" s="525" t="str">
        <f t="shared" si="515"/>
        <v/>
      </c>
      <c r="AP112" s="528" t="str">
        <f t="shared" si="849"/>
        <v/>
      </c>
      <c r="AQ112" s="529" t="str">
        <f t="shared" si="755"/>
        <v/>
      </c>
      <c r="AS112" s="932" t="str">
        <f t="shared" si="853"/>
        <v/>
      </c>
      <c r="AT112" s="928" t="str">
        <f t="shared" si="756"/>
        <v/>
      </c>
      <c r="AU112" s="418"/>
      <c r="AV112" s="164" t="str">
        <f t="shared" si="757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4"/>
        <v/>
      </c>
      <c r="BA112" s="296" t="str">
        <f t="shared" si="758"/>
        <v/>
      </c>
      <c r="BB112" s="177" t="str">
        <f t="shared" si="611"/>
        <v/>
      </c>
      <c r="BC112" s="9"/>
      <c r="BD112" s="5" t="str">
        <f t="shared" si="612"/>
        <v/>
      </c>
      <c r="BE112" s="6" t="str">
        <f t="shared" si="759"/>
        <v/>
      </c>
      <c r="BF112" s="4" t="str">
        <f t="shared" si="760"/>
        <v/>
      </c>
      <c r="BG112" s="5" t="str">
        <f t="shared" si="761"/>
        <v/>
      </c>
      <c r="BH112" s="10" t="str">
        <f t="shared" si="762"/>
        <v/>
      </c>
      <c r="BI112" s="9" t="str">
        <f t="shared" si="635"/>
        <v/>
      </c>
      <c r="BJ112" s="5" t="str">
        <f t="shared" si="763"/>
        <v/>
      </c>
      <c r="BK112" s="8" t="str">
        <f t="shared" si="764"/>
        <v/>
      </c>
      <c r="BL112" s="173" t="str">
        <f t="shared" si="765"/>
        <v/>
      </c>
      <c r="BM112" s="5" t="str">
        <f t="shared" si="766"/>
        <v/>
      </c>
      <c r="BN112" s="6" t="str">
        <f t="shared" si="767"/>
        <v/>
      </c>
      <c r="BO112" s="4" t="str">
        <f t="shared" si="636"/>
        <v/>
      </c>
      <c r="BP112" s="5" t="str">
        <f t="shared" si="735"/>
        <v/>
      </c>
      <c r="BQ112" s="5" t="str">
        <f t="shared" si="637"/>
        <v/>
      </c>
      <c r="BR112" s="6" t="str">
        <f t="shared" si="638"/>
        <v/>
      </c>
      <c r="BS112" s="4" t="str">
        <f t="shared" si="850"/>
        <v/>
      </c>
      <c r="BT112" s="5" t="str">
        <f t="shared" si="850"/>
        <v/>
      </c>
      <c r="BU112" s="10" t="str">
        <f t="shared" si="614"/>
        <v/>
      </c>
      <c r="BV112" s="9" t="str">
        <f t="shared" si="615"/>
        <v/>
      </c>
      <c r="BW112" s="5" t="str">
        <f t="shared" si="616"/>
        <v/>
      </c>
      <c r="BX112" s="8" t="str">
        <f t="shared" si="617"/>
        <v/>
      </c>
      <c r="BY112" s="173" t="str">
        <f t="shared" si="618"/>
        <v/>
      </c>
      <c r="BZ112" s="5" t="str">
        <f t="shared" si="619"/>
        <v/>
      </c>
      <c r="CA112" s="6" t="str">
        <f t="shared" si="620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1"/>
        <v/>
      </c>
      <c r="CJ112" s="5" t="str">
        <f t="shared" si="622"/>
        <v/>
      </c>
      <c r="CK112" s="8" t="str">
        <f t="shared" si="623"/>
        <v/>
      </c>
      <c r="CL112" s="173" t="str">
        <f t="shared" si="624"/>
        <v/>
      </c>
      <c r="CM112" s="5" t="str">
        <f t="shared" si="625"/>
        <v/>
      </c>
      <c r="CN112" s="6" t="str">
        <f t="shared" si="626"/>
        <v/>
      </c>
      <c r="CO112" s="167" t="str">
        <f t="shared" si="768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4"/>
        <v/>
      </c>
      <c r="DC112" s="5" t="str">
        <f t="shared" si="854"/>
        <v/>
      </c>
      <c r="DD112" s="10" t="str">
        <f t="shared" si="659"/>
        <v/>
      </c>
      <c r="DE112" s="9" t="str">
        <f t="shared" si="855"/>
        <v/>
      </c>
      <c r="DF112" s="5" t="str">
        <f t="shared" si="855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9"/>
        <v/>
      </c>
      <c r="ET112" s="5" t="str">
        <f t="shared" si="770"/>
        <v/>
      </c>
      <c r="EU112" s="10" t="str">
        <f t="shared" si="771"/>
        <v/>
      </c>
      <c r="EV112" s="174" t="str">
        <f t="shared" si="772"/>
        <v/>
      </c>
      <c r="EW112" s="9" t="str">
        <f t="shared" si="773"/>
        <v/>
      </c>
      <c r="EX112" s="5" t="str">
        <f t="shared" si="774"/>
        <v/>
      </c>
      <c r="EY112" s="6" t="str">
        <f t="shared" si="699"/>
        <v/>
      </c>
      <c r="EZ112" s="51" t="str">
        <f t="shared" si="700"/>
        <v/>
      </c>
      <c r="FA112" s="173" t="str">
        <f t="shared" si="775"/>
        <v/>
      </c>
      <c r="FB112" s="5" t="str">
        <f t="shared" si="776"/>
        <v/>
      </c>
      <c r="FC112" s="6" t="str">
        <f t="shared" si="777"/>
        <v/>
      </c>
      <c r="FD112" s="4" t="str">
        <f t="shared" si="778"/>
        <v/>
      </c>
      <c r="FE112" s="5" t="str">
        <f t="shared" si="779"/>
        <v/>
      </c>
      <c r="FF112" s="7" t="str">
        <f t="shared" si="701"/>
        <v/>
      </c>
      <c r="FG112" s="173" t="str">
        <f t="shared" si="780"/>
        <v/>
      </c>
      <c r="FH112" s="5" t="str">
        <f t="shared" si="781"/>
        <v/>
      </c>
      <c r="FI112" s="10" t="str">
        <f t="shared" si="782"/>
        <v/>
      </c>
      <c r="FJ112" s="279" t="str">
        <f t="shared" si="702"/>
        <v/>
      </c>
      <c r="FK112" s="4" t="str">
        <f t="shared" si="783"/>
        <v/>
      </c>
      <c r="FL112" s="5" t="str">
        <f t="shared" si="627"/>
        <v/>
      </c>
      <c r="FM112" s="8" t="str">
        <f t="shared" si="628"/>
        <v/>
      </c>
      <c r="FN112" s="9" t="str">
        <f t="shared" si="629"/>
        <v/>
      </c>
      <c r="FO112" s="10" t="str">
        <f t="shared" si="784"/>
        <v/>
      </c>
      <c r="FP112" s="277" t="str">
        <f t="shared" si="630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5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6"/>
        <v/>
      </c>
      <c r="GH112" s="286" t="str">
        <f t="shared" si="787"/>
        <v/>
      </c>
      <c r="GI112" s="281" t="str">
        <f t="shared" si="788"/>
        <v/>
      </c>
      <c r="GJ112" s="167" t="str">
        <f t="shared" si="718"/>
        <v/>
      </c>
      <c r="GK112" s="174" t="str">
        <f t="shared" si="789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90"/>
        <v/>
      </c>
      <c r="GT112" s="343" t="str">
        <f t="shared" si="791"/>
        <v/>
      </c>
      <c r="GU112" s="344" t="str">
        <f t="shared" si="792"/>
        <v/>
      </c>
      <c r="GV112" s="343" t="str">
        <f t="shared" si="726"/>
        <v/>
      </c>
      <c r="GW112" s="345" t="str">
        <f t="shared" si="793"/>
        <v/>
      </c>
      <c r="GX112" s="346" t="str">
        <f t="shared" si="794"/>
        <v/>
      </c>
      <c r="GY112" s="344" t="str">
        <f t="shared" si="795"/>
        <v/>
      </c>
      <c r="GZ112" s="345" t="str">
        <f t="shared" si="796"/>
        <v/>
      </c>
      <c r="HA112" s="342" t="str">
        <f t="shared" si="797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8"/>
        <v/>
      </c>
      <c r="HF112" s="5" t="str">
        <f t="shared" si="799"/>
        <v/>
      </c>
      <c r="HG112" s="343" t="str">
        <f t="shared" si="730"/>
        <v/>
      </c>
      <c r="HH112" s="349" t="str">
        <f t="shared" si="731"/>
        <v/>
      </c>
      <c r="HI112" s="317" t="str">
        <f t="shared" si="800"/>
        <v/>
      </c>
      <c r="HK112" s="310" t="str">
        <f t="shared" si="851"/>
        <v/>
      </c>
      <c r="HL112" s="348" t="str">
        <f t="shared" si="801"/>
        <v/>
      </c>
      <c r="HM112" s="909" t="str">
        <f t="shared" si="802"/>
        <v/>
      </c>
      <c r="HN112" s="910" t="str">
        <f t="shared" si="803"/>
        <v/>
      </c>
      <c r="HO112" s="911"/>
      <c r="HP112" s="912"/>
      <c r="HQ112" s="910" t="str">
        <f t="shared" si="804"/>
        <v/>
      </c>
      <c r="HR112" s="913" t="str">
        <f t="shared" si="805"/>
        <v/>
      </c>
      <c r="HS112" s="865" t="str">
        <f t="shared" si="852"/>
        <v/>
      </c>
      <c r="HT112" s="875" t="str">
        <f t="shared" si="806"/>
        <v/>
      </c>
      <c r="HU112" s="876" t="str">
        <f t="shared" si="807"/>
        <v/>
      </c>
      <c r="HV112" s="872" t="str">
        <f t="shared" si="808"/>
        <v/>
      </c>
      <c r="HW112" s="866" t="str">
        <f t="shared" si="809"/>
        <v/>
      </c>
      <c r="HX112" s="867" t="str">
        <f t="shared" si="810"/>
        <v/>
      </c>
      <c r="HY112" s="866" t="str">
        <f t="shared" si="811"/>
        <v/>
      </c>
      <c r="HZ112" s="868" t="str">
        <f t="shared" si="812"/>
        <v/>
      </c>
      <c r="IA112" s="869" t="str">
        <f t="shared" si="813"/>
        <v/>
      </c>
      <c r="IB112" s="870" t="str">
        <f t="shared" si="814"/>
        <v/>
      </c>
      <c r="IC112" s="841" t="str">
        <f t="shared" si="815"/>
        <v/>
      </c>
      <c r="ID112" s="351" t="str">
        <f t="shared" si="816"/>
        <v/>
      </c>
      <c r="IE112" s="843" t="str">
        <f t="shared" si="817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2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18"/>
        <v/>
      </c>
      <c r="IM112" s="482" t="str">
        <f t="shared" si="733"/>
        <v/>
      </c>
      <c r="IN112" s="670" t="str">
        <f t="shared" si="819"/>
        <v/>
      </c>
      <c r="IO112" s="702"/>
      <c r="IP112" s="5" t="str">
        <f t="shared" si="820"/>
        <v/>
      </c>
      <c r="IQ112" s="714"/>
      <c r="IR112" s="9" t="str">
        <f t="shared" si="821"/>
        <v/>
      </c>
      <c r="IS112" s="5" t="str">
        <f t="shared" si="822"/>
        <v/>
      </c>
      <c r="IT112" s="5" t="str">
        <f t="shared" si="823"/>
        <v/>
      </c>
      <c r="IU112" s="5" t="str">
        <f t="shared" si="824"/>
        <v/>
      </c>
      <c r="IV112" s="670" t="str">
        <f t="shared" si="825"/>
        <v/>
      </c>
      <c r="IW112" s="9" t="str">
        <f t="shared" si="826"/>
        <v/>
      </c>
      <c r="IX112" s="5" t="str">
        <f t="shared" si="827"/>
        <v/>
      </c>
      <c r="IY112" s="5" t="str">
        <f t="shared" si="828"/>
        <v/>
      </c>
      <c r="IZ112" s="5" t="str">
        <f t="shared" si="829"/>
        <v/>
      </c>
      <c r="JA112" s="705" t="str">
        <f t="shared" si="830"/>
        <v/>
      </c>
    </row>
    <row r="113" spans="1:261" ht="15" customHeight="1" x14ac:dyDescent="0.25">
      <c r="A113" s="75" t="str">
        <f t="shared" si="737"/>
        <v/>
      </c>
      <c r="B113" s="578" t="str">
        <f t="shared" si="738"/>
        <v/>
      </c>
      <c r="C113" s="572" t="str">
        <f t="shared" si="739"/>
        <v/>
      </c>
      <c r="D113" s="576" t="str">
        <f t="shared" si="740"/>
        <v/>
      </c>
      <c r="E113" s="580" t="str">
        <f t="shared" si="741"/>
        <v/>
      </c>
      <c r="F113" s="572" t="str">
        <f t="shared" si="742"/>
        <v/>
      </c>
      <c r="G113" s="579" t="str">
        <f t="shared" si="743"/>
        <v/>
      </c>
      <c r="H113" s="580" t="str">
        <f t="shared" si="744"/>
        <v/>
      </c>
      <c r="I113" s="572" t="str">
        <f t="shared" si="745"/>
        <v/>
      </c>
      <c r="J113" s="483" t="str">
        <f t="shared" si="746"/>
        <v/>
      </c>
      <c r="K113" s="806" t="str">
        <f t="shared" si="747"/>
        <v/>
      </c>
      <c r="L113" s="309"/>
      <c r="M113" s="164" t="str">
        <f t="shared" si="748"/>
        <v/>
      </c>
      <c r="N113" s="575" t="str">
        <f t="shared" si="749"/>
        <v/>
      </c>
      <c r="O113" s="572" t="str">
        <f t="shared" si="750"/>
        <v/>
      </c>
      <c r="P113" s="576" t="str">
        <f t="shared" si="751"/>
        <v/>
      </c>
      <c r="Q113" s="528" t="str">
        <f t="shared" si="610"/>
        <v/>
      </c>
      <c r="R113" s="572" t="str">
        <f t="shared" si="831"/>
        <v/>
      </c>
      <c r="S113" s="577" t="str">
        <f t="shared" si="832"/>
        <v/>
      </c>
      <c r="T113" s="578" t="str">
        <f t="shared" si="833"/>
        <v/>
      </c>
      <c r="U113" s="572" t="str">
        <f t="shared" si="834"/>
        <v/>
      </c>
      <c r="V113" s="579" t="str">
        <f t="shared" si="835"/>
        <v/>
      </c>
      <c r="W113" s="528" t="str">
        <f t="shared" si="736"/>
        <v/>
      </c>
      <c r="X113" s="572" t="str">
        <f t="shared" si="836"/>
        <v/>
      </c>
      <c r="Y113" s="573" t="str">
        <f t="shared" si="734"/>
        <v/>
      </c>
      <c r="Z113" s="575" t="str">
        <f t="shared" si="752"/>
        <v/>
      </c>
      <c r="AA113" s="572" t="str">
        <f t="shared" si="753"/>
        <v/>
      </c>
      <c r="AB113" s="572" t="str">
        <f t="shared" si="754"/>
        <v/>
      </c>
      <c r="AC113" s="579" t="str">
        <f t="shared" si="837"/>
        <v/>
      </c>
      <c r="AD113" s="580" t="str">
        <f t="shared" si="838"/>
        <v/>
      </c>
      <c r="AE113" s="572" t="str">
        <f t="shared" si="839"/>
        <v/>
      </c>
      <c r="AF113" s="576" t="str">
        <f t="shared" si="840"/>
        <v/>
      </c>
      <c r="AG113" s="545" t="str">
        <f t="shared" si="841"/>
        <v/>
      </c>
      <c r="AH113" s="546" t="str">
        <f t="shared" si="842"/>
        <v/>
      </c>
      <c r="AI113" s="528" t="str">
        <f t="shared" si="843"/>
        <v/>
      </c>
      <c r="AJ113" s="529" t="str">
        <f t="shared" si="844"/>
        <v/>
      </c>
      <c r="AK113" s="578" t="str">
        <f t="shared" si="845"/>
        <v/>
      </c>
      <c r="AL113" s="572" t="str">
        <f t="shared" si="846"/>
        <v/>
      </c>
      <c r="AM113" s="577" t="str">
        <f t="shared" si="847"/>
        <v/>
      </c>
      <c r="AN113" s="524" t="str">
        <f t="shared" si="848"/>
        <v/>
      </c>
      <c r="AO113" s="525" t="str">
        <f t="shared" si="515"/>
        <v/>
      </c>
      <c r="AP113" s="528" t="str">
        <f t="shared" si="849"/>
        <v/>
      </c>
      <c r="AQ113" s="529" t="str">
        <f t="shared" si="755"/>
        <v/>
      </c>
      <c r="AS113" s="932" t="str">
        <f t="shared" si="853"/>
        <v/>
      </c>
      <c r="AT113" s="928" t="str">
        <f t="shared" si="756"/>
        <v/>
      </c>
      <c r="AU113" s="418"/>
      <c r="AV113" s="164" t="str">
        <f t="shared" si="757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4"/>
        <v/>
      </c>
      <c r="BA113" s="296" t="str">
        <f t="shared" si="758"/>
        <v/>
      </c>
      <c r="BB113" s="177" t="str">
        <f t="shared" si="611"/>
        <v/>
      </c>
      <c r="BC113" s="9"/>
      <c r="BD113" s="5" t="str">
        <f t="shared" si="612"/>
        <v/>
      </c>
      <c r="BE113" s="6" t="str">
        <f t="shared" si="759"/>
        <v/>
      </c>
      <c r="BF113" s="4" t="str">
        <f t="shared" si="760"/>
        <v/>
      </c>
      <c r="BG113" s="5" t="str">
        <f t="shared" si="761"/>
        <v/>
      </c>
      <c r="BH113" s="10" t="str">
        <f t="shared" si="762"/>
        <v/>
      </c>
      <c r="BI113" s="9" t="str">
        <f t="shared" si="635"/>
        <v/>
      </c>
      <c r="BJ113" s="5" t="str">
        <f t="shared" si="763"/>
        <v/>
      </c>
      <c r="BK113" s="8" t="str">
        <f t="shared" si="764"/>
        <v/>
      </c>
      <c r="BL113" s="173" t="str">
        <f t="shared" si="765"/>
        <v/>
      </c>
      <c r="BM113" s="5" t="str">
        <f t="shared" si="766"/>
        <v/>
      </c>
      <c r="BN113" s="6" t="str">
        <f t="shared" si="767"/>
        <v/>
      </c>
      <c r="BO113" s="4" t="str">
        <f t="shared" si="636"/>
        <v/>
      </c>
      <c r="BP113" s="5" t="str">
        <f t="shared" si="735"/>
        <v/>
      </c>
      <c r="BQ113" s="5" t="str">
        <f t="shared" si="637"/>
        <v/>
      </c>
      <c r="BR113" s="6" t="str">
        <f t="shared" si="638"/>
        <v/>
      </c>
      <c r="BS113" s="4" t="str">
        <f t="shared" si="850"/>
        <v/>
      </c>
      <c r="BT113" s="5" t="str">
        <f t="shared" si="850"/>
        <v/>
      </c>
      <c r="BU113" s="10" t="str">
        <f t="shared" si="614"/>
        <v/>
      </c>
      <c r="BV113" s="9" t="str">
        <f t="shared" si="615"/>
        <v/>
      </c>
      <c r="BW113" s="5" t="str">
        <f t="shared" si="616"/>
        <v/>
      </c>
      <c r="BX113" s="8" t="str">
        <f t="shared" si="617"/>
        <v/>
      </c>
      <c r="BY113" s="173" t="str">
        <f t="shared" si="618"/>
        <v/>
      </c>
      <c r="BZ113" s="5" t="str">
        <f t="shared" si="619"/>
        <v/>
      </c>
      <c r="CA113" s="6" t="str">
        <f t="shared" si="620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1"/>
        <v/>
      </c>
      <c r="CJ113" s="5" t="str">
        <f t="shared" si="622"/>
        <v/>
      </c>
      <c r="CK113" s="8" t="str">
        <f t="shared" si="623"/>
        <v/>
      </c>
      <c r="CL113" s="173" t="str">
        <f t="shared" si="624"/>
        <v/>
      </c>
      <c r="CM113" s="5" t="str">
        <f t="shared" si="625"/>
        <v/>
      </c>
      <c r="CN113" s="6" t="str">
        <f t="shared" si="626"/>
        <v/>
      </c>
      <c r="CO113" s="167" t="str">
        <f t="shared" si="768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4"/>
        <v/>
      </c>
      <c r="DC113" s="5" t="str">
        <f t="shared" si="854"/>
        <v/>
      </c>
      <c r="DD113" s="10" t="str">
        <f t="shared" si="659"/>
        <v/>
      </c>
      <c r="DE113" s="9" t="str">
        <f t="shared" si="855"/>
        <v/>
      </c>
      <c r="DF113" s="5" t="str">
        <f t="shared" si="855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9"/>
        <v/>
      </c>
      <c r="ET113" s="5" t="str">
        <f t="shared" si="770"/>
        <v/>
      </c>
      <c r="EU113" s="10" t="str">
        <f t="shared" si="771"/>
        <v/>
      </c>
      <c r="EV113" s="174" t="str">
        <f t="shared" si="772"/>
        <v/>
      </c>
      <c r="EW113" s="9" t="str">
        <f t="shared" si="773"/>
        <v/>
      </c>
      <c r="EX113" s="5" t="str">
        <f t="shared" si="774"/>
        <v/>
      </c>
      <c r="EY113" s="6" t="str">
        <f t="shared" si="699"/>
        <v/>
      </c>
      <c r="EZ113" s="51" t="str">
        <f t="shared" si="700"/>
        <v/>
      </c>
      <c r="FA113" s="173" t="str">
        <f t="shared" si="775"/>
        <v/>
      </c>
      <c r="FB113" s="5" t="str">
        <f t="shared" si="776"/>
        <v/>
      </c>
      <c r="FC113" s="6" t="str">
        <f t="shared" si="777"/>
        <v/>
      </c>
      <c r="FD113" s="4" t="str">
        <f t="shared" si="778"/>
        <v/>
      </c>
      <c r="FE113" s="5" t="str">
        <f t="shared" si="779"/>
        <v/>
      </c>
      <c r="FF113" s="7" t="str">
        <f t="shared" si="701"/>
        <v/>
      </c>
      <c r="FG113" s="173" t="str">
        <f t="shared" si="780"/>
        <v/>
      </c>
      <c r="FH113" s="5" t="str">
        <f t="shared" si="781"/>
        <v/>
      </c>
      <c r="FI113" s="10" t="str">
        <f t="shared" si="782"/>
        <v/>
      </c>
      <c r="FJ113" s="279" t="str">
        <f t="shared" si="702"/>
        <v/>
      </c>
      <c r="FK113" s="4" t="str">
        <f t="shared" si="783"/>
        <v/>
      </c>
      <c r="FL113" s="5" t="str">
        <f t="shared" si="627"/>
        <v/>
      </c>
      <c r="FM113" s="8" t="str">
        <f t="shared" si="628"/>
        <v/>
      </c>
      <c r="FN113" s="9" t="str">
        <f t="shared" si="629"/>
        <v/>
      </c>
      <c r="FO113" s="10" t="str">
        <f t="shared" si="784"/>
        <v/>
      </c>
      <c r="FP113" s="277" t="str">
        <f t="shared" si="630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5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6"/>
        <v/>
      </c>
      <c r="GH113" s="286" t="str">
        <f t="shared" si="787"/>
        <v/>
      </c>
      <c r="GI113" s="281" t="str">
        <f t="shared" si="788"/>
        <v/>
      </c>
      <c r="GJ113" s="167" t="str">
        <f t="shared" si="718"/>
        <v/>
      </c>
      <c r="GK113" s="174" t="str">
        <f t="shared" si="789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90"/>
        <v/>
      </c>
      <c r="GT113" s="343" t="str">
        <f t="shared" si="791"/>
        <v/>
      </c>
      <c r="GU113" s="344" t="str">
        <f t="shared" si="792"/>
        <v/>
      </c>
      <c r="GV113" s="343" t="str">
        <f t="shared" si="726"/>
        <v/>
      </c>
      <c r="GW113" s="345" t="str">
        <f t="shared" si="793"/>
        <v/>
      </c>
      <c r="GX113" s="346" t="str">
        <f t="shared" si="794"/>
        <v/>
      </c>
      <c r="GY113" s="344" t="str">
        <f t="shared" si="795"/>
        <v/>
      </c>
      <c r="GZ113" s="345" t="str">
        <f t="shared" si="796"/>
        <v/>
      </c>
      <c r="HA113" s="342" t="str">
        <f t="shared" si="797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8"/>
        <v/>
      </c>
      <c r="HF113" s="5" t="str">
        <f t="shared" si="799"/>
        <v/>
      </c>
      <c r="HG113" s="343" t="str">
        <f t="shared" si="730"/>
        <v/>
      </c>
      <c r="HH113" s="349" t="str">
        <f t="shared" si="731"/>
        <v/>
      </c>
      <c r="HI113" s="317" t="str">
        <f t="shared" si="800"/>
        <v/>
      </c>
      <c r="HK113" s="310" t="str">
        <f t="shared" si="851"/>
        <v/>
      </c>
      <c r="HL113" s="348" t="str">
        <f t="shared" si="801"/>
        <v/>
      </c>
      <c r="HM113" s="909" t="str">
        <f t="shared" si="802"/>
        <v/>
      </c>
      <c r="HN113" s="910" t="str">
        <f t="shared" si="803"/>
        <v/>
      </c>
      <c r="HO113" s="911"/>
      <c r="HP113" s="912"/>
      <c r="HQ113" s="910" t="str">
        <f t="shared" si="804"/>
        <v/>
      </c>
      <c r="HR113" s="913" t="str">
        <f t="shared" si="805"/>
        <v/>
      </c>
      <c r="HS113" s="865" t="str">
        <f t="shared" si="852"/>
        <v/>
      </c>
      <c r="HT113" s="875" t="str">
        <f t="shared" si="806"/>
        <v/>
      </c>
      <c r="HU113" s="876" t="str">
        <f t="shared" si="807"/>
        <v/>
      </c>
      <c r="HV113" s="872" t="str">
        <f t="shared" si="808"/>
        <v/>
      </c>
      <c r="HW113" s="866" t="str">
        <f t="shared" si="809"/>
        <v/>
      </c>
      <c r="HX113" s="867" t="str">
        <f t="shared" si="810"/>
        <v/>
      </c>
      <c r="HY113" s="866" t="str">
        <f t="shared" si="811"/>
        <v/>
      </c>
      <c r="HZ113" s="868" t="str">
        <f t="shared" si="812"/>
        <v/>
      </c>
      <c r="IA113" s="869" t="str">
        <f t="shared" si="813"/>
        <v/>
      </c>
      <c r="IB113" s="870" t="str">
        <f t="shared" si="814"/>
        <v/>
      </c>
      <c r="IC113" s="841" t="str">
        <f t="shared" si="815"/>
        <v/>
      </c>
      <c r="ID113" s="351" t="str">
        <f t="shared" si="816"/>
        <v/>
      </c>
      <c r="IE113" s="843" t="str">
        <f t="shared" si="817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2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18"/>
        <v/>
      </c>
      <c r="IM113" s="482" t="str">
        <f t="shared" si="733"/>
        <v/>
      </c>
      <c r="IN113" s="670" t="str">
        <f t="shared" si="819"/>
        <v/>
      </c>
      <c r="IO113" s="702"/>
      <c r="IP113" s="5" t="str">
        <f t="shared" si="820"/>
        <v/>
      </c>
      <c r="IQ113" s="714"/>
      <c r="IR113" s="9" t="str">
        <f t="shared" si="821"/>
        <v/>
      </c>
      <c r="IS113" s="5" t="str">
        <f t="shared" si="822"/>
        <v/>
      </c>
      <c r="IT113" s="5" t="str">
        <f t="shared" si="823"/>
        <v/>
      </c>
      <c r="IU113" s="5" t="str">
        <f t="shared" si="824"/>
        <v/>
      </c>
      <c r="IV113" s="670" t="str">
        <f t="shared" si="825"/>
        <v/>
      </c>
      <c r="IW113" s="9" t="str">
        <f t="shared" si="826"/>
        <v/>
      </c>
      <c r="IX113" s="5" t="str">
        <f t="shared" si="827"/>
        <v/>
      </c>
      <c r="IY113" s="5" t="str">
        <f t="shared" si="828"/>
        <v/>
      </c>
      <c r="IZ113" s="5" t="str">
        <f t="shared" si="829"/>
        <v/>
      </c>
      <c r="JA113" s="705" t="str">
        <f t="shared" si="830"/>
        <v/>
      </c>
    </row>
    <row r="114" spans="1:261" ht="15" customHeight="1" x14ac:dyDescent="0.25">
      <c r="A114" s="75" t="str">
        <f t="shared" si="737"/>
        <v/>
      </c>
      <c r="B114" s="578" t="str">
        <f t="shared" si="738"/>
        <v/>
      </c>
      <c r="C114" s="572" t="str">
        <f t="shared" si="739"/>
        <v/>
      </c>
      <c r="D114" s="576" t="str">
        <f t="shared" si="740"/>
        <v/>
      </c>
      <c r="E114" s="580" t="str">
        <f t="shared" si="741"/>
        <v/>
      </c>
      <c r="F114" s="572" t="str">
        <f t="shared" si="742"/>
        <v/>
      </c>
      <c r="G114" s="579" t="str">
        <f t="shared" si="743"/>
        <v/>
      </c>
      <c r="H114" s="580" t="str">
        <f t="shared" si="744"/>
        <v/>
      </c>
      <c r="I114" s="572" t="str">
        <f t="shared" si="745"/>
        <v/>
      </c>
      <c r="J114" s="483" t="str">
        <f t="shared" si="746"/>
        <v/>
      </c>
      <c r="K114" s="806" t="str">
        <f t="shared" si="747"/>
        <v/>
      </c>
      <c r="L114" s="309"/>
      <c r="M114" s="164" t="str">
        <f t="shared" si="748"/>
        <v/>
      </c>
      <c r="N114" s="575" t="str">
        <f t="shared" si="749"/>
        <v/>
      </c>
      <c r="O114" s="572" t="str">
        <f t="shared" si="750"/>
        <v/>
      </c>
      <c r="P114" s="576" t="str">
        <f t="shared" si="751"/>
        <v/>
      </c>
      <c r="Q114" s="528" t="str">
        <f t="shared" si="610"/>
        <v/>
      </c>
      <c r="R114" s="572" t="str">
        <f t="shared" si="831"/>
        <v/>
      </c>
      <c r="S114" s="577" t="str">
        <f t="shared" si="832"/>
        <v/>
      </c>
      <c r="T114" s="578" t="str">
        <f t="shared" si="833"/>
        <v/>
      </c>
      <c r="U114" s="572" t="str">
        <f t="shared" si="834"/>
        <v/>
      </c>
      <c r="V114" s="579" t="str">
        <f t="shared" si="835"/>
        <v/>
      </c>
      <c r="W114" s="528" t="str">
        <f t="shared" si="736"/>
        <v/>
      </c>
      <c r="X114" s="572" t="str">
        <f t="shared" si="836"/>
        <v/>
      </c>
      <c r="Y114" s="573" t="str">
        <f t="shared" si="734"/>
        <v/>
      </c>
      <c r="Z114" s="575" t="str">
        <f t="shared" si="752"/>
        <v/>
      </c>
      <c r="AA114" s="572" t="str">
        <f t="shared" si="753"/>
        <v/>
      </c>
      <c r="AB114" s="572" t="str">
        <f t="shared" si="754"/>
        <v/>
      </c>
      <c r="AC114" s="579" t="str">
        <f t="shared" si="837"/>
        <v/>
      </c>
      <c r="AD114" s="580" t="str">
        <f t="shared" si="838"/>
        <v/>
      </c>
      <c r="AE114" s="572" t="str">
        <f t="shared" si="839"/>
        <v/>
      </c>
      <c r="AF114" s="576" t="str">
        <f t="shared" si="840"/>
        <v/>
      </c>
      <c r="AG114" s="545" t="str">
        <f t="shared" si="841"/>
        <v/>
      </c>
      <c r="AH114" s="546" t="str">
        <f t="shared" si="842"/>
        <v/>
      </c>
      <c r="AI114" s="528" t="str">
        <f t="shared" si="843"/>
        <v/>
      </c>
      <c r="AJ114" s="529" t="str">
        <f t="shared" si="844"/>
        <v/>
      </c>
      <c r="AK114" s="578" t="str">
        <f t="shared" si="845"/>
        <v/>
      </c>
      <c r="AL114" s="572" t="str">
        <f t="shared" si="846"/>
        <v/>
      </c>
      <c r="AM114" s="577" t="str">
        <f t="shared" si="847"/>
        <v/>
      </c>
      <c r="AN114" s="524" t="str">
        <f t="shared" si="848"/>
        <v/>
      </c>
      <c r="AO114" s="525" t="str">
        <f t="shared" si="515"/>
        <v/>
      </c>
      <c r="AP114" s="528" t="str">
        <f t="shared" si="849"/>
        <v/>
      </c>
      <c r="AQ114" s="529" t="str">
        <f t="shared" si="755"/>
        <v/>
      </c>
      <c r="AS114" s="932" t="str">
        <f t="shared" si="853"/>
        <v/>
      </c>
      <c r="AT114" s="928" t="str">
        <f t="shared" si="756"/>
        <v/>
      </c>
      <c r="AU114" s="418"/>
      <c r="AV114" s="164" t="str">
        <f t="shared" si="757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4"/>
        <v/>
      </c>
      <c r="BA114" s="296" t="str">
        <f t="shared" si="758"/>
        <v/>
      </c>
      <c r="BB114" s="177" t="str">
        <f t="shared" si="611"/>
        <v/>
      </c>
      <c r="BC114" s="9"/>
      <c r="BD114" s="5" t="str">
        <f t="shared" si="612"/>
        <v/>
      </c>
      <c r="BE114" s="6" t="str">
        <f t="shared" si="759"/>
        <v/>
      </c>
      <c r="BF114" s="4" t="str">
        <f t="shared" si="760"/>
        <v/>
      </c>
      <c r="BG114" s="5" t="str">
        <f t="shared" si="761"/>
        <v/>
      </c>
      <c r="BH114" s="10" t="str">
        <f t="shared" si="762"/>
        <v/>
      </c>
      <c r="BI114" s="9" t="str">
        <f t="shared" si="635"/>
        <v/>
      </c>
      <c r="BJ114" s="5" t="str">
        <f t="shared" si="763"/>
        <v/>
      </c>
      <c r="BK114" s="8" t="str">
        <f t="shared" si="764"/>
        <v/>
      </c>
      <c r="BL114" s="173" t="str">
        <f t="shared" si="765"/>
        <v/>
      </c>
      <c r="BM114" s="5" t="str">
        <f t="shared" si="766"/>
        <v/>
      </c>
      <c r="BN114" s="6" t="str">
        <f t="shared" si="767"/>
        <v/>
      </c>
      <c r="BO114" s="4" t="str">
        <f t="shared" si="636"/>
        <v/>
      </c>
      <c r="BP114" s="5" t="str">
        <f t="shared" si="735"/>
        <v/>
      </c>
      <c r="BQ114" s="5" t="str">
        <f t="shared" si="637"/>
        <v/>
      </c>
      <c r="BR114" s="6" t="str">
        <f t="shared" si="638"/>
        <v/>
      </c>
      <c r="BS114" s="4" t="str">
        <f t="shared" si="850"/>
        <v/>
      </c>
      <c r="BT114" s="5" t="str">
        <f t="shared" si="850"/>
        <v/>
      </c>
      <c r="BU114" s="10" t="str">
        <f t="shared" si="614"/>
        <v/>
      </c>
      <c r="BV114" s="9" t="str">
        <f t="shared" si="615"/>
        <v/>
      </c>
      <c r="BW114" s="5" t="str">
        <f t="shared" si="616"/>
        <v/>
      </c>
      <c r="BX114" s="8" t="str">
        <f t="shared" si="617"/>
        <v/>
      </c>
      <c r="BY114" s="173" t="str">
        <f t="shared" si="618"/>
        <v/>
      </c>
      <c r="BZ114" s="5" t="str">
        <f t="shared" si="619"/>
        <v/>
      </c>
      <c r="CA114" s="6" t="str">
        <f t="shared" si="620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1"/>
        <v/>
      </c>
      <c r="CJ114" s="5" t="str">
        <f t="shared" si="622"/>
        <v/>
      </c>
      <c r="CK114" s="8" t="str">
        <f t="shared" si="623"/>
        <v/>
      </c>
      <c r="CL114" s="173" t="str">
        <f t="shared" si="624"/>
        <v/>
      </c>
      <c r="CM114" s="5" t="str">
        <f t="shared" si="625"/>
        <v/>
      </c>
      <c r="CN114" s="6" t="str">
        <f t="shared" si="626"/>
        <v/>
      </c>
      <c r="CO114" s="167" t="str">
        <f t="shared" si="768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4"/>
        <v/>
      </c>
      <c r="DC114" s="5" t="str">
        <f t="shared" si="854"/>
        <v/>
      </c>
      <c r="DD114" s="10" t="str">
        <f t="shared" si="659"/>
        <v/>
      </c>
      <c r="DE114" s="9" t="str">
        <f t="shared" si="855"/>
        <v/>
      </c>
      <c r="DF114" s="5" t="str">
        <f t="shared" si="855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9"/>
        <v/>
      </c>
      <c r="ET114" s="5" t="str">
        <f t="shared" si="770"/>
        <v/>
      </c>
      <c r="EU114" s="10" t="str">
        <f t="shared" si="771"/>
        <v/>
      </c>
      <c r="EV114" s="174" t="str">
        <f t="shared" si="772"/>
        <v/>
      </c>
      <c r="EW114" s="9" t="str">
        <f t="shared" si="773"/>
        <v/>
      </c>
      <c r="EX114" s="5" t="str">
        <f t="shared" si="774"/>
        <v/>
      </c>
      <c r="EY114" s="6" t="str">
        <f t="shared" si="699"/>
        <v/>
      </c>
      <c r="EZ114" s="51" t="str">
        <f t="shared" si="700"/>
        <v/>
      </c>
      <c r="FA114" s="173" t="str">
        <f t="shared" si="775"/>
        <v/>
      </c>
      <c r="FB114" s="5" t="str">
        <f t="shared" si="776"/>
        <v/>
      </c>
      <c r="FC114" s="6" t="str">
        <f t="shared" si="777"/>
        <v/>
      </c>
      <c r="FD114" s="4" t="str">
        <f t="shared" si="778"/>
        <v/>
      </c>
      <c r="FE114" s="5" t="str">
        <f t="shared" si="779"/>
        <v/>
      </c>
      <c r="FF114" s="7" t="str">
        <f t="shared" si="701"/>
        <v/>
      </c>
      <c r="FG114" s="173" t="str">
        <f t="shared" si="780"/>
        <v/>
      </c>
      <c r="FH114" s="5" t="str">
        <f t="shared" si="781"/>
        <v/>
      </c>
      <c r="FI114" s="10" t="str">
        <f t="shared" si="782"/>
        <v/>
      </c>
      <c r="FJ114" s="279" t="str">
        <f t="shared" si="702"/>
        <v/>
      </c>
      <c r="FK114" s="4" t="str">
        <f t="shared" si="783"/>
        <v/>
      </c>
      <c r="FL114" s="5" t="str">
        <f t="shared" si="627"/>
        <v/>
      </c>
      <c r="FM114" s="8" t="str">
        <f t="shared" si="628"/>
        <v/>
      </c>
      <c r="FN114" s="9" t="str">
        <f t="shared" si="629"/>
        <v/>
      </c>
      <c r="FO114" s="10" t="str">
        <f t="shared" si="784"/>
        <v/>
      </c>
      <c r="FP114" s="277" t="str">
        <f t="shared" si="630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5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6"/>
        <v/>
      </c>
      <c r="GH114" s="286" t="str">
        <f t="shared" si="787"/>
        <v/>
      </c>
      <c r="GI114" s="281" t="str">
        <f t="shared" si="788"/>
        <v/>
      </c>
      <c r="GJ114" s="167" t="str">
        <f t="shared" si="718"/>
        <v/>
      </c>
      <c r="GK114" s="174" t="str">
        <f t="shared" si="789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90"/>
        <v/>
      </c>
      <c r="GT114" s="343" t="str">
        <f t="shared" si="791"/>
        <v/>
      </c>
      <c r="GU114" s="344" t="str">
        <f t="shared" si="792"/>
        <v/>
      </c>
      <c r="GV114" s="343" t="str">
        <f t="shared" si="726"/>
        <v/>
      </c>
      <c r="GW114" s="345" t="str">
        <f t="shared" si="793"/>
        <v/>
      </c>
      <c r="GX114" s="346" t="str">
        <f t="shared" si="794"/>
        <v/>
      </c>
      <c r="GY114" s="344" t="str">
        <f t="shared" si="795"/>
        <v/>
      </c>
      <c r="GZ114" s="345" t="str">
        <f t="shared" si="796"/>
        <v/>
      </c>
      <c r="HA114" s="342" t="str">
        <f t="shared" si="797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8"/>
        <v/>
      </c>
      <c r="HF114" s="5" t="str">
        <f t="shared" si="799"/>
        <v/>
      </c>
      <c r="HG114" s="343" t="str">
        <f t="shared" si="730"/>
        <v/>
      </c>
      <c r="HH114" s="349" t="str">
        <f t="shared" si="731"/>
        <v/>
      </c>
      <c r="HI114" s="317" t="str">
        <f t="shared" si="800"/>
        <v/>
      </c>
      <c r="HK114" s="310" t="str">
        <f t="shared" si="851"/>
        <v/>
      </c>
      <c r="HL114" s="348" t="str">
        <f t="shared" si="801"/>
        <v/>
      </c>
      <c r="HM114" s="909" t="str">
        <f t="shared" si="802"/>
        <v/>
      </c>
      <c r="HN114" s="910" t="str">
        <f t="shared" si="803"/>
        <v/>
      </c>
      <c r="HO114" s="911"/>
      <c r="HP114" s="912"/>
      <c r="HQ114" s="910" t="str">
        <f t="shared" si="804"/>
        <v/>
      </c>
      <c r="HR114" s="913" t="str">
        <f t="shared" si="805"/>
        <v/>
      </c>
      <c r="HS114" s="865" t="str">
        <f t="shared" si="852"/>
        <v/>
      </c>
      <c r="HT114" s="875" t="str">
        <f t="shared" si="806"/>
        <v/>
      </c>
      <c r="HU114" s="876" t="str">
        <f t="shared" si="807"/>
        <v/>
      </c>
      <c r="HV114" s="872" t="str">
        <f t="shared" si="808"/>
        <v/>
      </c>
      <c r="HW114" s="866" t="str">
        <f t="shared" si="809"/>
        <v/>
      </c>
      <c r="HX114" s="867" t="str">
        <f t="shared" si="810"/>
        <v/>
      </c>
      <c r="HY114" s="866" t="str">
        <f t="shared" si="811"/>
        <v/>
      </c>
      <c r="HZ114" s="868" t="str">
        <f t="shared" si="812"/>
        <v/>
      </c>
      <c r="IA114" s="869" t="str">
        <f t="shared" si="813"/>
        <v/>
      </c>
      <c r="IB114" s="870" t="str">
        <f t="shared" si="814"/>
        <v/>
      </c>
      <c r="IC114" s="841" t="str">
        <f t="shared" si="815"/>
        <v/>
      </c>
      <c r="ID114" s="351" t="str">
        <f t="shared" si="816"/>
        <v/>
      </c>
      <c r="IE114" s="843" t="str">
        <f t="shared" si="817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2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18"/>
        <v/>
      </c>
      <c r="IM114" s="482" t="str">
        <f t="shared" si="733"/>
        <v/>
      </c>
      <c r="IN114" s="670" t="str">
        <f t="shared" si="819"/>
        <v/>
      </c>
      <c r="IO114" s="702"/>
      <c r="IP114" s="5" t="str">
        <f t="shared" si="820"/>
        <v/>
      </c>
      <c r="IQ114" s="714"/>
      <c r="IR114" s="9" t="str">
        <f t="shared" si="821"/>
        <v/>
      </c>
      <c r="IS114" s="5" t="str">
        <f t="shared" si="822"/>
        <v/>
      </c>
      <c r="IT114" s="5" t="str">
        <f t="shared" si="823"/>
        <v/>
      </c>
      <c r="IU114" s="5" t="str">
        <f t="shared" si="824"/>
        <v/>
      </c>
      <c r="IV114" s="670" t="str">
        <f t="shared" si="825"/>
        <v/>
      </c>
      <c r="IW114" s="9" t="str">
        <f t="shared" si="826"/>
        <v/>
      </c>
      <c r="IX114" s="5" t="str">
        <f t="shared" si="827"/>
        <v/>
      </c>
      <c r="IY114" s="5" t="str">
        <f t="shared" si="828"/>
        <v/>
      </c>
      <c r="IZ114" s="5" t="str">
        <f t="shared" si="829"/>
        <v/>
      </c>
      <c r="JA114" s="705" t="str">
        <f t="shared" si="830"/>
        <v/>
      </c>
    </row>
    <row r="115" spans="1:261" ht="15" customHeight="1" x14ac:dyDescent="0.25">
      <c r="A115" s="75" t="str">
        <f t="shared" si="737"/>
        <v/>
      </c>
      <c r="B115" s="578" t="str">
        <f t="shared" si="738"/>
        <v/>
      </c>
      <c r="C115" s="572" t="str">
        <f t="shared" si="739"/>
        <v/>
      </c>
      <c r="D115" s="576" t="str">
        <f t="shared" si="740"/>
        <v/>
      </c>
      <c r="E115" s="580" t="str">
        <f t="shared" si="741"/>
        <v/>
      </c>
      <c r="F115" s="572" t="str">
        <f t="shared" si="742"/>
        <v/>
      </c>
      <c r="G115" s="579" t="str">
        <f t="shared" si="743"/>
        <v/>
      </c>
      <c r="H115" s="580" t="str">
        <f t="shared" si="744"/>
        <v/>
      </c>
      <c r="I115" s="572" t="str">
        <f t="shared" si="745"/>
        <v/>
      </c>
      <c r="J115" s="483" t="str">
        <f t="shared" si="746"/>
        <v/>
      </c>
      <c r="K115" s="806" t="str">
        <f t="shared" si="747"/>
        <v/>
      </c>
      <c r="L115" s="309"/>
      <c r="M115" s="164" t="str">
        <f t="shared" si="748"/>
        <v/>
      </c>
      <c r="N115" s="575" t="str">
        <f t="shared" si="749"/>
        <v/>
      </c>
      <c r="O115" s="572" t="str">
        <f t="shared" si="750"/>
        <v/>
      </c>
      <c r="P115" s="576" t="str">
        <f t="shared" si="751"/>
        <v/>
      </c>
      <c r="Q115" s="528" t="str">
        <f t="shared" si="610"/>
        <v/>
      </c>
      <c r="R115" s="572" t="str">
        <f t="shared" si="831"/>
        <v/>
      </c>
      <c r="S115" s="577" t="str">
        <f t="shared" si="832"/>
        <v/>
      </c>
      <c r="T115" s="578" t="str">
        <f t="shared" si="833"/>
        <v/>
      </c>
      <c r="U115" s="572" t="str">
        <f t="shared" si="834"/>
        <v/>
      </c>
      <c r="V115" s="579" t="str">
        <f t="shared" si="835"/>
        <v/>
      </c>
      <c r="W115" s="528" t="str">
        <f t="shared" si="736"/>
        <v/>
      </c>
      <c r="X115" s="572" t="str">
        <f t="shared" si="836"/>
        <v/>
      </c>
      <c r="Y115" s="573" t="str">
        <f t="shared" si="734"/>
        <v/>
      </c>
      <c r="Z115" s="575" t="str">
        <f t="shared" si="752"/>
        <v/>
      </c>
      <c r="AA115" s="572" t="str">
        <f t="shared" si="753"/>
        <v/>
      </c>
      <c r="AB115" s="572" t="str">
        <f t="shared" si="754"/>
        <v/>
      </c>
      <c r="AC115" s="579" t="str">
        <f t="shared" si="837"/>
        <v/>
      </c>
      <c r="AD115" s="580" t="str">
        <f t="shared" si="838"/>
        <v/>
      </c>
      <c r="AE115" s="572" t="str">
        <f t="shared" si="839"/>
        <v/>
      </c>
      <c r="AF115" s="576" t="str">
        <f t="shared" si="840"/>
        <v/>
      </c>
      <c r="AG115" s="545" t="str">
        <f t="shared" si="841"/>
        <v/>
      </c>
      <c r="AH115" s="546" t="str">
        <f t="shared" si="842"/>
        <v/>
      </c>
      <c r="AI115" s="528" t="str">
        <f t="shared" si="843"/>
        <v/>
      </c>
      <c r="AJ115" s="529" t="str">
        <f t="shared" si="844"/>
        <v/>
      </c>
      <c r="AK115" s="578" t="str">
        <f t="shared" si="845"/>
        <v/>
      </c>
      <c r="AL115" s="572" t="str">
        <f t="shared" si="846"/>
        <v/>
      </c>
      <c r="AM115" s="577" t="str">
        <f t="shared" si="847"/>
        <v/>
      </c>
      <c r="AN115" s="524" t="str">
        <f t="shared" si="848"/>
        <v/>
      </c>
      <c r="AO115" s="525" t="str">
        <f t="shared" si="515"/>
        <v/>
      </c>
      <c r="AP115" s="528" t="str">
        <f t="shared" si="849"/>
        <v/>
      </c>
      <c r="AQ115" s="529" t="str">
        <f t="shared" si="755"/>
        <v/>
      </c>
      <c r="AS115" s="932" t="str">
        <f t="shared" si="853"/>
        <v/>
      </c>
      <c r="AT115" s="928" t="str">
        <f t="shared" si="756"/>
        <v/>
      </c>
      <c r="AU115" s="418"/>
      <c r="AV115" s="164" t="str">
        <f t="shared" si="757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4"/>
        <v/>
      </c>
      <c r="BA115" s="296" t="str">
        <f t="shared" si="758"/>
        <v/>
      </c>
      <c r="BB115" s="177" t="str">
        <f t="shared" si="611"/>
        <v/>
      </c>
      <c r="BC115" s="9"/>
      <c r="BD115" s="5" t="str">
        <f t="shared" si="612"/>
        <v/>
      </c>
      <c r="BE115" s="6" t="str">
        <f t="shared" si="759"/>
        <v/>
      </c>
      <c r="BF115" s="4" t="str">
        <f t="shared" si="760"/>
        <v/>
      </c>
      <c r="BG115" s="5" t="str">
        <f t="shared" si="761"/>
        <v/>
      </c>
      <c r="BH115" s="10" t="str">
        <f t="shared" si="762"/>
        <v/>
      </c>
      <c r="BI115" s="9" t="str">
        <f t="shared" si="635"/>
        <v/>
      </c>
      <c r="BJ115" s="5" t="str">
        <f t="shared" si="763"/>
        <v/>
      </c>
      <c r="BK115" s="8" t="str">
        <f t="shared" si="764"/>
        <v/>
      </c>
      <c r="BL115" s="173" t="str">
        <f t="shared" si="765"/>
        <v/>
      </c>
      <c r="BM115" s="5" t="str">
        <f t="shared" si="766"/>
        <v/>
      </c>
      <c r="BN115" s="6" t="str">
        <f t="shared" si="767"/>
        <v/>
      </c>
      <c r="BO115" s="4" t="str">
        <f t="shared" si="636"/>
        <v/>
      </c>
      <c r="BP115" s="5" t="str">
        <f t="shared" si="735"/>
        <v/>
      </c>
      <c r="BQ115" s="5" t="str">
        <f t="shared" si="637"/>
        <v/>
      </c>
      <c r="BR115" s="6" t="str">
        <f t="shared" si="638"/>
        <v/>
      </c>
      <c r="BS115" s="4" t="str">
        <f t="shared" si="850"/>
        <v/>
      </c>
      <c r="BT115" s="5" t="str">
        <f t="shared" si="850"/>
        <v/>
      </c>
      <c r="BU115" s="10" t="str">
        <f t="shared" si="614"/>
        <v/>
      </c>
      <c r="BV115" s="9" t="str">
        <f t="shared" si="615"/>
        <v/>
      </c>
      <c r="BW115" s="5" t="str">
        <f t="shared" si="616"/>
        <v/>
      </c>
      <c r="BX115" s="8" t="str">
        <f t="shared" si="617"/>
        <v/>
      </c>
      <c r="BY115" s="173" t="str">
        <f t="shared" si="618"/>
        <v/>
      </c>
      <c r="BZ115" s="5" t="str">
        <f t="shared" si="619"/>
        <v/>
      </c>
      <c r="CA115" s="6" t="str">
        <f t="shared" si="620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1"/>
        <v/>
      </c>
      <c r="CJ115" s="5" t="str">
        <f t="shared" si="622"/>
        <v/>
      </c>
      <c r="CK115" s="8" t="str">
        <f t="shared" si="623"/>
        <v/>
      </c>
      <c r="CL115" s="173" t="str">
        <f t="shared" si="624"/>
        <v/>
      </c>
      <c r="CM115" s="5" t="str">
        <f t="shared" si="625"/>
        <v/>
      </c>
      <c r="CN115" s="6" t="str">
        <f t="shared" si="626"/>
        <v/>
      </c>
      <c r="CO115" s="167" t="str">
        <f t="shared" si="768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4"/>
        <v/>
      </c>
      <c r="DC115" s="5" t="str">
        <f t="shared" si="854"/>
        <v/>
      </c>
      <c r="DD115" s="10" t="str">
        <f t="shared" si="659"/>
        <v/>
      </c>
      <c r="DE115" s="9" t="str">
        <f t="shared" si="855"/>
        <v/>
      </c>
      <c r="DF115" s="5" t="str">
        <f t="shared" si="855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9"/>
        <v/>
      </c>
      <c r="ET115" s="5" t="str">
        <f t="shared" si="770"/>
        <v/>
      </c>
      <c r="EU115" s="10" t="str">
        <f t="shared" si="771"/>
        <v/>
      </c>
      <c r="EV115" s="174" t="str">
        <f t="shared" si="772"/>
        <v/>
      </c>
      <c r="EW115" s="9" t="str">
        <f t="shared" si="773"/>
        <v/>
      </c>
      <c r="EX115" s="5" t="str">
        <f t="shared" si="774"/>
        <v/>
      </c>
      <c r="EY115" s="6" t="str">
        <f t="shared" si="699"/>
        <v/>
      </c>
      <c r="EZ115" s="51" t="str">
        <f t="shared" si="700"/>
        <v/>
      </c>
      <c r="FA115" s="173" t="str">
        <f t="shared" si="775"/>
        <v/>
      </c>
      <c r="FB115" s="5" t="str">
        <f t="shared" si="776"/>
        <v/>
      </c>
      <c r="FC115" s="6" t="str">
        <f t="shared" si="777"/>
        <v/>
      </c>
      <c r="FD115" s="4" t="str">
        <f t="shared" si="778"/>
        <v/>
      </c>
      <c r="FE115" s="5" t="str">
        <f t="shared" si="779"/>
        <v/>
      </c>
      <c r="FF115" s="7" t="str">
        <f t="shared" si="701"/>
        <v/>
      </c>
      <c r="FG115" s="173" t="str">
        <f t="shared" si="780"/>
        <v/>
      </c>
      <c r="FH115" s="5" t="str">
        <f t="shared" si="781"/>
        <v/>
      </c>
      <c r="FI115" s="10" t="str">
        <f t="shared" si="782"/>
        <v/>
      </c>
      <c r="FJ115" s="279" t="str">
        <f t="shared" si="702"/>
        <v/>
      </c>
      <c r="FK115" s="4" t="str">
        <f t="shared" si="783"/>
        <v/>
      </c>
      <c r="FL115" s="5" t="str">
        <f t="shared" si="627"/>
        <v/>
      </c>
      <c r="FM115" s="8" t="str">
        <f t="shared" si="628"/>
        <v/>
      </c>
      <c r="FN115" s="9" t="str">
        <f t="shared" si="629"/>
        <v/>
      </c>
      <c r="FO115" s="10" t="str">
        <f t="shared" si="784"/>
        <v/>
      </c>
      <c r="FP115" s="277" t="str">
        <f t="shared" si="630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5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6"/>
        <v/>
      </c>
      <c r="GH115" s="286" t="str">
        <f t="shared" si="787"/>
        <v/>
      </c>
      <c r="GI115" s="281" t="str">
        <f t="shared" si="788"/>
        <v/>
      </c>
      <c r="GJ115" s="167" t="str">
        <f t="shared" si="718"/>
        <v/>
      </c>
      <c r="GK115" s="174" t="str">
        <f t="shared" si="789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90"/>
        <v/>
      </c>
      <c r="GT115" s="343" t="str">
        <f t="shared" si="791"/>
        <v/>
      </c>
      <c r="GU115" s="344" t="str">
        <f t="shared" si="792"/>
        <v/>
      </c>
      <c r="GV115" s="343" t="str">
        <f t="shared" si="726"/>
        <v/>
      </c>
      <c r="GW115" s="345" t="str">
        <f t="shared" si="793"/>
        <v/>
      </c>
      <c r="GX115" s="346" t="str">
        <f t="shared" si="794"/>
        <v/>
      </c>
      <c r="GY115" s="344" t="str">
        <f t="shared" si="795"/>
        <v/>
      </c>
      <c r="GZ115" s="345" t="str">
        <f t="shared" si="796"/>
        <v/>
      </c>
      <c r="HA115" s="342" t="str">
        <f t="shared" si="797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8"/>
        <v/>
      </c>
      <c r="HF115" s="5" t="str">
        <f t="shared" si="799"/>
        <v/>
      </c>
      <c r="HG115" s="343" t="str">
        <f t="shared" si="730"/>
        <v/>
      </c>
      <c r="HH115" s="349" t="str">
        <f t="shared" si="731"/>
        <v/>
      </c>
      <c r="HI115" s="317" t="str">
        <f t="shared" si="800"/>
        <v/>
      </c>
      <c r="HK115" s="310" t="str">
        <f t="shared" si="851"/>
        <v/>
      </c>
      <c r="HL115" s="348" t="str">
        <f t="shared" si="801"/>
        <v/>
      </c>
      <c r="HM115" s="909" t="str">
        <f t="shared" si="802"/>
        <v/>
      </c>
      <c r="HN115" s="910" t="str">
        <f t="shared" si="803"/>
        <v/>
      </c>
      <c r="HO115" s="911"/>
      <c r="HP115" s="912"/>
      <c r="HQ115" s="910" t="str">
        <f t="shared" si="804"/>
        <v/>
      </c>
      <c r="HR115" s="913" t="str">
        <f t="shared" si="805"/>
        <v/>
      </c>
      <c r="HS115" s="865" t="str">
        <f t="shared" si="852"/>
        <v/>
      </c>
      <c r="HT115" s="875" t="str">
        <f t="shared" si="806"/>
        <v/>
      </c>
      <c r="HU115" s="876" t="str">
        <f t="shared" si="807"/>
        <v/>
      </c>
      <c r="HV115" s="872" t="str">
        <f t="shared" si="808"/>
        <v/>
      </c>
      <c r="HW115" s="866" t="str">
        <f t="shared" si="809"/>
        <v/>
      </c>
      <c r="HX115" s="867" t="str">
        <f t="shared" si="810"/>
        <v/>
      </c>
      <c r="HY115" s="866" t="str">
        <f t="shared" si="811"/>
        <v/>
      </c>
      <c r="HZ115" s="868" t="str">
        <f t="shared" si="812"/>
        <v/>
      </c>
      <c r="IA115" s="869" t="str">
        <f t="shared" si="813"/>
        <v/>
      </c>
      <c r="IB115" s="870" t="str">
        <f t="shared" si="814"/>
        <v/>
      </c>
      <c r="IC115" s="841" t="str">
        <f t="shared" si="815"/>
        <v/>
      </c>
      <c r="ID115" s="351" t="str">
        <f t="shared" si="816"/>
        <v/>
      </c>
      <c r="IE115" s="843" t="str">
        <f t="shared" si="817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2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18"/>
        <v/>
      </c>
      <c r="IM115" s="482" t="str">
        <f t="shared" si="733"/>
        <v/>
      </c>
      <c r="IN115" s="670" t="str">
        <f t="shared" si="819"/>
        <v/>
      </c>
      <c r="IO115" s="702"/>
      <c r="IP115" s="5" t="str">
        <f t="shared" si="820"/>
        <v/>
      </c>
      <c r="IQ115" s="714"/>
      <c r="IR115" s="9" t="str">
        <f t="shared" si="821"/>
        <v/>
      </c>
      <c r="IS115" s="5" t="str">
        <f t="shared" si="822"/>
        <v/>
      </c>
      <c r="IT115" s="5" t="str">
        <f t="shared" si="823"/>
        <v/>
      </c>
      <c r="IU115" s="5" t="str">
        <f t="shared" si="824"/>
        <v/>
      </c>
      <c r="IV115" s="670" t="str">
        <f t="shared" si="825"/>
        <v/>
      </c>
      <c r="IW115" s="9" t="str">
        <f t="shared" si="826"/>
        <v/>
      </c>
      <c r="IX115" s="5" t="str">
        <f t="shared" si="827"/>
        <v/>
      </c>
      <c r="IY115" s="5" t="str">
        <f t="shared" si="828"/>
        <v/>
      </c>
      <c r="IZ115" s="5" t="str">
        <f t="shared" si="829"/>
        <v/>
      </c>
      <c r="JA115" s="705" t="str">
        <f t="shared" si="830"/>
        <v/>
      </c>
    </row>
    <row r="116" spans="1:261" ht="15" customHeight="1" x14ac:dyDescent="0.25">
      <c r="A116" s="75" t="str">
        <f t="shared" si="737"/>
        <v/>
      </c>
      <c r="B116" s="578" t="str">
        <f t="shared" si="738"/>
        <v/>
      </c>
      <c r="C116" s="572" t="str">
        <f t="shared" si="739"/>
        <v/>
      </c>
      <c r="D116" s="576" t="str">
        <f t="shared" si="740"/>
        <v/>
      </c>
      <c r="E116" s="580" t="str">
        <f t="shared" si="741"/>
        <v/>
      </c>
      <c r="F116" s="572" t="str">
        <f t="shared" si="742"/>
        <v/>
      </c>
      <c r="G116" s="579" t="str">
        <f t="shared" si="743"/>
        <v/>
      </c>
      <c r="H116" s="580" t="str">
        <f t="shared" si="744"/>
        <v/>
      </c>
      <c r="I116" s="572" t="str">
        <f t="shared" si="745"/>
        <v/>
      </c>
      <c r="J116" s="483" t="str">
        <f t="shared" si="746"/>
        <v/>
      </c>
      <c r="K116" s="806" t="str">
        <f t="shared" si="747"/>
        <v/>
      </c>
      <c r="L116" s="309"/>
      <c r="M116" s="164" t="str">
        <f t="shared" si="748"/>
        <v/>
      </c>
      <c r="N116" s="575" t="str">
        <f t="shared" si="749"/>
        <v/>
      </c>
      <c r="O116" s="572" t="str">
        <f t="shared" si="750"/>
        <v/>
      </c>
      <c r="P116" s="576" t="str">
        <f t="shared" si="751"/>
        <v/>
      </c>
      <c r="Q116" s="528" t="str">
        <f t="shared" si="610"/>
        <v/>
      </c>
      <c r="R116" s="572" t="str">
        <f t="shared" si="831"/>
        <v/>
      </c>
      <c r="S116" s="577" t="str">
        <f t="shared" si="832"/>
        <v/>
      </c>
      <c r="T116" s="578" t="str">
        <f t="shared" si="833"/>
        <v/>
      </c>
      <c r="U116" s="572" t="str">
        <f t="shared" si="834"/>
        <v/>
      </c>
      <c r="V116" s="579" t="str">
        <f t="shared" si="835"/>
        <v/>
      </c>
      <c r="W116" s="528" t="str">
        <f t="shared" si="736"/>
        <v/>
      </c>
      <c r="X116" s="572" t="str">
        <f t="shared" si="836"/>
        <v/>
      </c>
      <c r="Y116" s="573" t="str">
        <f t="shared" si="734"/>
        <v/>
      </c>
      <c r="Z116" s="575" t="str">
        <f t="shared" si="752"/>
        <v/>
      </c>
      <c r="AA116" s="572" t="str">
        <f t="shared" si="753"/>
        <v/>
      </c>
      <c r="AB116" s="572" t="str">
        <f t="shared" si="754"/>
        <v/>
      </c>
      <c r="AC116" s="579" t="str">
        <f t="shared" si="837"/>
        <v/>
      </c>
      <c r="AD116" s="580" t="str">
        <f t="shared" si="838"/>
        <v/>
      </c>
      <c r="AE116" s="572" t="str">
        <f t="shared" si="839"/>
        <v/>
      </c>
      <c r="AF116" s="576" t="str">
        <f t="shared" si="840"/>
        <v/>
      </c>
      <c r="AG116" s="545" t="str">
        <f t="shared" si="841"/>
        <v/>
      </c>
      <c r="AH116" s="546" t="str">
        <f t="shared" si="842"/>
        <v/>
      </c>
      <c r="AI116" s="528" t="str">
        <f t="shared" si="843"/>
        <v/>
      </c>
      <c r="AJ116" s="529" t="str">
        <f t="shared" si="844"/>
        <v/>
      </c>
      <c r="AK116" s="578" t="str">
        <f t="shared" si="845"/>
        <v/>
      </c>
      <c r="AL116" s="572" t="str">
        <f t="shared" si="846"/>
        <v/>
      </c>
      <c r="AM116" s="577" t="str">
        <f t="shared" si="847"/>
        <v/>
      </c>
      <c r="AN116" s="524" t="str">
        <f t="shared" si="848"/>
        <v/>
      </c>
      <c r="AO116" s="525" t="str">
        <f t="shared" si="515"/>
        <v/>
      </c>
      <c r="AP116" s="528" t="str">
        <f t="shared" si="849"/>
        <v/>
      </c>
      <c r="AQ116" s="529" t="str">
        <f t="shared" si="755"/>
        <v/>
      </c>
      <c r="AS116" s="932" t="str">
        <f t="shared" si="853"/>
        <v/>
      </c>
      <c r="AT116" s="928" t="str">
        <f t="shared" si="756"/>
        <v/>
      </c>
      <c r="AU116" s="418"/>
      <c r="AV116" s="164" t="str">
        <f t="shared" si="757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4"/>
        <v/>
      </c>
      <c r="BA116" s="296" t="str">
        <f t="shared" si="758"/>
        <v/>
      </c>
      <c r="BB116" s="177" t="str">
        <f t="shared" si="611"/>
        <v/>
      </c>
      <c r="BC116" s="9"/>
      <c r="BD116" s="5" t="str">
        <f t="shared" si="612"/>
        <v/>
      </c>
      <c r="BE116" s="6" t="str">
        <f t="shared" si="759"/>
        <v/>
      </c>
      <c r="BF116" s="4" t="str">
        <f t="shared" si="760"/>
        <v/>
      </c>
      <c r="BG116" s="5" t="str">
        <f t="shared" si="761"/>
        <v/>
      </c>
      <c r="BH116" s="10" t="str">
        <f t="shared" si="762"/>
        <v/>
      </c>
      <c r="BI116" s="9" t="str">
        <f t="shared" si="635"/>
        <v/>
      </c>
      <c r="BJ116" s="5" t="str">
        <f t="shared" si="763"/>
        <v/>
      </c>
      <c r="BK116" s="8" t="str">
        <f t="shared" si="764"/>
        <v/>
      </c>
      <c r="BL116" s="173" t="str">
        <f t="shared" si="765"/>
        <v/>
      </c>
      <c r="BM116" s="5" t="str">
        <f t="shared" si="766"/>
        <v/>
      </c>
      <c r="BN116" s="6" t="str">
        <f t="shared" si="767"/>
        <v/>
      </c>
      <c r="BO116" s="4" t="str">
        <f t="shared" si="636"/>
        <v/>
      </c>
      <c r="BP116" s="5" t="str">
        <f t="shared" si="735"/>
        <v/>
      </c>
      <c r="BQ116" s="5" t="str">
        <f t="shared" si="637"/>
        <v/>
      </c>
      <c r="BR116" s="6" t="str">
        <f t="shared" si="638"/>
        <v/>
      </c>
      <c r="BS116" s="4" t="str">
        <f t="shared" si="850"/>
        <v/>
      </c>
      <c r="BT116" s="5" t="str">
        <f t="shared" si="850"/>
        <v/>
      </c>
      <c r="BU116" s="10" t="str">
        <f t="shared" si="614"/>
        <v/>
      </c>
      <c r="BV116" s="9" t="str">
        <f t="shared" si="615"/>
        <v/>
      </c>
      <c r="BW116" s="5" t="str">
        <f t="shared" si="616"/>
        <v/>
      </c>
      <c r="BX116" s="8" t="str">
        <f t="shared" si="617"/>
        <v/>
      </c>
      <c r="BY116" s="173" t="str">
        <f t="shared" si="618"/>
        <v/>
      </c>
      <c r="BZ116" s="5" t="str">
        <f t="shared" si="619"/>
        <v/>
      </c>
      <c r="CA116" s="6" t="str">
        <f t="shared" si="620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1"/>
        <v/>
      </c>
      <c r="CJ116" s="5" t="str">
        <f t="shared" si="622"/>
        <v/>
      </c>
      <c r="CK116" s="8" t="str">
        <f t="shared" si="623"/>
        <v/>
      </c>
      <c r="CL116" s="173" t="str">
        <f t="shared" si="624"/>
        <v/>
      </c>
      <c r="CM116" s="5" t="str">
        <f t="shared" si="625"/>
        <v/>
      </c>
      <c r="CN116" s="6" t="str">
        <f t="shared" si="626"/>
        <v/>
      </c>
      <c r="CO116" s="167" t="str">
        <f t="shared" si="768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4"/>
        <v/>
      </c>
      <c r="DC116" s="5" t="str">
        <f t="shared" si="854"/>
        <v/>
      </c>
      <c r="DD116" s="10" t="str">
        <f t="shared" si="659"/>
        <v/>
      </c>
      <c r="DE116" s="9" t="str">
        <f t="shared" si="855"/>
        <v/>
      </c>
      <c r="DF116" s="5" t="str">
        <f t="shared" si="855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9"/>
        <v/>
      </c>
      <c r="ET116" s="5" t="str">
        <f t="shared" si="770"/>
        <v/>
      </c>
      <c r="EU116" s="10" t="str">
        <f t="shared" si="771"/>
        <v/>
      </c>
      <c r="EV116" s="174" t="str">
        <f t="shared" si="772"/>
        <v/>
      </c>
      <c r="EW116" s="9" t="str">
        <f t="shared" si="773"/>
        <v/>
      </c>
      <c r="EX116" s="5" t="str">
        <f t="shared" si="774"/>
        <v/>
      </c>
      <c r="EY116" s="6" t="str">
        <f t="shared" si="699"/>
        <v/>
      </c>
      <c r="EZ116" s="51" t="str">
        <f t="shared" si="700"/>
        <v/>
      </c>
      <c r="FA116" s="173" t="str">
        <f t="shared" si="775"/>
        <v/>
      </c>
      <c r="FB116" s="5" t="str">
        <f t="shared" si="776"/>
        <v/>
      </c>
      <c r="FC116" s="6" t="str">
        <f t="shared" si="777"/>
        <v/>
      </c>
      <c r="FD116" s="4" t="str">
        <f t="shared" si="778"/>
        <v/>
      </c>
      <c r="FE116" s="5" t="str">
        <f t="shared" si="779"/>
        <v/>
      </c>
      <c r="FF116" s="7" t="str">
        <f t="shared" si="701"/>
        <v/>
      </c>
      <c r="FG116" s="173" t="str">
        <f t="shared" si="780"/>
        <v/>
      </c>
      <c r="FH116" s="5" t="str">
        <f t="shared" si="781"/>
        <v/>
      </c>
      <c r="FI116" s="10" t="str">
        <f t="shared" si="782"/>
        <v/>
      </c>
      <c r="FJ116" s="279" t="str">
        <f t="shared" si="702"/>
        <v/>
      </c>
      <c r="FK116" s="4" t="str">
        <f t="shared" si="783"/>
        <v/>
      </c>
      <c r="FL116" s="5" t="str">
        <f t="shared" si="627"/>
        <v/>
      </c>
      <c r="FM116" s="8" t="str">
        <f t="shared" si="628"/>
        <v/>
      </c>
      <c r="FN116" s="9" t="str">
        <f t="shared" si="629"/>
        <v/>
      </c>
      <c r="FO116" s="10" t="str">
        <f t="shared" si="784"/>
        <v/>
      </c>
      <c r="FP116" s="277" t="str">
        <f t="shared" si="630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5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6"/>
        <v/>
      </c>
      <c r="GH116" s="286" t="str">
        <f t="shared" si="787"/>
        <v/>
      </c>
      <c r="GI116" s="281" t="str">
        <f t="shared" si="788"/>
        <v/>
      </c>
      <c r="GJ116" s="167" t="str">
        <f t="shared" si="718"/>
        <v/>
      </c>
      <c r="GK116" s="174" t="str">
        <f t="shared" si="789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90"/>
        <v/>
      </c>
      <c r="GT116" s="343" t="str">
        <f t="shared" si="791"/>
        <v/>
      </c>
      <c r="GU116" s="344" t="str">
        <f t="shared" si="792"/>
        <v/>
      </c>
      <c r="GV116" s="343" t="str">
        <f t="shared" si="726"/>
        <v/>
      </c>
      <c r="GW116" s="345" t="str">
        <f t="shared" si="793"/>
        <v/>
      </c>
      <c r="GX116" s="346" t="str">
        <f t="shared" si="794"/>
        <v/>
      </c>
      <c r="GY116" s="344" t="str">
        <f t="shared" si="795"/>
        <v/>
      </c>
      <c r="GZ116" s="345" t="str">
        <f t="shared" si="796"/>
        <v/>
      </c>
      <c r="HA116" s="342" t="str">
        <f t="shared" si="797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8"/>
        <v/>
      </c>
      <c r="HF116" s="5" t="str">
        <f t="shared" si="799"/>
        <v/>
      </c>
      <c r="HG116" s="343" t="str">
        <f t="shared" si="730"/>
        <v/>
      </c>
      <c r="HH116" s="349" t="str">
        <f t="shared" si="731"/>
        <v/>
      </c>
      <c r="HI116" s="317" t="str">
        <f t="shared" si="800"/>
        <v/>
      </c>
      <c r="HK116" s="310" t="str">
        <f t="shared" si="851"/>
        <v/>
      </c>
      <c r="HL116" s="348" t="str">
        <f t="shared" si="801"/>
        <v/>
      </c>
      <c r="HM116" s="909" t="str">
        <f t="shared" si="802"/>
        <v/>
      </c>
      <c r="HN116" s="910" t="str">
        <f t="shared" si="803"/>
        <v/>
      </c>
      <c r="HO116" s="911"/>
      <c r="HP116" s="912"/>
      <c r="HQ116" s="910" t="str">
        <f t="shared" si="804"/>
        <v/>
      </c>
      <c r="HR116" s="913" t="str">
        <f t="shared" si="805"/>
        <v/>
      </c>
      <c r="HS116" s="865" t="str">
        <f t="shared" si="852"/>
        <v/>
      </c>
      <c r="HT116" s="875" t="str">
        <f t="shared" si="806"/>
        <v/>
      </c>
      <c r="HU116" s="876" t="str">
        <f t="shared" si="807"/>
        <v/>
      </c>
      <c r="HV116" s="872" t="str">
        <f t="shared" si="808"/>
        <v/>
      </c>
      <c r="HW116" s="866" t="str">
        <f t="shared" si="809"/>
        <v/>
      </c>
      <c r="HX116" s="867" t="str">
        <f t="shared" si="810"/>
        <v/>
      </c>
      <c r="HY116" s="866" t="str">
        <f t="shared" si="811"/>
        <v/>
      </c>
      <c r="HZ116" s="868" t="str">
        <f t="shared" si="812"/>
        <v/>
      </c>
      <c r="IA116" s="869" t="str">
        <f t="shared" si="813"/>
        <v/>
      </c>
      <c r="IB116" s="870" t="str">
        <f t="shared" si="814"/>
        <v/>
      </c>
      <c r="IC116" s="841" t="str">
        <f t="shared" si="815"/>
        <v/>
      </c>
      <c r="ID116" s="351" t="str">
        <f t="shared" si="816"/>
        <v/>
      </c>
      <c r="IE116" s="843" t="str">
        <f t="shared" si="817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2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18"/>
        <v/>
      </c>
      <c r="IM116" s="482" t="str">
        <f t="shared" si="733"/>
        <v/>
      </c>
      <c r="IN116" s="670" t="str">
        <f t="shared" si="819"/>
        <v/>
      </c>
      <c r="IO116" s="702"/>
      <c r="IP116" s="5" t="str">
        <f t="shared" si="820"/>
        <v/>
      </c>
      <c r="IQ116" s="714"/>
      <c r="IR116" s="9" t="str">
        <f t="shared" si="821"/>
        <v/>
      </c>
      <c r="IS116" s="5" t="str">
        <f t="shared" si="822"/>
        <v/>
      </c>
      <c r="IT116" s="5" t="str">
        <f t="shared" si="823"/>
        <v/>
      </c>
      <c r="IU116" s="5" t="str">
        <f t="shared" si="824"/>
        <v/>
      </c>
      <c r="IV116" s="670" t="str">
        <f t="shared" si="825"/>
        <v/>
      </c>
      <c r="IW116" s="9" t="str">
        <f t="shared" si="826"/>
        <v/>
      </c>
      <c r="IX116" s="5" t="str">
        <f t="shared" si="827"/>
        <v/>
      </c>
      <c r="IY116" s="5" t="str">
        <f t="shared" si="828"/>
        <v/>
      </c>
      <c r="IZ116" s="5" t="str">
        <f t="shared" si="829"/>
        <v/>
      </c>
      <c r="JA116" s="705" t="str">
        <f t="shared" si="830"/>
        <v/>
      </c>
    </row>
    <row r="117" spans="1:261" ht="15" customHeight="1" x14ac:dyDescent="0.25">
      <c r="A117" s="75" t="str">
        <f t="shared" si="737"/>
        <v/>
      </c>
      <c r="B117" s="578" t="str">
        <f t="shared" si="738"/>
        <v/>
      </c>
      <c r="C117" s="572" t="str">
        <f t="shared" si="739"/>
        <v/>
      </c>
      <c r="D117" s="576" t="str">
        <f t="shared" si="740"/>
        <v/>
      </c>
      <c r="E117" s="580" t="str">
        <f t="shared" si="741"/>
        <v/>
      </c>
      <c r="F117" s="572" t="str">
        <f t="shared" si="742"/>
        <v/>
      </c>
      <c r="G117" s="579" t="str">
        <f t="shared" si="743"/>
        <v/>
      </c>
      <c r="H117" s="580" t="str">
        <f t="shared" si="744"/>
        <v/>
      </c>
      <c r="I117" s="572" t="str">
        <f t="shared" si="745"/>
        <v/>
      </c>
      <c r="J117" s="483" t="str">
        <f t="shared" si="746"/>
        <v/>
      </c>
      <c r="K117" s="806" t="str">
        <f t="shared" si="747"/>
        <v/>
      </c>
      <c r="L117" s="309"/>
      <c r="M117" s="164" t="str">
        <f t="shared" si="748"/>
        <v/>
      </c>
      <c r="N117" s="575" t="str">
        <f t="shared" si="749"/>
        <v/>
      </c>
      <c r="O117" s="572" t="str">
        <f t="shared" si="750"/>
        <v/>
      </c>
      <c r="P117" s="576" t="str">
        <f t="shared" si="751"/>
        <v/>
      </c>
      <c r="Q117" s="528" t="str">
        <f t="shared" si="610"/>
        <v/>
      </c>
      <c r="R117" s="572" t="str">
        <f t="shared" si="831"/>
        <v/>
      </c>
      <c r="S117" s="577" t="str">
        <f t="shared" si="832"/>
        <v/>
      </c>
      <c r="T117" s="578" t="str">
        <f t="shared" si="833"/>
        <v/>
      </c>
      <c r="U117" s="572" t="str">
        <f t="shared" si="834"/>
        <v/>
      </c>
      <c r="V117" s="579" t="str">
        <f t="shared" si="835"/>
        <v/>
      </c>
      <c r="W117" s="528" t="str">
        <f t="shared" si="736"/>
        <v/>
      </c>
      <c r="X117" s="572" t="str">
        <f t="shared" si="836"/>
        <v/>
      </c>
      <c r="Y117" s="573" t="str">
        <f t="shared" si="734"/>
        <v/>
      </c>
      <c r="Z117" s="575" t="str">
        <f t="shared" si="752"/>
        <v/>
      </c>
      <c r="AA117" s="572" t="str">
        <f t="shared" si="753"/>
        <v/>
      </c>
      <c r="AB117" s="572" t="str">
        <f t="shared" si="754"/>
        <v/>
      </c>
      <c r="AC117" s="579" t="str">
        <f t="shared" si="837"/>
        <v/>
      </c>
      <c r="AD117" s="580" t="str">
        <f t="shared" si="838"/>
        <v/>
      </c>
      <c r="AE117" s="572" t="str">
        <f t="shared" si="839"/>
        <v/>
      </c>
      <c r="AF117" s="576" t="str">
        <f t="shared" si="840"/>
        <v/>
      </c>
      <c r="AG117" s="545" t="str">
        <f t="shared" si="841"/>
        <v/>
      </c>
      <c r="AH117" s="546" t="str">
        <f t="shared" si="842"/>
        <v/>
      </c>
      <c r="AI117" s="528" t="str">
        <f t="shared" si="843"/>
        <v/>
      </c>
      <c r="AJ117" s="529" t="str">
        <f t="shared" si="844"/>
        <v/>
      </c>
      <c r="AK117" s="578" t="str">
        <f t="shared" si="845"/>
        <v/>
      </c>
      <c r="AL117" s="572" t="str">
        <f t="shared" si="846"/>
        <v/>
      </c>
      <c r="AM117" s="577" t="str">
        <f t="shared" si="847"/>
        <v/>
      </c>
      <c r="AN117" s="524" t="str">
        <f t="shared" si="848"/>
        <v/>
      </c>
      <c r="AO117" s="525" t="str">
        <f t="shared" si="515"/>
        <v/>
      </c>
      <c r="AP117" s="528" t="str">
        <f t="shared" si="849"/>
        <v/>
      </c>
      <c r="AQ117" s="529" t="str">
        <f t="shared" si="755"/>
        <v/>
      </c>
      <c r="AS117" s="932" t="str">
        <f t="shared" si="853"/>
        <v/>
      </c>
      <c r="AT117" s="928" t="str">
        <f t="shared" si="756"/>
        <v/>
      </c>
      <c r="AU117" s="418"/>
      <c r="AV117" s="164" t="str">
        <f t="shared" si="757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4"/>
        <v/>
      </c>
      <c r="BA117" s="296" t="str">
        <f t="shared" si="758"/>
        <v/>
      </c>
      <c r="BB117" s="177" t="str">
        <f t="shared" si="611"/>
        <v/>
      </c>
      <c r="BC117" s="9"/>
      <c r="BD117" s="5" t="str">
        <f t="shared" si="612"/>
        <v/>
      </c>
      <c r="BE117" s="6" t="str">
        <f t="shared" si="759"/>
        <v/>
      </c>
      <c r="BF117" s="4" t="str">
        <f t="shared" si="760"/>
        <v/>
      </c>
      <c r="BG117" s="5" t="str">
        <f t="shared" si="761"/>
        <v/>
      </c>
      <c r="BH117" s="10" t="str">
        <f t="shared" si="762"/>
        <v/>
      </c>
      <c r="BI117" s="9" t="str">
        <f t="shared" si="635"/>
        <v/>
      </c>
      <c r="BJ117" s="5" t="str">
        <f t="shared" si="763"/>
        <v/>
      </c>
      <c r="BK117" s="8" t="str">
        <f t="shared" si="764"/>
        <v/>
      </c>
      <c r="BL117" s="173" t="str">
        <f t="shared" si="765"/>
        <v/>
      </c>
      <c r="BM117" s="5" t="str">
        <f t="shared" si="766"/>
        <v/>
      </c>
      <c r="BN117" s="6" t="str">
        <f t="shared" si="767"/>
        <v/>
      </c>
      <c r="BO117" s="4" t="str">
        <f t="shared" si="636"/>
        <v/>
      </c>
      <c r="BP117" s="5" t="str">
        <f t="shared" si="735"/>
        <v/>
      </c>
      <c r="BQ117" s="5" t="str">
        <f t="shared" si="637"/>
        <v/>
      </c>
      <c r="BR117" s="6" t="str">
        <f t="shared" si="638"/>
        <v/>
      </c>
      <c r="BS117" s="4" t="str">
        <f t="shared" si="850"/>
        <v/>
      </c>
      <c r="BT117" s="5" t="str">
        <f t="shared" si="850"/>
        <v/>
      </c>
      <c r="BU117" s="10" t="str">
        <f t="shared" si="614"/>
        <v/>
      </c>
      <c r="BV117" s="9" t="str">
        <f t="shared" si="615"/>
        <v/>
      </c>
      <c r="BW117" s="5" t="str">
        <f t="shared" si="616"/>
        <v/>
      </c>
      <c r="BX117" s="8" t="str">
        <f t="shared" si="617"/>
        <v/>
      </c>
      <c r="BY117" s="173" t="str">
        <f t="shared" si="618"/>
        <v/>
      </c>
      <c r="BZ117" s="5" t="str">
        <f t="shared" si="619"/>
        <v/>
      </c>
      <c r="CA117" s="6" t="str">
        <f t="shared" si="620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1"/>
        <v/>
      </c>
      <c r="CJ117" s="5" t="str">
        <f t="shared" si="622"/>
        <v/>
      </c>
      <c r="CK117" s="8" t="str">
        <f t="shared" si="623"/>
        <v/>
      </c>
      <c r="CL117" s="173" t="str">
        <f t="shared" si="624"/>
        <v/>
      </c>
      <c r="CM117" s="5" t="str">
        <f t="shared" si="625"/>
        <v/>
      </c>
      <c r="CN117" s="6" t="str">
        <f t="shared" si="626"/>
        <v/>
      </c>
      <c r="CO117" s="167" t="str">
        <f t="shared" si="768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4"/>
        <v/>
      </c>
      <c r="DC117" s="5" t="str">
        <f t="shared" si="854"/>
        <v/>
      </c>
      <c r="DD117" s="10" t="str">
        <f t="shared" si="659"/>
        <v/>
      </c>
      <c r="DE117" s="9" t="str">
        <f t="shared" si="855"/>
        <v/>
      </c>
      <c r="DF117" s="5" t="str">
        <f t="shared" si="855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9"/>
        <v/>
      </c>
      <c r="ET117" s="5" t="str">
        <f t="shared" si="770"/>
        <v/>
      </c>
      <c r="EU117" s="10" t="str">
        <f t="shared" si="771"/>
        <v/>
      </c>
      <c r="EV117" s="174" t="str">
        <f t="shared" si="772"/>
        <v/>
      </c>
      <c r="EW117" s="9" t="str">
        <f t="shared" si="773"/>
        <v/>
      </c>
      <c r="EX117" s="5" t="str">
        <f t="shared" si="774"/>
        <v/>
      </c>
      <c r="EY117" s="6" t="str">
        <f t="shared" si="699"/>
        <v/>
      </c>
      <c r="EZ117" s="51" t="str">
        <f t="shared" si="700"/>
        <v/>
      </c>
      <c r="FA117" s="173" t="str">
        <f t="shared" si="775"/>
        <v/>
      </c>
      <c r="FB117" s="5" t="str">
        <f t="shared" si="776"/>
        <v/>
      </c>
      <c r="FC117" s="6" t="str">
        <f t="shared" si="777"/>
        <v/>
      </c>
      <c r="FD117" s="4" t="str">
        <f t="shared" si="778"/>
        <v/>
      </c>
      <c r="FE117" s="5" t="str">
        <f t="shared" si="779"/>
        <v/>
      </c>
      <c r="FF117" s="7" t="str">
        <f t="shared" si="701"/>
        <v/>
      </c>
      <c r="FG117" s="173" t="str">
        <f t="shared" si="780"/>
        <v/>
      </c>
      <c r="FH117" s="5" t="str">
        <f t="shared" si="781"/>
        <v/>
      </c>
      <c r="FI117" s="10" t="str">
        <f t="shared" si="782"/>
        <v/>
      </c>
      <c r="FJ117" s="279" t="str">
        <f t="shared" si="702"/>
        <v/>
      </c>
      <c r="FK117" s="4" t="str">
        <f t="shared" si="783"/>
        <v/>
      </c>
      <c r="FL117" s="5" t="str">
        <f t="shared" si="627"/>
        <v/>
      </c>
      <c r="FM117" s="8" t="str">
        <f t="shared" si="628"/>
        <v/>
      </c>
      <c r="FN117" s="9" t="str">
        <f t="shared" si="629"/>
        <v/>
      </c>
      <c r="FO117" s="10" t="str">
        <f t="shared" si="784"/>
        <v/>
      </c>
      <c r="FP117" s="277" t="str">
        <f t="shared" si="630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5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6"/>
        <v/>
      </c>
      <c r="GH117" s="286" t="str">
        <f t="shared" si="787"/>
        <v/>
      </c>
      <c r="GI117" s="281" t="str">
        <f t="shared" si="788"/>
        <v/>
      </c>
      <c r="GJ117" s="167" t="str">
        <f t="shared" si="718"/>
        <v/>
      </c>
      <c r="GK117" s="174" t="str">
        <f t="shared" si="789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90"/>
        <v/>
      </c>
      <c r="GT117" s="343" t="str">
        <f t="shared" si="791"/>
        <v/>
      </c>
      <c r="GU117" s="344" t="str">
        <f t="shared" si="792"/>
        <v/>
      </c>
      <c r="GV117" s="343" t="str">
        <f t="shared" si="726"/>
        <v/>
      </c>
      <c r="GW117" s="345" t="str">
        <f t="shared" si="793"/>
        <v/>
      </c>
      <c r="GX117" s="346" t="str">
        <f t="shared" si="794"/>
        <v/>
      </c>
      <c r="GY117" s="344" t="str">
        <f t="shared" si="795"/>
        <v/>
      </c>
      <c r="GZ117" s="345" t="str">
        <f t="shared" si="796"/>
        <v/>
      </c>
      <c r="HA117" s="342" t="str">
        <f t="shared" si="797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8"/>
        <v/>
      </c>
      <c r="HF117" s="5" t="str">
        <f t="shared" si="799"/>
        <v/>
      </c>
      <c r="HG117" s="343" t="str">
        <f t="shared" si="730"/>
        <v/>
      </c>
      <c r="HH117" s="349" t="str">
        <f t="shared" si="731"/>
        <v/>
      </c>
      <c r="HI117" s="317" t="str">
        <f t="shared" si="800"/>
        <v/>
      </c>
      <c r="HK117" s="310" t="str">
        <f t="shared" si="851"/>
        <v/>
      </c>
      <c r="HL117" s="348" t="str">
        <f t="shared" si="801"/>
        <v/>
      </c>
      <c r="HM117" s="909" t="str">
        <f t="shared" si="802"/>
        <v/>
      </c>
      <c r="HN117" s="910" t="str">
        <f t="shared" si="803"/>
        <v/>
      </c>
      <c r="HO117" s="911"/>
      <c r="HP117" s="912"/>
      <c r="HQ117" s="910" t="str">
        <f t="shared" si="804"/>
        <v/>
      </c>
      <c r="HR117" s="913" t="str">
        <f t="shared" si="805"/>
        <v/>
      </c>
      <c r="HS117" s="865" t="str">
        <f t="shared" si="852"/>
        <v/>
      </c>
      <c r="HT117" s="875" t="str">
        <f t="shared" si="806"/>
        <v/>
      </c>
      <c r="HU117" s="876" t="str">
        <f t="shared" si="807"/>
        <v/>
      </c>
      <c r="HV117" s="872" t="str">
        <f t="shared" si="808"/>
        <v/>
      </c>
      <c r="HW117" s="866" t="str">
        <f t="shared" si="809"/>
        <v/>
      </c>
      <c r="HX117" s="867" t="str">
        <f t="shared" si="810"/>
        <v/>
      </c>
      <c r="HY117" s="866" t="str">
        <f t="shared" si="811"/>
        <v/>
      </c>
      <c r="HZ117" s="868" t="str">
        <f t="shared" si="812"/>
        <v/>
      </c>
      <c r="IA117" s="869" t="str">
        <f t="shared" si="813"/>
        <v/>
      </c>
      <c r="IB117" s="870" t="str">
        <f t="shared" si="814"/>
        <v/>
      </c>
      <c r="IC117" s="841" t="str">
        <f t="shared" si="815"/>
        <v/>
      </c>
      <c r="ID117" s="351" t="str">
        <f t="shared" si="816"/>
        <v/>
      </c>
      <c r="IE117" s="843" t="str">
        <f t="shared" si="817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2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18"/>
        <v/>
      </c>
      <c r="IM117" s="482" t="str">
        <f t="shared" si="733"/>
        <v/>
      </c>
      <c r="IN117" s="670" t="str">
        <f t="shared" si="819"/>
        <v/>
      </c>
      <c r="IO117" s="702"/>
      <c r="IP117" s="5" t="str">
        <f t="shared" si="820"/>
        <v/>
      </c>
      <c r="IQ117" s="714"/>
      <c r="IR117" s="9" t="str">
        <f t="shared" si="821"/>
        <v/>
      </c>
      <c r="IS117" s="5" t="str">
        <f t="shared" si="822"/>
        <v/>
      </c>
      <c r="IT117" s="5" t="str">
        <f t="shared" si="823"/>
        <v/>
      </c>
      <c r="IU117" s="5" t="str">
        <f t="shared" si="824"/>
        <v/>
      </c>
      <c r="IV117" s="670" t="str">
        <f t="shared" si="825"/>
        <v/>
      </c>
      <c r="IW117" s="9" t="str">
        <f t="shared" si="826"/>
        <v/>
      </c>
      <c r="IX117" s="5" t="str">
        <f t="shared" si="827"/>
        <v/>
      </c>
      <c r="IY117" s="5" t="str">
        <f t="shared" si="828"/>
        <v/>
      </c>
      <c r="IZ117" s="5" t="str">
        <f t="shared" si="829"/>
        <v/>
      </c>
      <c r="JA117" s="705" t="str">
        <f t="shared" si="830"/>
        <v/>
      </c>
    </row>
    <row r="118" spans="1:261" ht="15" customHeight="1" x14ac:dyDescent="0.25">
      <c r="A118" s="75" t="str">
        <f t="shared" si="737"/>
        <v/>
      </c>
      <c r="B118" s="578" t="str">
        <f t="shared" si="738"/>
        <v/>
      </c>
      <c r="C118" s="572" t="str">
        <f t="shared" si="739"/>
        <v/>
      </c>
      <c r="D118" s="576" t="str">
        <f t="shared" si="740"/>
        <v/>
      </c>
      <c r="E118" s="580" t="str">
        <f t="shared" si="741"/>
        <v/>
      </c>
      <c r="F118" s="572" t="str">
        <f t="shared" si="742"/>
        <v/>
      </c>
      <c r="G118" s="579" t="str">
        <f t="shared" si="743"/>
        <v/>
      </c>
      <c r="H118" s="580" t="str">
        <f t="shared" si="744"/>
        <v/>
      </c>
      <c r="I118" s="572" t="str">
        <f t="shared" si="745"/>
        <v/>
      </c>
      <c r="J118" s="483" t="str">
        <f t="shared" si="746"/>
        <v/>
      </c>
      <c r="K118" s="806" t="str">
        <f t="shared" si="747"/>
        <v/>
      </c>
      <c r="L118" s="309"/>
      <c r="M118" s="164" t="str">
        <f t="shared" si="748"/>
        <v/>
      </c>
      <c r="N118" s="575" t="str">
        <f t="shared" si="749"/>
        <v/>
      </c>
      <c r="O118" s="572" t="str">
        <f t="shared" si="750"/>
        <v/>
      </c>
      <c r="P118" s="576" t="str">
        <f t="shared" si="751"/>
        <v/>
      </c>
      <c r="Q118" s="528" t="str">
        <f t="shared" si="610"/>
        <v/>
      </c>
      <c r="R118" s="572" t="str">
        <f t="shared" si="831"/>
        <v/>
      </c>
      <c r="S118" s="577" t="str">
        <f t="shared" si="832"/>
        <v/>
      </c>
      <c r="T118" s="578" t="str">
        <f t="shared" si="833"/>
        <v/>
      </c>
      <c r="U118" s="572" t="str">
        <f t="shared" si="834"/>
        <v/>
      </c>
      <c r="V118" s="579" t="str">
        <f t="shared" si="835"/>
        <v/>
      </c>
      <c r="W118" s="528" t="str">
        <f t="shared" si="736"/>
        <v/>
      </c>
      <c r="X118" s="572" t="str">
        <f t="shared" si="836"/>
        <v/>
      </c>
      <c r="Y118" s="573" t="str">
        <f t="shared" si="734"/>
        <v/>
      </c>
      <c r="Z118" s="575" t="str">
        <f t="shared" si="752"/>
        <v/>
      </c>
      <c r="AA118" s="572" t="str">
        <f t="shared" si="753"/>
        <v/>
      </c>
      <c r="AB118" s="572" t="str">
        <f t="shared" si="754"/>
        <v/>
      </c>
      <c r="AC118" s="579" t="str">
        <f t="shared" si="837"/>
        <v/>
      </c>
      <c r="AD118" s="580" t="str">
        <f t="shared" si="838"/>
        <v/>
      </c>
      <c r="AE118" s="572" t="str">
        <f t="shared" si="839"/>
        <v/>
      </c>
      <c r="AF118" s="576" t="str">
        <f t="shared" si="840"/>
        <v/>
      </c>
      <c r="AG118" s="545" t="str">
        <f t="shared" si="841"/>
        <v/>
      </c>
      <c r="AH118" s="546" t="str">
        <f t="shared" si="842"/>
        <v/>
      </c>
      <c r="AI118" s="528" t="str">
        <f t="shared" si="843"/>
        <v/>
      </c>
      <c r="AJ118" s="529" t="str">
        <f t="shared" si="844"/>
        <v/>
      </c>
      <c r="AK118" s="578" t="str">
        <f t="shared" si="845"/>
        <v/>
      </c>
      <c r="AL118" s="572" t="str">
        <f t="shared" si="846"/>
        <v/>
      </c>
      <c r="AM118" s="577" t="str">
        <f t="shared" si="847"/>
        <v/>
      </c>
      <c r="AN118" s="524" t="str">
        <f t="shared" si="848"/>
        <v/>
      </c>
      <c r="AO118" s="525" t="str">
        <f t="shared" si="515"/>
        <v/>
      </c>
      <c r="AP118" s="528" t="str">
        <f t="shared" si="849"/>
        <v/>
      </c>
      <c r="AQ118" s="529" t="str">
        <f t="shared" si="755"/>
        <v/>
      </c>
      <c r="AS118" s="932" t="str">
        <f t="shared" si="853"/>
        <v/>
      </c>
      <c r="AT118" s="928" t="str">
        <f t="shared" si="756"/>
        <v/>
      </c>
      <c r="AU118" s="418"/>
      <c r="AV118" s="164" t="str">
        <f t="shared" si="757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4"/>
        <v/>
      </c>
      <c r="BA118" s="296" t="str">
        <f t="shared" si="758"/>
        <v/>
      </c>
      <c r="BB118" s="177" t="str">
        <f t="shared" si="611"/>
        <v/>
      </c>
      <c r="BC118" s="9"/>
      <c r="BD118" s="5" t="str">
        <f t="shared" si="612"/>
        <v/>
      </c>
      <c r="BE118" s="6" t="str">
        <f t="shared" si="759"/>
        <v/>
      </c>
      <c r="BF118" s="4" t="str">
        <f t="shared" si="760"/>
        <v/>
      </c>
      <c r="BG118" s="5" t="str">
        <f t="shared" si="761"/>
        <v/>
      </c>
      <c r="BH118" s="10" t="str">
        <f t="shared" si="762"/>
        <v/>
      </c>
      <c r="BI118" s="9" t="str">
        <f t="shared" si="635"/>
        <v/>
      </c>
      <c r="BJ118" s="5" t="str">
        <f t="shared" si="763"/>
        <v/>
      </c>
      <c r="BK118" s="8" t="str">
        <f t="shared" si="764"/>
        <v/>
      </c>
      <c r="BL118" s="173" t="str">
        <f t="shared" si="765"/>
        <v/>
      </c>
      <c r="BM118" s="5" t="str">
        <f t="shared" si="766"/>
        <v/>
      </c>
      <c r="BN118" s="6" t="str">
        <f t="shared" si="767"/>
        <v/>
      </c>
      <c r="BO118" s="4" t="str">
        <f t="shared" si="636"/>
        <v/>
      </c>
      <c r="BP118" s="5" t="str">
        <f t="shared" si="735"/>
        <v/>
      </c>
      <c r="BQ118" s="5" t="str">
        <f t="shared" si="637"/>
        <v/>
      </c>
      <c r="BR118" s="6" t="str">
        <f t="shared" si="638"/>
        <v/>
      </c>
      <c r="BS118" s="4" t="str">
        <f t="shared" si="850"/>
        <v/>
      </c>
      <c r="BT118" s="5" t="str">
        <f t="shared" si="850"/>
        <v/>
      </c>
      <c r="BU118" s="10" t="str">
        <f t="shared" si="614"/>
        <v/>
      </c>
      <c r="BV118" s="9" t="str">
        <f t="shared" si="615"/>
        <v/>
      </c>
      <c r="BW118" s="5" t="str">
        <f t="shared" si="616"/>
        <v/>
      </c>
      <c r="BX118" s="8" t="str">
        <f t="shared" si="617"/>
        <v/>
      </c>
      <c r="BY118" s="173" t="str">
        <f t="shared" si="618"/>
        <v/>
      </c>
      <c r="BZ118" s="5" t="str">
        <f t="shared" si="619"/>
        <v/>
      </c>
      <c r="CA118" s="6" t="str">
        <f t="shared" si="620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1"/>
        <v/>
      </c>
      <c r="CJ118" s="5" t="str">
        <f t="shared" si="622"/>
        <v/>
      </c>
      <c r="CK118" s="8" t="str">
        <f t="shared" si="623"/>
        <v/>
      </c>
      <c r="CL118" s="173" t="str">
        <f t="shared" si="624"/>
        <v/>
      </c>
      <c r="CM118" s="5" t="str">
        <f t="shared" si="625"/>
        <v/>
      </c>
      <c r="CN118" s="6" t="str">
        <f t="shared" si="626"/>
        <v/>
      </c>
      <c r="CO118" s="167" t="str">
        <f t="shared" si="768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4"/>
        <v/>
      </c>
      <c r="DC118" s="5" t="str">
        <f t="shared" si="854"/>
        <v/>
      </c>
      <c r="DD118" s="10" t="str">
        <f t="shared" si="659"/>
        <v/>
      </c>
      <c r="DE118" s="9" t="str">
        <f t="shared" si="855"/>
        <v/>
      </c>
      <c r="DF118" s="5" t="str">
        <f t="shared" si="855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9"/>
        <v/>
      </c>
      <c r="ET118" s="5" t="str">
        <f t="shared" si="770"/>
        <v/>
      </c>
      <c r="EU118" s="10" t="str">
        <f t="shared" si="771"/>
        <v/>
      </c>
      <c r="EV118" s="174" t="str">
        <f t="shared" si="772"/>
        <v/>
      </c>
      <c r="EW118" s="9" t="str">
        <f t="shared" si="773"/>
        <v/>
      </c>
      <c r="EX118" s="5" t="str">
        <f t="shared" si="774"/>
        <v/>
      </c>
      <c r="EY118" s="6" t="str">
        <f t="shared" si="699"/>
        <v/>
      </c>
      <c r="EZ118" s="51" t="str">
        <f t="shared" si="700"/>
        <v/>
      </c>
      <c r="FA118" s="173" t="str">
        <f t="shared" si="775"/>
        <v/>
      </c>
      <c r="FB118" s="5" t="str">
        <f t="shared" si="776"/>
        <v/>
      </c>
      <c r="FC118" s="6" t="str">
        <f t="shared" si="777"/>
        <v/>
      </c>
      <c r="FD118" s="4" t="str">
        <f t="shared" si="778"/>
        <v/>
      </c>
      <c r="FE118" s="5" t="str">
        <f t="shared" si="779"/>
        <v/>
      </c>
      <c r="FF118" s="7" t="str">
        <f t="shared" si="701"/>
        <v/>
      </c>
      <c r="FG118" s="173" t="str">
        <f t="shared" si="780"/>
        <v/>
      </c>
      <c r="FH118" s="5" t="str">
        <f t="shared" si="781"/>
        <v/>
      </c>
      <c r="FI118" s="10" t="str">
        <f t="shared" si="782"/>
        <v/>
      </c>
      <c r="FJ118" s="279" t="str">
        <f t="shared" si="702"/>
        <v/>
      </c>
      <c r="FK118" s="4" t="str">
        <f t="shared" si="783"/>
        <v/>
      </c>
      <c r="FL118" s="5" t="str">
        <f t="shared" si="627"/>
        <v/>
      </c>
      <c r="FM118" s="8" t="str">
        <f t="shared" si="628"/>
        <v/>
      </c>
      <c r="FN118" s="9" t="str">
        <f t="shared" si="629"/>
        <v/>
      </c>
      <c r="FO118" s="10" t="str">
        <f t="shared" si="784"/>
        <v/>
      </c>
      <c r="FP118" s="277" t="str">
        <f t="shared" si="630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5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6"/>
        <v/>
      </c>
      <c r="GH118" s="286" t="str">
        <f t="shared" si="787"/>
        <v/>
      </c>
      <c r="GI118" s="281" t="str">
        <f t="shared" si="788"/>
        <v/>
      </c>
      <c r="GJ118" s="167" t="str">
        <f t="shared" si="718"/>
        <v/>
      </c>
      <c r="GK118" s="174" t="str">
        <f t="shared" si="789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90"/>
        <v/>
      </c>
      <c r="GT118" s="343" t="str">
        <f t="shared" si="791"/>
        <v/>
      </c>
      <c r="GU118" s="344" t="str">
        <f t="shared" si="792"/>
        <v/>
      </c>
      <c r="GV118" s="343" t="str">
        <f t="shared" si="726"/>
        <v/>
      </c>
      <c r="GW118" s="345" t="str">
        <f t="shared" si="793"/>
        <v/>
      </c>
      <c r="GX118" s="346" t="str">
        <f t="shared" si="794"/>
        <v/>
      </c>
      <c r="GY118" s="344" t="str">
        <f t="shared" si="795"/>
        <v/>
      </c>
      <c r="GZ118" s="345" t="str">
        <f t="shared" si="796"/>
        <v/>
      </c>
      <c r="HA118" s="342" t="str">
        <f t="shared" si="797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8"/>
        <v/>
      </c>
      <c r="HF118" s="5" t="str">
        <f t="shared" si="799"/>
        <v/>
      </c>
      <c r="HG118" s="343" t="str">
        <f t="shared" si="730"/>
        <v/>
      </c>
      <c r="HH118" s="349" t="str">
        <f t="shared" si="731"/>
        <v/>
      </c>
      <c r="HI118" s="317" t="str">
        <f t="shared" si="800"/>
        <v/>
      </c>
      <c r="HK118" s="310" t="str">
        <f t="shared" si="851"/>
        <v/>
      </c>
      <c r="HL118" s="348" t="str">
        <f t="shared" si="801"/>
        <v/>
      </c>
      <c r="HM118" s="909" t="str">
        <f t="shared" si="802"/>
        <v/>
      </c>
      <c r="HN118" s="910" t="str">
        <f t="shared" si="803"/>
        <v/>
      </c>
      <c r="HO118" s="911"/>
      <c r="HP118" s="912"/>
      <c r="HQ118" s="910" t="str">
        <f t="shared" si="804"/>
        <v/>
      </c>
      <c r="HR118" s="913" t="str">
        <f t="shared" si="805"/>
        <v/>
      </c>
      <c r="HS118" s="865" t="str">
        <f t="shared" si="852"/>
        <v/>
      </c>
      <c r="HT118" s="875" t="str">
        <f t="shared" si="806"/>
        <v/>
      </c>
      <c r="HU118" s="876" t="str">
        <f t="shared" si="807"/>
        <v/>
      </c>
      <c r="HV118" s="872" t="str">
        <f t="shared" si="808"/>
        <v/>
      </c>
      <c r="HW118" s="866" t="str">
        <f t="shared" si="809"/>
        <v/>
      </c>
      <c r="HX118" s="867" t="str">
        <f t="shared" si="810"/>
        <v/>
      </c>
      <c r="HY118" s="866" t="str">
        <f t="shared" si="811"/>
        <v/>
      </c>
      <c r="HZ118" s="868" t="str">
        <f t="shared" si="812"/>
        <v/>
      </c>
      <c r="IA118" s="869" t="str">
        <f t="shared" si="813"/>
        <v/>
      </c>
      <c r="IB118" s="870" t="str">
        <f t="shared" si="814"/>
        <v/>
      </c>
      <c r="IC118" s="841" t="str">
        <f t="shared" si="815"/>
        <v/>
      </c>
      <c r="ID118" s="351" t="str">
        <f t="shared" si="816"/>
        <v/>
      </c>
      <c r="IE118" s="843" t="str">
        <f t="shared" si="817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2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18"/>
        <v/>
      </c>
      <c r="IM118" s="482" t="str">
        <f t="shared" si="733"/>
        <v/>
      </c>
      <c r="IN118" s="670" t="str">
        <f t="shared" si="819"/>
        <v/>
      </c>
      <c r="IO118" s="702"/>
      <c r="IP118" s="5" t="str">
        <f t="shared" si="820"/>
        <v/>
      </c>
      <c r="IQ118" s="714"/>
      <c r="IR118" s="9" t="str">
        <f t="shared" si="821"/>
        <v/>
      </c>
      <c r="IS118" s="5" t="str">
        <f t="shared" si="822"/>
        <v/>
      </c>
      <c r="IT118" s="5" t="str">
        <f t="shared" si="823"/>
        <v/>
      </c>
      <c r="IU118" s="5" t="str">
        <f t="shared" si="824"/>
        <v/>
      </c>
      <c r="IV118" s="670" t="str">
        <f t="shared" si="825"/>
        <v/>
      </c>
      <c r="IW118" s="9" t="str">
        <f t="shared" si="826"/>
        <v/>
      </c>
      <c r="IX118" s="5" t="str">
        <f t="shared" si="827"/>
        <v/>
      </c>
      <c r="IY118" s="5" t="str">
        <f t="shared" si="828"/>
        <v/>
      </c>
      <c r="IZ118" s="5" t="str">
        <f t="shared" si="829"/>
        <v/>
      </c>
      <c r="JA118" s="705" t="str">
        <f t="shared" si="830"/>
        <v/>
      </c>
    </row>
    <row r="119" spans="1:261" ht="15" customHeight="1" x14ac:dyDescent="0.25">
      <c r="A119" s="75" t="str">
        <f t="shared" si="737"/>
        <v/>
      </c>
      <c r="B119" s="578" t="str">
        <f t="shared" si="738"/>
        <v/>
      </c>
      <c r="C119" s="572" t="str">
        <f t="shared" si="739"/>
        <v/>
      </c>
      <c r="D119" s="576" t="str">
        <f t="shared" si="740"/>
        <v/>
      </c>
      <c r="E119" s="580" t="str">
        <f t="shared" si="741"/>
        <v/>
      </c>
      <c r="F119" s="572" t="str">
        <f t="shared" si="742"/>
        <v/>
      </c>
      <c r="G119" s="579" t="str">
        <f t="shared" si="743"/>
        <v/>
      </c>
      <c r="H119" s="580" t="str">
        <f t="shared" si="744"/>
        <v/>
      </c>
      <c r="I119" s="572" t="str">
        <f t="shared" si="745"/>
        <v/>
      </c>
      <c r="J119" s="483" t="str">
        <f t="shared" si="746"/>
        <v/>
      </c>
      <c r="K119" s="806" t="str">
        <f t="shared" si="747"/>
        <v/>
      </c>
      <c r="L119" s="309"/>
      <c r="M119" s="164" t="str">
        <f t="shared" si="748"/>
        <v/>
      </c>
      <c r="N119" s="575" t="str">
        <f t="shared" si="749"/>
        <v/>
      </c>
      <c r="O119" s="572" t="str">
        <f t="shared" si="750"/>
        <v/>
      </c>
      <c r="P119" s="576" t="str">
        <f t="shared" si="751"/>
        <v/>
      </c>
      <c r="Q119" s="528" t="str">
        <f t="shared" si="610"/>
        <v/>
      </c>
      <c r="R119" s="572" t="str">
        <f t="shared" si="831"/>
        <v/>
      </c>
      <c r="S119" s="577" t="str">
        <f t="shared" si="832"/>
        <v/>
      </c>
      <c r="T119" s="578" t="str">
        <f t="shared" si="833"/>
        <v/>
      </c>
      <c r="U119" s="572" t="str">
        <f t="shared" si="834"/>
        <v/>
      </c>
      <c r="V119" s="579" t="str">
        <f t="shared" si="835"/>
        <v/>
      </c>
      <c r="W119" s="528" t="str">
        <f t="shared" si="736"/>
        <v/>
      </c>
      <c r="X119" s="572" t="str">
        <f t="shared" si="836"/>
        <v/>
      </c>
      <c r="Y119" s="573" t="str">
        <f t="shared" si="734"/>
        <v/>
      </c>
      <c r="Z119" s="575" t="str">
        <f t="shared" si="752"/>
        <v/>
      </c>
      <c r="AA119" s="572" t="str">
        <f t="shared" si="753"/>
        <v/>
      </c>
      <c r="AB119" s="572" t="str">
        <f t="shared" si="754"/>
        <v/>
      </c>
      <c r="AC119" s="579" t="str">
        <f t="shared" si="837"/>
        <v/>
      </c>
      <c r="AD119" s="580" t="str">
        <f t="shared" si="838"/>
        <v/>
      </c>
      <c r="AE119" s="572" t="str">
        <f t="shared" si="839"/>
        <v/>
      </c>
      <c r="AF119" s="576" t="str">
        <f t="shared" si="840"/>
        <v/>
      </c>
      <c r="AG119" s="545" t="str">
        <f t="shared" si="841"/>
        <v/>
      </c>
      <c r="AH119" s="546" t="str">
        <f t="shared" si="842"/>
        <v/>
      </c>
      <c r="AI119" s="528" t="str">
        <f t="shared" si="843"/>
        <v/>
      </c>
      <c r="AJ119" s="529" t="str">
        <f t="shared" si="844"/>
        <v/>
      </c>
      <c r="AK119" s="578" t="str">
        <f t="shared" si="845"/>
        <v/>
      </c>
      <c r="AL119" s="572" t="str">
        <f t="shared" si="846"/>
        <v/>
      </c>
      <c r="AM119" s="577" t="str">
        <f t="shared" si="847"/>
        <v/>
      </c>
      <c r="AN119" s="524" t="str">
        <f t="shared" si="848"/>
        <v/>
      </c>
      <c r="AO119" s="525" t="str">
        <f t="shared" si="515"/>
        <v/>
      </c>
      <c r="AP119" s="528" t="str">
        <f t="shared" si="849"/>
        <v/>
      </c>
      <c r="AQ119" s="529" t="str">
        <f t="shared" si="755"/>
        <v/>
      </c>
      <c r="AS119" s="932" t="str">
        <f t="shared" si="853"/>
        <v/>
      </c>
      <c r="AT119" s="928" t="str">
        <f t="shared" si="756"/>
        <v/>
      </c>
      <c r="AU119" s="418"/>
      <c r="AV119" s="164" t="str">
        <f t="shared" si="757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4"/>
        <v/>
      </c>
      <c r="BA119" s="296" t="str">
        <f t="shared" si="758"/>
        <v/>
      </c>
      <c r="BB119" s="177" t="str">
        <f t="shared" si="611"/>
        <v/>
      </c>
      <c r="BC119" s="9"/>
      <c r="BD119" s="5" t="str">
        <f t="shared" si="612"/>
        <v/>
      </c>
      <c r="BE119" s="6" t="str">
        <f t="shared" si="759"/>
        <v/>
      </c>
      <c r="BF119" s="4" t="str">
        <f t="shared" si="760"/>
        <v/>
      </c>
      <c r="BG119" s="5" t="str">
        <f t="shared" si="761"/>
        <v/>
      </c>
      <c r="BH119" s="10" t="str">
        <f t="shared" si="762"/>
        <v/>
      </c>
      <c r="BI119" s="9" t="str">
        <f t="shared" si="635"/>
        <v/>
      </c>
      <c r="BJ119" s="5" t="str">
        <f t="shared" si="763"/>
        <v/>
      </c>
      <c r="BK119" s="8" t="str">
        <f t="shared" si="764"/>
        <v/>
      </c>
      <c r="BL119" s="173" t="str">
        <f t="shared" si="765"/>
        <v/>
      </c>
      <c r="BM119" s="5" t="str">
        <f t="shared" si="766"/>
        <v/>
      </c>
      <c r="BN119" s="6" t="str">
        <f t="shared" si="767"/>
        <v/>
      </c>
      <c r="BO119" s="4" t="str">
        <f t="shared" si="636"/>
        <v/>
      </c>
      <c r="BP119" s="5" t="str">
        <f t="shared" si="735"/>
        <v/>
      </c>
      <c r="BQ119" s="5" t="str">
        <f t="shared" si="637"/>
        <v/>
      </c>
      <c r="BR119" s="6" t="str">
        <f t="shared" si="638"/>
        <v/>
      </c>
      <c r="BS119" s="4" t="str">
        <f t="shared" si="850"/>
        <v/>
      </c>
      <c r="BT119" s="5" t="str">
        <f t="shared" si="850"/>
        <v/>
      </c>
      <c r="BU119" s="10" t="str">
        <f t="shared" si="614"/>
        <v/>
      </c>
      <c r="BV119" s="9" t="str">
        <f t="shared" si="615"/>
        <v/>
      </c>
      <c r="BW119" s="5" t="str">
        <f t="shared" si="616"/>
        <v/>
      </c>
      <c r="BX119" s="8" t="str">
        <f t="shared" si="617"/>
        <v/>
      </c>
      <c r="BY119" s="173" t="str">
        <f t="shared" si="618"/>
        <v/>
      </c>
      <c r="BZ119" s="5" t="str">
        <f t="shared" si="619"/>
        <v/>
      </c>
      <c r="CA119" s="6" t="str">
        <f t="shared" si="620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1"/>
        <v/>
      </c>
      <c r="CJ119" s="5" t="str">
        <f t="shared" si="622"/>
        <v/>
      </c>
      <c r="CK119" s="8" t="str">
        <f t="shared" si="623"/>
        <v/>
      </c>
      <c r="CL119" s="173" t="str">
        <f t="shared" si="624"/>
        <v/>
      </c>
      <c r="CM119" s="5" t="str">
        <f t="shared" si="625"/>
        <v/>
      </c>
      <c r="CN119" s="6" t="str">
        <f t="shared" si="626"/>
        <v/>
      </c>
      <c r="CO119" s="167" t="str">
        <f t="shared" si="768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4"/>
        <v/>
      </c>
      <c r="DC119" s="5" t="str">
        <f t="shared" si="854"/>
        <v/>
      </c>
      <c r="DD119" s="10" t="str">
        <f t="shared" si="659"/>
        <v/>
      </c>
      <c r="DE119" s="9" t="str">
        <f t="shared" si="855"/>
        <v/>
      </c>
      <c r="DF119" s="5" t="str">
        <f t="shared" si="855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9"/>
        <v/>
      </c>
      <c r="ET119" s="5" t="str">
        <f t="shared" si="770"/>
        <v/>
      </c>
      <c r="EU119" s="10" t="str">
        <f t="shared" si="771"/>
        <v/>
      </c>
      <c r="EV119" s="174" t="str">
        <f t="shared" si="772"/>
        <v/>
      </c>
      <c r="EW119" s="9" t="str">
        <f t="shared" si="773"/>
        <v/>
      </c>
      <c r="EX119" s="5" t="str">
        <f t="shared" si="774"/>
        <v/>
      </c>
      <c r="EY119" s="6" t="str">
        <f t="shared" si="699"/>
        <v/>
      </c>
      <c r="EZ119" s="51" t="str">
        <f t="shared" si="700"/>
        <v/>
      </c>
      <c r="FA119" s="173" t="str">
        <f t="shared" si="775"/>
        <v/>
      </c>
      <c r="FB119" s="5" t="str">
        <f t="shared" si="776"/>
        <v/>
      </c>
      <c r="FC119" s="6" t="str">
        <f t="shared" si="777"/>
        <v/>
      </c>
      <c r="FD119" s="4" t="str">
        <f t="shared" si="778"/>
        <v/>
      </c>
      <c r="FE119" s="5" t="str">
        <f t="shared" si="779"/>
        <v/>
      </c>
      <c r="FF119" s="7" t="str">
        <f t="shared" si="701"/>
        <v/>
      </c>
      <c r="FG119" s="173" t="str">
        <f t="shared" si="780"/>
        <v/>
      </c>
      <c r="FH119" s="5" t="str">
        <f t="shared" si="781"/>
        <v/>
      </c>
      <c r="FI119" s="10" t="str">
        <f t="shared" si="782"/>
        <v/>
      </c>
      <c r="FJ119" s="279" t="str">
        <f t="shared" si="702"/>
        <v/>
      </c>
      <c r="FK119" s="4" t="str">
        <f t="shared" si="783"/>
        <v/>
      </c>
      <c r="FL119" s="5" t="str">
        <f t="shared" si="627"/>
        <v/>
      </c>
      <c r="FM119" s="8" t="str">
        <f t="shared" si="628"/>
        <v/>
      </c>
      <c r="FN119" s="9" t="str">
        <f t="shared" si="629"/>
        <v/>
      </c>
      <c r="FO119" s="10" t="str">
        <f t="shared" si="784"/>
        <v/>
      </c>
      <c r="FP119" s="277" t="str">
        <f t="shared" si="630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5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6"/>
        <v/>
      </c>
      <c r="GH119" s="286" t="str">
        <f t="shared" si="787"/>
        <v/>
      </c>
      <c r="GI119" s="281" t="str">
        <f t="shared" si="788"/>
        <v/>
      </c>
      <c r="GJ119" s="167" t="str">
        <f t="shared" si="718"/>
        <v/>
      </c>
      <c r="GK119" s="174" t="str">
        <f t="shared" si="789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90"/>
        <v/>
      </c>
      <c r="GT119" s="343" t="str">
        <f t="shared" si="791"/>
        <v/>
      </c>
      <c r="GU119" s="344" t="str">
        <f t="shared" si="792"/>
        <v/>
      </c>
      <c r="GV119" s="343" t="str">
        <f t="shared" si="726"/>
        <v/>
      </c>
      <c r="GW119" s="345" t="str">
        <f t="shared" si="793"/>
        <v/>
      </c>
      <c r="GX119" s="346" t="str">
        <f t="shared" si="794"/>
        <v/>
      </c>
      <c r="GY119" s="344" t="str">
        <f t="shared" si="795"/>
        <v/>
      </c>
      <c r="GZ119" s="345" t="str">
        <f t="shared" si="796"/>
        <v/>
      </c>
      <c r="HA119" s="342" t="str">
        <f t="shared" si="797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8"/>
        <v/>
      </c>
      <c r="HF119" s="5" t="str">
        <f t="shared" si="799"/>
        <v/>
      </c>
      <c r="HG119" s="343" t="str">
        <f t="shared" si="730"/>
        <v/>
      </c>
      <c r="HH119" s="349" t="str">
        <f t="shared" si="731"/>
        <v/>
      </c>
      <c r="HI119" s="317" t="str">
        <f t="shared" si="800"/>
        <v/>
      </c>
      <c r="HK119" s="310" t="str">
        <f t="shared" si="851"/>
        <v/>
      </c>
      <c r="HL119" s="348" t="str">
        <f t="shared" si="801"/>
        <v/>
      </c>
      <c r="HM119" s="909" t="str">
        <f t="shared" si="802"/>
        <v/>
      </c>
      <c r="HN119" s="910" t="str">
        <f t="shared" si="803"/>
        <v/>
      </c>
      <c r="HO119" s="911"/>
      <c r="HP119" s="912"/>
      <c r="HQ119" s="910" t="str">
        <f t="shared" si="804"/>
        <v/>
      </c>
      <c r="HR119" s="913" t="str">
        <f t="shared" si="805"/>
        <v/>
      </c>
      <c r="HS119" s="865" t="str">
        <f t="shared" si="852"/>
        <v/>
      </c>
      <c r="HT119" s="875" t="str">
        <f t="shared" si="806"/>
        <v/>
      </c>
      <c r="HU119" s="876" t="str">
        <f t="shared" si="807"/>
        <v/>
      </c>
      <c r="HV119" s="872" t="str">
        <f t="shared" si="808"/>
        <v/>
      </c>
      <c r="HW119" s="866" t="str">
        <f t="shared" si="809"/>
        <v/>
      </c>
      <c r="HX119" s="867" t="str">
        <f t="shared" si="810"/>
        <v/>
      </c>
      <c r="HY119" s="866" t="str">
        <f t="shared" si="811"/>
        <v/>
      </c>
      <c r="HZ119" s="868" t="str">
        <f t="shared" si="812"/>
        <v/>
      </c>
      <c r="IA119" s="869" t="str">
        <f t="shared" si="813"/>
        <v/>
      </c>
      <c r="IB119" s="870" t="str">
        <f t="shared" si="814"/>
        <v/>
      </c>
      <c r="IC119" s="841" t="str">
        <f t="shared" si="815"/>
        <v/>
      </c>
      <c r="ID119" s="351" t="str">
        <f t="shared" si="816"/>
        <v/>
      </c>
      <c r="IE119" s="843" t="str">
        <f t="shared" si="817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2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18"/>
        <v/>
      </c>
      <c r="IM119" s="482" t="str">
        <f t="shared" si="733"/>
        <v/>
      </c>
      <c r="IN119" s="670" t="str">
        <f t="shared" si="819"/>
        <v/>
      </c>
      <c r="IO119" s="702"/>
      <c r="IP119" s="5" t="str">
        <f t="shared" si="820"/>
        <v/>
      </c>
      <c r="IQ119" s="714"/>
      <c r="IR119" s="9" t="str">
        <f t="shared" si="821"/>
        <v/>
      </c>
      <c r="IS119" s="5" t="str">
        <f t="shared" si="822"/>
        <v/>
      </c>
      <c r="IT119" s="5" t="str">
        <f t="shared" si="823"/>
        <v/>
      </c>
      <c r="IU119" s="5" t="str">
        <f t="shared" si="824"/>
        <v/>
      </c>
      <c r="IV119" s="670" t="str">
        <f t="shared" si="825"/>
        <v/>
      </c>
      <c r="IW119" s="9" t="str">
        <f t="shared" si="826"/>
        <v/>
      </c>
      <c r="IX119" s="5" t="str">
        <f t="shared" si="827"/>
        <v/>
      </c>
      <c r="IY119" s="5" t="str">
        <f t="shared" si="828"/>
        <v/>
      </c>
      <c r="IZ119" s="5" t="str">
        <f t="shared" si="829"/>
        <v/>
      </c>
      <c r="JA119" s="705" t="str">
        <f t="shared" si="830"/>
        <v/>
      </c>
    </row>
    <row r="120" spans="1:261" ht="15" customHeight="1" x14ac:dyDescent="0.25">
      <c r="A120" s="75" t="str">
        <f t="shared" si="737"/>
        <v/>
      </c>
      <c r="B120" s="578" t="str">
        <f t="shared" si="738"/>
        <v/>
      </c>
      <c r="C120" s="572" t="str">
        <f t="shared" si="739"/>
        <v/>
      </c>
      <c r="D120" s="576" t="str">
        <f t="shared" si="740"/>
        <v/>
      </c>
      <c r="E120" s="580" t="str">
        <f t="shared" si="741"/>
        <v/>
      </c>
      <c r="F120" s="572" t="str">
        <f t="shared" si="742"/>
        <v/>
      </c>
      <c r="G120" s="579" t="str">
        <f t="shared" si="743"/>
        <v/>
      </c>
      <c r="H120" s="580" t="str">
        <f t="shared" si="744"/>
        <v/>
      </c>
      <c r="I120" s="572" t="str">
        <f t="shared" si="745"/>
        <v/>
      </c>
      <c r="J120" s="483" t="str">
        <f t="shared" si="746"/>
        <v/>
      </c>
      <c r="K120" s="806" t="str">
        <f t="shared" si="747"/>
        <v/>
      </c>
      <c r="L120" s="309"/>
      <c r="M120" s="164" t="str">
        <f t="shared" si="748"/>
        <v/>
      </c>
      <c r="N120" s="575" t="str">
        <f t="shared" si="749"/>
        <v/>
      </c>
      <c r="O120" s="572" t="str">
        <f t="shared" si="750"/>
        <v/>
      </c>
      <c r="P120" s="576" t="str">
        <f t="shared" si="751"/>
        <v/>
      </c>
      <c r="Q120" s="528" t="str">
        <f t="shared" si="610"/>
        <v/>
      </c>
      <c r="R120" s="572" t="str">
        <f t="shared" si="831"/>
        <v/>
      </c>
      <c r="S120" s="577" t="str">
        <f t="shared" si="832"/>
        <v/>
      </c>
      <c r="T120" s="578" t="str">
        <f t="shared" si="833"/>
        <v/>
      </c>
      <c r="U120" s="572" t="str">
        <f t="shared" si="834"/>
        <v/>
      </c>
      <c r="V120" s="579" t="str">
        <f t="shared" si="835"/>
        <v/>
      </c>
      <c r="W120" s="528" t="str">
        <f t="shared" si="736"/>
        <v/>
      </c>
      <c r="X120" s="572" t="str">
        <f t="shared" si="836"/>
        <v/>
      </c>
      <c r="Y120" s="573" t="str">
        <f t="shared" si="734"/>
        <v/>
      </c>
      <c r="Z120" s="575" t="str">
        <f t="shared" si="752"/>
        <v/>
      </c>
      <c r="AA120" s="572" t="str">
        <f t="shared" si="753"/>
        <v/>
      </c>
      <c r="AB120" s="572" t="str">
        <f t="shared" si="754"/>
        <v/>
      </c>
      <c r="AC120" s="579" t="str">
        <f t="shared" si="837"/>
        <v/>
      </c>
      <c r="AD120" s="580" t="str">
        <f t="shared" si="838"/>
        <v/>
      </c>
      <c r="AE120" s="572" t="str">
        <f t="shared" si="839"/>
        <v/>
      </c>
      <c r="AF120" s="576" t="str">
        <f t="shared" si="840"/>
        <v/>
      </c>
      <c r="AG120" s="545" t="str">
        <f t="shared" si="841"/>
        <v/>
      </c>
      <c r="AH120" s="546" t="str">
        <f t="shared" si="842"/>
        <v/>
      </c>
      <c r="AI120" s="528" t="str">
        <f t="shared" si="843"/>
        <v/>
      </c>
      <c r="AJ120" s="529" t="str">
        <f t="shared" si="844"/>
        <v/>
      </c>
      <c r="AK120" s="578" t="str">
        <f t="shared" si="845"/>
        <v/>
      </c>
      <c r="AL120" s="572" t="str">
        <f t="shared" si="846"/>
        <v/>
      </c>
      <c r="AM120" s="577" t="str">
        <f t="shared" si="847"/>
        <v/>
      </c>
      <c r="AN120" s="524" t="str">
        <f t="shared" si="848"/>
        <v/>
      </c>
      <c r="AO120" s="525" t="str">
        <f t="shared" ref="AO120:AO150" si="856">IF(ROUND(IF(M120="",0,DEGREES(ACOS(AK120))),4)=90,0,IF(M120="","",DEGREES(ACOS(AK120))))</f>
        <v/>
      </c>
      <c r="AP120" s="528" t="str">
        <f t="shared" si="849"/>
        <v/>
      </c>
      <c r="AQ120" s="529" t="str">
        <f t="shared" si="755"/>
        <v/>
      </c>
      <c r="AS120" s="932" t="str">
        <f t="shared" si="853"/>
        <v/>
      </c>
      <c r="AT120" s="928" t="str">
        <f t="shared" si="756"/>
        <v/>
      </c>
      <c r="AU120" s="418"/>
      <c r="AV120" s="164" t="str">
        <f t="shared" si="757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4"/>
        <v/>
      </c>
      <c r="BA120" s="296" t="str">
        <f t="shared" si="758"/>
        <v/>
      </c>
      <c r="BB120" s="177" t="str">
        <f t="shared" si="611"/>
        <v/>
      </c>
      <c r="BC120" s="9"/>
      <c r="BD120" s="5" t="str">
        <f t="shared" si="612"/>
        <v/>
      </c>
      <c r="BE120" s="6" t="str">
        <f t="shared" si="759"/>
        <v/>
      </c>
      <c r="BF120" s="4" t="str">
        <f t="shared" si="760"/>
        <v/>
      </c>
      <c r="BG120" s="5" t="str">
        <f t="shared" si="761"/>
        <v/>
      </c>
      <c r="BH120" s="10" t="str">
        <f t="shared" si="762"/>
        <v/>
      </c>
      <c r="BI120" s="9" t="str">
        <f t="shared" si="635"/>
        <v/>
      </c>
      <c r="BJ120" s="5" t="str">
        <f t="shared" si="763"/>
        <v/>
      </c>
      <c r="BK120" s="8" t="str">
        <f t="shared" si="764"/>
        <v/>
      </c>
      <c r="BL120" s="173" t="str">
        <f t="shared" si="765"/>
        <v/>
      </c>
      <c r="BM120" s="5" t="str">
        <f t="shared" si="766"/>
        <v/>
      </c>
      <c r="BN120" s="6" t="str">
        <f t="shared" si="767"/>
        <v/>
      </c>
      <c r="BO120" s="4" t="str">
        <f t="shared" si="636"/>
        <v/>
      </c>
      <c r="BP120" s="5" t="str">
        <f t="shared" si="735"/>
        <v/>
      </c>
      <c r="BQ120" s="5" t="str">
        <f t="shared" si="637"/>
        <v/>
      </c>
      <c r="BR120" s="6" t="str">
        <f t="shared" si="638"/>
        <v/>
      </c>
      <c r="BS120" s="4" t="str">
        <f t="shared" si="850"/>
        <v/>
      </c>
      <c r="BT120" s="5" t="str">
        <f t="shared" si="850"/>
        <v/>
      </c>
      <c r="BU120" s="10" t="str">
        <f t="shared" si="614"/>
        <v/>
      </c>
      <c r="BV120" s="9" t="str">
        <f t="shared" si="615"/>
        <v/>
      </c>
      <c r="BW120" s="5" t="str">
        <f t="shared" si="616"/>
        <v/>
      </c>
      <c r="BX120" s="8" t="str">
        <f t="shared" si="617"/>
        <v/>
      </c>
      <c r="BY120" s="173" t="str">
        <f t="shared" si="618"/>
        <v/>
      </c>
      <c r="BZ120" s="5" t="str">
        <f t="shared" si="619"/>
        <v/>
      </c>
      <c r="CA120" s="6" t="str">
        <f t="shared" si="620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1"/>
        <v/>
      </c>
      <c r="CJ120" s="5" t="str">
        <f t="shared" si="622"/>
        <v/>
      </c>
      <c r="CK120" s="8" t="str">
        <f t="shared" si="623"/>
        <v/>
      </c>
      <c r="CL120" s="173" t="str">
        <f t="shared" si="624"/>
        <v/>
      </c>
      <c r="CM120" s="5" t="str">
        <f t="shared" si="625"/>
        <v/>
      </c>
      <c r="CN120" s="6" t="str">
        <f t="shared" si="626"/>
        <v/>
      </c>
      <c r="CO120" s="167" t="str">
        <f t="shared" si="768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4"/>
        <v/>
      </c>
      <c r="DC120" s="5" t="str">
        <f t="shared" si="854"/>
        <v/>
      </c>
      <c r="DD120" s="10" t="str">
        <f t="shared" si="659"/>
        <v/>
      </c>
      <c r="DE120" s="9" t="str">
        <f t="shared" si="855"/>
        <v/>
      </c>
      <c r="DF120" s="5" t="str">
        <f t="shared" si="855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9"/>
        <v/>
      </c>
      <c r="ET120" s="5" t="str">
        <f t="shared" si="770"/>
        <v/>
      </c>
      <c r="EU120" s="10" t="str">
        <f t="shared" si="771"/>
        <v/>
      </c>
      <c r="EV120" s="174" t="str">
        <f t="shared" si="772"/>
        <v/>
      </c>
      <c r="EW120" s="9" t="str">
        <f t="shared" si="773"/>
        <v/>
      </c>
      <c r="EX120" s="5" t="str">
        <f t="shared" si="774"/>
        <v/>
      </c>
      <c r="EY120" s="6" t="str">
        <f t="shared" si="699"/>
        <v/>
      </c>
      <c r="EZ120" s="51" t="str">
        <f t="shared" si="700"/>
        <v/>
      </c>
      <c r="FA120" s="173" t="str">
        <f t="shared" si="775"/>
        <v/>
      </c>
      <c r="FB120" s="5" t="str">
        <f t="shared" si="776"/>
        <v/>
      </c>
      <c r="FC120" s="6" t="str">
        <f t="shared" si="777"/>
        <v/>
      </c>
      <c r="FD120" s="4" t="str">
        <f t="shared" si="778"/>
        <v/>
      </c>
      <c r="FE120" s="5" t="str">
        <f t="shared" si="779"/>
        <v/>
      </c>
      <c r="FF120" s="7" t="str">
        <f t="shared" si="701"/>
        <v/>
      </c>
      <c r="FG120" s="173" t="str">
        <f t="shared" si="780"/>
        <v/>
      </c>
      <c r="FH120" s="5" t="str">
        <f t="shared" si="781"/>
        <v/>
      </c>
      <c r="FI120" s="10" t="str">
        <f t="shared" si="782"/>
        <v/>
      </c>
      <c r="FJ120" s="279" t="str">
        <f t="shared" si="702"/>
        <v/>
      </c>
      <c r="FK120" s="4" t="str">
        <f t="shared" si="783"/>
        <v/>
      </c>
      <c r="FL120" s="5" t="str">
        <f t="shared" si="627"/>
        <v/>
      </c>
      <c r="FM120" s="8" t="str">
        <f t="shared" si="628"/>
        <v/>
      </c>
      <c r="FN120" s="9" t="str">
        <f t="shared" si="629"/>
        <v/>
      </c>
      <c r="FO120" s="10" t="str">
        <f t="shared" si="784"/>
        <v/>
      </c>
      <c r="FP120" s="277" t="str">
        <f t="shared" si="630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5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6"/>
        <v/>
      </c>
      <c r="GH120" s="286" t="str">
        <f t="shared" si="787"/>
        <v/>
      </c>
      <c r="GI120" s="281" t="str">
        <f t="shared" si="788"/>
        <v/>
      </c>
      <c r="GJ120" s="167" t="str">
        <f t="shared" si="718"/>
        <v/>
      </c>
      <c r="GK120" s="174" t="str">
        <f t="shared" si="789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90"/>
        <v/>
      </c>
      <c r="GT120" s="343" t="str">
        <f t="shared" si="791"/>
        <v/>
      </c>
      <c r="GU120" s="344" t="str">
        <f t="shared" si="792"/>
        <v/>
      </c>
      <c r="GV120" s="343" t="str">
        <f t="shared" si="726"/>
        <v/>
      </c>
      <c r="GW120" s="345" t="str">
        <f t="shared" si="793"/>
        <v/>
      </c>
      <c r="GX120" s="346" t="str">
        <f t="shared" si="794"/>
        <v/>
      </c>
      <c r="GY120" s="344" t="str">
        <f t="shared" si="795"/>
        <v/>
      </c>
      <c r="GZ120" s="345" t="str">
        <f t="shared" si="796"/>
        <v/>
      </c>
      <c r="HA120" s="342" t="str">
        <f t="shared" si="797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8"/>
        <v/>
      </c>
      <c r="HF120" s="5" t="str">
        <f t="shared" si="799"/>
        <v/>
      </c>
      <c r="HG120" s="343" t="str">
        <f t="shared" si="730"/>
        <v/>
      </c>
      <c r="HH120" s="349" t="str">
        <f t="shared" si="731"/>
        <v/>
      </c>
      <c r="HI120" s="317" t="str">
        <f t="shared" si="800"/>
        <v/>
      </c>
      <c r="HK120" s="310" t="str">
        <f t="shared" si="851"/>
        <v/>
      </c>
      <c r="HL120" s="348" t="str">
        <f t="shared" si="801"/>
        <v/>
      </c>
      <c r="HM120" s="909" t="str">
        <f t="shared" si="802"/>
        <v/>
      </c>
      <c r="HN120" s="910" t="str">
        <f t="shared" si="803"/>
        <v/>
      </c>
      <c r="HO120" s="911"/>
      <c r="HP120" s="912"/>
      <c r="HQ120" s="910" t="str">
        <f t="shared" si="804"/>
        <v/>
      </c>
      <c r="HR120" s="913" t="str">
        <f t="shared" si="805"/>
        <v/>
      </c>
      <c r="HS120" s="865" t="str">
        <f t="shared" si="852"/>
        <v/>
      </c>
      <c r="HT120" s="875" t="str">
        <f t="shared" si="806"/>
        <v/>
      </c>
      <c r="HU120" s="876" t="str">
        <f t="shared" si="807"/>
        <v/>
      </c>
      <c r="HV120" s="872" t="str">
        <f t="shared" si="808"/>
        <v/>
      </c>
      <c r="HW120" s="866" t="str">
        <f t="shared" si="809"/>
        <v/>
      </c>
      <c r="HX120" s="867" t="str">
        <f t="shared" si="810"/>
        <v/>
      </c>
      <c r="HY120" s="866" t="str">
        <f t="shared" si="811"/>
        <v/>
      </c>
      <c r="HZ120" s="868" t="str">
        <f t="shared" si="812"/>
        <v/>
      </c>
      <c r="IA120" s="869" t="str">
        <f t="shared" si="813"/>
        <v/>
      </c>
      <c r="IB120" s="870" t="str">
        <f t="shared" si="814"/>
        <v/>
      </c>
      <c r="IC120" s="841" t="str">
        <f t="shared" si="815"/>
        <v/>
      </c>
      <c r="ID120" s="351" t="str">
        <f t="shared" si="816"/>
        <v/>
      </c>
      <c r="IE120" s="843" t="str">
        <f t="shared" si="817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2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18"/>
        <v/>
      </c>
      <c r="IM120" s="482" t="str">
        <f t="shared" si="733"/>
        <v/>
      </c>
      <c r="IN120" s="670" t="str">
        <f t="shared" si="819"/>
        <v/>
      </c>
      <c r="IO120" s="702"/>
      <c r="IP120" s="5" t="str">
        <f t="shared" si="820"/>
        <v/>
      </c>
      <c r="IQ120" s="714"/>
      <c r="IR120" s="9" t="str">
        <f t="shared" si="821"/>
        <v/>
      </c>
      <c r="IS120" s="5" t="str">
        <f t="shared" si="822"/>
        <v/>
      </c>
      <c r="IT120" s="5" t="str">
        <f t="shared" si="823"/>
        <v/>
      </c>
      <c r="IU120" s="5" t="str">
        <f t="shared" si="824"/>
        <v/>
      </c>
      <c r="IV120" s="670" t="str">
        <f t="shared" si="825"/>
        <v/>
      </c>
      <c r="IW120" s="9" t="str">
        <f t="shared" si="826"/>
        <v/>
      </c>
      <c r="IX120" s="5" t="str">
        <f t="shared" si="827"/>
        <v/>
      </c>
      <c r="IY120" s="5" t="str">
        <f t="shared" si="828"/>
        <v/>
      </c>
      <c r="IZ120" s="5" t="str">
        <f t="shared" si="829"/>
        <v/>
      </c>
      <c r="JA120" s="705" t="str">
        <f t="shared" si="830"/>
        <v/>
      </c>
    </row>
    <row r="121" spans="1:261" ht="15" customHeight="1" x14ac:dyDescent="0.25">
      <c r="A121" s="75" t="str">
        <f t="shared" si="737"/>
        <v/>
      </c>
      <c r="B121" s="578" t="str">
        <f t="shared" si="738"/>
        <v/>
      </c>
      <c r="C121" s="572" t="str">
        <f t="shared" si="739"/>
        <v/>
      </c>
      <c r="D121" s="576" t="str">
        <f t="shared" si="740"/>
        <v/>
      </c>
      <c r="E121" s="580" t="str">
        <f t="shared" si="741"/>
        <v/>
      </c>
      <c r="F121" s="572" t="str">
        <f t="shared" si="742"/>
        <v/>
      </c>
      <c r="G121" s="579" t="str">
        <f t="shared" si="743"/>
        <v/>
      </c>
      <c r="H121" s="580" t="str">
        <f t="shared" si="744"/>
        <v/>
      </c>
      <c r="I121" s="572" t="str">
        <f t="shared" si="745"/>
        <v/>
      </c>
      <c r="J121" s="483" t="str">
        <f t="shared" si="746"/>
        <v/>
      </c>
      <c r="K121" s="806" t="str">
        <f t="shared" si="747"/>
        <v/>
      </c>
      <c r="L121" s="309"/>
      <c r="M121" s="164" t="str">
        <f t="shared" si="748"/>
        <v/>
      </c>
      <c r="N121" s="575" t="str">
        <f t="shared" si="749"/>
        <v/>
      </c>
      <c r="O121" s="572" t="str">
        <f t="shared" si="750"/>
        <v/>
      </c>
      <c r="P121" s="576" t="str">
        <f t="shared" si="751"/>
        <v/>
      </c>
      <c r="Q121" s="528" t="str">
        <f t="shared" si="610"/>
        <v/>
      </c>
      <c r="R121" s="572" t="str">
        <f t="shared" si="831"/>
        <v/>
      </c>
      <c r="S121" s="577" t="str">
        <f t="shared" si="832"/>
        <v/>
      </c>
      <c r="T121" s="578" t="str">
        <f t="shared" si="833"/>
        <v/>
      </c>
      <c r="U121" s="572" t="str">
        <f t="shared" si="834"/>
        <v/>
      </c>
      <c r="V121" s="579" t="str">
        <f t="shared" si="835"/>
        <v/>
      </c>
      <c r="W121" s="528" t="str">
        <f t="shared" si="736"/>
        <v/>
      </c>
      <c r="X121" s="572" t="str">
        <f t="shared" si="836"/>
        <v/>
      </c>
      <c r="Y121" s="573" t="str">
        <f t="shared" si="734"/>
        <v/>
      </c>
      <c r="Z121" s="575" t="str">
        <f t="shared" si="752"/>
        <v/>
      </c>
      <c r="AA121" s="572" t="str">
        <f t="shared" si="753"/>
        <v/>
      </c>
      <c r="AB121" s="572" t="str">
        <f t="shared" si="754"/>
        <v/>
      </c>
      <c r="AC121" s="579" t="str">
        <f t="shared" si="837"/>
        <v/>
      </c>
      <c r="AD121" s="580" t="str">
        <f t="shared" si="838"/>
        <v/>
      </c>
      <c r="AE121" s="572" t="str">
        <f t="shared" si="839"/>
        <v/>
      </c>
      <c r="AF121" s="576" t="str">
        <f t="shared" si="840"/>
        <v/>
      </c>
      <c r="AG121" s="545" t="str">
        <f t="shared" si="841"/>
        <v/>
      </c>
      <c r="AH121" s="546" t="str">
        <f t="shared" si="842"/>
        <v/>
      </c>
      <c r="AI121" s="528" t="str">
        <f t="shared" si="843"/>
        <v/>
      </c>
      <c r="AJ121" s="529" t="str">
        <f t="shared" si="844"/>
        <v/>
      </c>
      <c r="AK121" s="578" t="str">
        <f t="shared" si="845"/>
        <v/>
      </c>
      <c r="AL121" s="572" t="str">
        <f t="shared" si="846"/>
        <v/>
      </c>
      <c r="AM121" s="577" t="str">
        <f t="shared" si="847"/>
        <v/>
      </c>
      <c r="AN121" s="524" t="str">
        <f t="shared" si="848"/>
        <v/>
      </c>
      <c r="AO121" s="525" t="str">
        <f t="shared" si="856"/>
        <v/>
      </c>
      <c r="AP121" s="528" t="str">
        <f t="shared" si="849"/>
        <v/>
      </c>
      <c r="AQ121" s="529" t="str">
        <f t="shared" si="755"/>
        <v/>
      </c>
      <c r="AS121" s="932" t="str">
        <f t="shared" si="853"/>
        <v/>
      </c>
      <c r="AT121" s="928" t="str">
        <f t="shared" si="756"/>
        <v/>
      </c>
      <c r="AU121" s="418"/>
      <c r="AV121" s="164" t="str">
        <f t="shared" si="757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4"/>
        <v/>
      </c>
      <c r="BA121" s="296" t="str">
        <f t="shared" si="758"/>
        <v/>
      </c>
      <c r="BB121" s="177" t="str">
        <f t="shared" si="611"/>
        <v/>
      </c>
      <c r="BC121" s="9"/>
      <c r="BD121" s="5" t="str">
        <f t="shared" si="612"/>
        <v/>
      </c>
      <c r="BE121" s="6" t="str">
        <f t="shared" si="759"/>
        <v/>
      </c>
      <c r="BF121" s="4" t="str">
        <f t="shared" si="760"/>
        <v/>
      </c>
      <c r="BG121" s="5" t="str">
        <f t="shared" si="761"/>
        <v/>
      </c>
      <c r="BH121" s="10" t="str">
        <f t="shared" si="762"/>
        <v/>
      </c>
      <c r="BI121" s="9" t="str">
        <f t="shared" si="635"/>
        <v/>
      </c>
      <c r="BJ121" s="5" t="str">
        <f t="shared" si="763"/>
        <v/>
      </c>
      <c r="BK121" s="8" t="str">
        <f t="shared" si="764"/>
        <v/>
      </c>
      <c r="BL121" s="173" t="str">
        <f t="shared" si="765"/>
        <v/>
      </c>
      <c r="BM121" s="5" t="str">
        <f t="shared" si="766"/>
        <v/>
      </c>
      <c r="BN121" s="6" t="str">
        <f t="shared" si="767"/>
        <v/>
      </c>
      <c r="BO121" s="4" t="str">
        <f t="shared" si="636"/>
        <v/>
      </c>
      <c r="BP121" s="5" t="str">
        <f t="shared" si="735"/>
        <v/>
      </c>
      <c r="BQ121" s="5" t="str">
        <f t="shared" si="637"/>
        <v/>
      </c>
      <c r="BR121" s="6" t="str">
        <f t="shared" si="638"/>
        <v/>
      </c>
      <c r="BS121" s="4" t="str">
        <f t="shared" si="850"/>
        <v/>
      </c>
      <c r="BT121" s="5" t="str">
        <f t="shared" si="850"/>
        <v/>
      </c>
      <c r="BU121" s="10" t="str">
        <f t="shared" si="614"/>
        <v/>
      </c>
      <c r="BV121" s="9" t="str">
        <f t="shared" si="615"/>
        <v/>
      </c>
      <c r="BW121" s="5" t="str">
        <f t="shared" si="616"/>
        <v/>
      </c>
      <c r="BX121" s="8" t="str">
        <f t="shared" si="617"/>
        <v/>
      </c>
      <c r="BY121" s="173" t="str">
        <f t="shared" si="618"/>
        <v/>
      </c>
      <c r="BZ121" s="5" t="str">
        <f t="shared" si="619"/>
        <v/>
      </c>
      <c r="CA121" s="6" t="str">
        <f t="shared" si="620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1"/>
        <v/>
      </c>
      <c r="CJ121" s="5" t="str">
        <f t="shared" si="622"/>
        <v/>
      </c>
      <c r="CK121" s="8" t="str">
        <f t="shared" si="623"/>
        <v/>
      </c>
      <c r="CL121" s="173" t="str">
        <f t="shared" si="624"/>
        <v/>
      </c>
      <c r="CM121" s="5" t="str">
        <f t="shared" si="625"/>
        <v/>
      </c>
      <c r="CN121" s="6" t="str">
        <f t="shared" si="626"/>
        <v/>
      </c>
      <c r="CO121" s="167" t="str">
        <f t="shared" si="768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4"/>
        <v/>
      </c>
      <c r="DC121" s="5" t="str">
        <f t="shared" si="854"/>
        <v/>
      </c>
      <c r="DD121" s="10" t="str">
        <f t="shared" si="659"/>
        <v/>
      </c>
      <c r="DE121" s="9" t="str">
        <f t="shared" si="855"/>
        <v/>
      </c>
      <c r="DF121" s="5" t="str">
        <f t="shared" si="855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9"/>
        <v/>
      </c>
      <c r="ET121" s="5" t="str">
        <f t="shared" si="770"/>
        <v/>
      </c>
      <c r="EU121" s="10" t="str">
        <f t="shared" si="771"/>
        <v/>
      </c>
      <c r="EV121" s="174" t="str">
        <f t="shared" si="772"/>
        <v/>
      </c>
      <c r="EW121" s="9" t="str">
        <f t="shared" si="773"/>
        <v/>
      </c>
      <c r="EX121" s="5" t="str">
        <f t="shared" si="774"/>
        <v/>
      </c>
      <c r="EY121" s="6" t="str">
        <f t="shared" si="699"/>
        <v/>
      </c>
      <c r="EZ121" s="51" t="str">
        <f t="shared" si="700"/>
        <v/>
      </c>
      <c r="FA121" s="173" t="str">
        <f t="shared" si="775"/>
        <v/>
      </c>
      <c r="FB121" s="5" t="str">
        <f t="shared" si="776"/>
        <v/>
      </c>
      <c r="FC121" s="6" t="str">
        <f t="shared" si="777"/>
        <v/>
      </c>
      <c r="FD121" s="4" t="str">
        <f t="shared" si="778"/>
        <v/>
      </c>
      <c r="FE121" s="5" t="str">
        <f t="shared" si="779"/>
        <v/>
      </c>
      <c r="FF121" s="7" t="str">
        <f t="shared" si="701"/>
        <v/>
      </c>
      <c r="FG121" s="173" t="str">
        <f t="shared" si="780"/>
        <v/>
      </c>
      <c r="FH121" s="5" t="str">
        <f t="shared" si="781"/>
        <v/>
      </c>
      <c r="FI121" s="10" t="str">
        <f t="shared" si="782"/>
        <v/>
      </c>
      <c r="FJ121" s="279" t="str">
        <f t="shared" si="702"/>
        <v/>
      </c>
      <c r="FK121" s="4" t="str">
        <f t="shared" si="783"/>
        <v/>
      </c>
      <c r="FL121" s="5" t="str">
        <f t="shared" si="627"/>
        <v/>
      </c>
      <c r="FM121" s="8" t="str">
        <f t="shared" si="628"/>
        <v/>
      </c>
      <c r="FN121" s="9" t="str">
        <f t="shared" si="629"/>
        <v/>
      </c>
      <c r="FO121" s="10" t="str">
        <f t="shared" si="784"/>
        <v/>
      </c>
      <c r="FP121" s="277" t="str">
        <f t="shared" si="630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5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6"/>
        <v/>
      </c>
      <c r="GH121" s="286" t="str">
        <f t="shared" si="787"/>
        <v/>
      </c>
      <c r="GI121" s="281" t="str">
        <f t="shared" si="788"/>
        <v/>
      </c>
      <c r="GJ121" s="167" t="str">
        <f t="shared" si="718"/>
        <v/>
      </c>
      <c r="GK121" s="174" t="str">
        <f t="shared" si="789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90"/>
        <v/>
      </c>
      <c r="GT121" s="343" t="str">
        <f t="shared" si="791"/>
        <v/>
      </c>
      <c r="GU121" s="344" t="str">
        <f t="shared" si="792"/>
        <v/>
      </c>
      <c r="GV121" s="343" t="str">
        <f t="shared" si="726"/>
        <v/>
      </c>
      <c r="GW121" s="345" t="str">
        <f t="shared" si="793"/>
        <v/>
      </c>
      <c r="GX121" s="346" t="str">
        <f t="shared" si="794"/>
        <v/>
      </c>
      <c r="GY121" s="344" t="str">
        <f t="shared" si="795"/>
        <v/>
      </c>
      <c r="GZ121" s="345" t="str">
        <f t="shared" si="796"/>
        <v/>
      </c>
      <c r="HA121" s="342" t="str">
        <f t="shared" si="797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8"/>
        <v/>
      </c>
      <c r="HF121" s="5" t="str">
        <f t="shared" si="799"/>
        <v/>
      </c>
      <c r="HG121" s="343" t="str">
        <f t="shared" si="730"/>
        <v/>
      </c>
      <c r="HH121" s="349" t="str">
        <f t="shared" si="731"/>
        <v/>
      </c>
      <c r="HI121" s="317" t="str">
        <f t="shared" si="800"/>
        <v/>
      </c>
      <c r="HK121" s="310" t="str">
        <f t="shared" si="851"/>
        <v/>
      </c>
      <c r="HL121" s="348" t="str">
        <f t="shared" si="801"/>
        <v/>
      </c>
      <c r="HM121" s="909" t="str">
        <f t="shared" si="802"/>
        <v/>
      </c>
      <c r="HN121" s="910" t="str">
        <f t="shared" si="803"/>
        <v/>
      </c>
      <c r="HO121" s="911"/>
      <c r="HP121" s="912"/>
      <c r="HQ121" s="910" t="str">
        <f t="shared" si="804"/>
        <v/>
      </c>
      <c r="HR121" s="913" t="str">
        <f t="shared" si="805"/>
        <v/>
      </c>
      <c r="HS121" s="865" t="str">
        <f t="shared" si="852"/>
        <v/>
      </c>
      <c r="HT121" s="875" t="str">
        <f t="shared" si="806"/>
        <v/>
      </c>
      <c r="HU121" s="876" t="str">
        <f t="shared" si="807"/>
        <v/>
      </c>
      <c r="HV121" s="872" t="str">
        <f t="shared" si="808"/>
        <v/>
      </c>
      <c r="HW121" s="866" t="str">
        <f t="shared" si="809"/>
        <v/>
      </c>
      <c r="HX121" s="867" t="str">
        <f t="shared" si="810"/>
        <v/>
      </c>
      <c r="HY121" s="866" t="str">
        <f t="shared" si="811"/>
        <v/>
      </c>
      <c r="HZ121" s="868" t="str">
        <f t="shared" si="812"/>
        <v/>
      </c>
      <c r="IA121" s="869" t="str">
        <f t="shared" si="813"/>
        <v/>
      </c>
      <c r="IB121" s="870" t="str">
        <f t="shared" si="814"/>
        <v/>
      </c>
      <c r="IC121" s="841" t="str">
        <f t="shared" si="815"/>
        <v/>
      </c>
      <c r="ID121" s="351" t="str">
        <f t="shared" si="816"/>
        <v/>
      </c>
      <c r="IE121" s="843" t="str">
        <f t="shared" si="817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2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18"/>
        <v/>
      </c>
      <c r="IM121" s="482" t="str">
        <f t="shared" si="733"/>
        <v/>
      </c>
      <c r="IN121" s="670" t="str">
        <f t="shared" si="819"/>
        <v/>
      </c>
      <c r="IO121" s="702"/>
      <c r="IP121" s="5" t="str">
        <f t="shared" si="820"/>
        <v/>
      </c>
      <c r="IQ121" s="714"/>
      <c r="IR121" s="9" t="str">
        <f t="shared" si="821"/>
        <v/>
      </c>
      <c r="IS121" s="5" t="str">
        <f t="shared" si="822"/>
        <v/>
      </c>
      <c r="IT121" s="5" t="str">
        <f t="shared" si="823"/>
        <v/>
      </c>
      <c r="IU121" s="5" t="str">
        <f t="shared" si="824"/>
        <v/>
      </c>
      <c r="IV121" s="670" t="str">
        <f t="shared" si="825"/>
        <v/>
      </c>
      <c r="IW121" s="9" t="str">
        <f t="shared" si="826"/>
        <v/>
      </c>
      <c r="IX121" s="5" t="str">
        <f t="shared" si="827"/>
        <v/>
      </c>
      <c r="IY121" s="5" t="str">
        <f t="shared" si="828"/>
        <v/>
      </c>
      <c r="IZ121" s="5" t="str">
        <f t="shared" si="829"/>
        <v/>
      </c>
      <c r="JA121" s="705" t="str">
        <f t="shared" si="830"/>
        <v/>
      </c>
    </row>
    <row r="122" spans="1:261" ht="15" customHeight="1" x14ac:dyDescent="0.25">
      <c r="A122" s="75" t="str">
        <f t="shared" si="737"/>
        <v/>
      </c>
      <c r="B122" s="578" t="str">
        <f t="shared" si="738"/>
        <v/>
      </c>
      <c r="C122" s="572" t="str">
        <f t="shared" si="739"/>
        <v/>
      </c>
      <c r="D122" s="576" t="str">
        <f t="shared" si="740"/>
        <v/>
      </c>
      <c r="E122" s="580" t="str">
        <f t="shared" si="741"/>
        <v/>
      </c>
      <c r="F122" s="572" t="str">
        <f t="shared" si="742"/>
        <v/>
      </c>
      <c r="G122" s="579" t="str">
        <f t="shared" si="743"/>
        <v/>
      </c>
      <c r="H122" s="580" t="str">
        <f t="shared" si="744"/>
        <v/>
      </c>
      <c r="I122" s="572" t="str">
        <f t="shared" si="745"/>
        <v/>
      </c>
      <c r="J122" s="483" t="str">
        <f t="shared" si="746"/>
        <v/>
      </c>
      <c r="K122" s="806" t="str">
        <f t="shared" si="747"/>
        <v/>
      </c>
      <c r="L122" s="309"/>
      <c r="M122" s="164" t="str">
        <f t="shared" si="748"/>
        <v/>
      </c>
      <c r="N122" s="575" t="str">
        <f t="shared" si="749"/>
        <v/>
      </c>
      <c r="O122" s="572" t="str">
        <f t="shared" si="750"/>
        <v/>
      </c>
      <c r="P122" s="576" t="str">
        <f t="shared" si="751"/>
        <v/>
      </c>
      <c r="Q122" s="528" t="str">
        <f t="shared" si="610"/>
        <v/>
      </c>
      <c r="R122" s="572" t="str">
        <f t="shared" si="831"/>
        <v/>
      </c>
      <c r="S122" s="577" t="str">
        <f t="shared" si="832"/>
        <v/>
      </c>
      <c r="T122" s="578" t="str">
        <f t="shared" si="833"/>
        <v/>
      </c>
      <c r="U122" s="572" t="str">
        <f t="shared" si="834"/>
        <v/>
      </c>
      <c r="V122" s="579" t="str">
        <f t="shared" si="835"/>
        <v/>
      </c>
      <c r="W122" s="528" t="str">
        <f t="shared" si="736"/>
        <v/>
      </c>
      <c r="X122" s="572" t="str">
        <f t="shared" si="836"/>
        <v/>
      </c>
      <c r="Y122" s="573" t="str">
        <f t="shared" si="734"/>
        <v/>
      </c>
      <c r="Z122" s="575" t="str">
        <f t="shared" si="752"/>
        <v/>
      </c>
      <c r="AA122" s="572" t="str">
        <f t="shared" si="753"/>
        <v/>
      </c>
      <c r="AB122" s="572" t="str">
        <f t="shared" si="754"/>
        <v/>
      </c>
      <c r="AC122" s="579" t="str">
        <f t="shared" si="837"/>
        <v/>
      </c>
      <c r="AD122" s="580" t="str">
        <f t="shared" si="838"/>
        <v/>
      </c>
      <c r="AE122" s="572" t="str">
        <f t="shared" si="839"/>
        <v/>
      </c>
      <c r="AF122" s="576" t="str">
        <f t="shared" si="840"/>
        <v/>
      </c>
      <c r="AG122" s="545" t="str">
        <f t="shared" si="841"/>
        <v/>
      </c>
      <c r="AH122" s="546" t="str">
        <f t="shared" si="842"/>
        <v/>
      </c>
      <c r="AI122" s="528" t="str">
        <f t="shared" si="843"/>
        <v/>
      </c>
      <c r="AJ122" s="529" t="str">
        <f t="shared" si="844"/>
        <v/>
      </c>
      <c r="AK122" s="578" t="str">
        <f t="shared" si="845"/>
        <v/>
      </c>
      <c r="AL122" s="572" t="str">
        <f t="shared" si="846"/>
        <v/>
      </c>
      <c r="AM122" s="577" t="str">
        <f t="shared" si="847"/>
        <v/>
      </c>
      <c r="AN122" s="524" t="str">
        <f t="shared" si="848"/>
        <v/>
      </c>
      <c r="AO122" s="525" t="str">
        <f t="shared" si="856"/>
        <v/>
      </c>
      <c r="AP122" s="528" t="str">
        <f t="shared" si="849"/>
        <v/>
      </c>
      <c r="AQ122" s="529" t="str">
        <f t="shared" si="755"/>
        <v/>
      </c>
      <c r="AS122" s="932" t="str">
        <f t="shared" si="853"/>
        <v/>
      </c>
      <c r="AT122" s="928" t="str">
        <f t="shared" si="756"/>
        <v/>
      </c>
      <c r="AU122" s="418"/>
      <c r="AV122" s="164" t="str">
        <f t="shared" si="757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4"/>
        <v/>
      </c>
      <c r="BA122" s="296" t="str">
        <f t="shared" si="758"/>
        <v/>
      </c>
      <c r="BB122" s="177" t="str">
        <f t="shared" si="611"/>
        <v/>
      </c>
      <c r="BC122" s="9"/>
      <c r="BD122" s="5" t="str">
        <f t="shared" si="612"/>
        <v/>
      </c>
      <c r="BE122" s="6" t="str">
        <f t="shared" si="759"/>
        <v/>
      </c>
      <c r="BF122" s="4" t="str">
        <f t="shared" si="760"/>
        <v/>
      </c>
      <c r="BG122" s="5" t="str">
        <f t="shared" si="761"/>
        <v/>
      </c>
      <c r="BH122" s="10" t="str">
        <f t="shared" si="762"/>
        <v/>
      </c>
      <c r="BI122" s="9" t="str">
        <f t="shared" si="635"/>
        <v/>
      </c>
      <c r="BJ122" s="5" t="str">
        <f t="shared" si="763"/>
        <v/>
      </c>
      <c r="BK122" s="8" t="str">
        <f t="shared" si="764"/>
        <v/>
      </c>
      <c r="BL122" s="173" t="str">
        <f t="shared" si="765"/>
        <v/>
      </c>
      <c r="BM122" s="5" t="str">
        <f t="shared" si="766"/>
        <v/>
      </c>
      <c r="BN122" s="6" t="str">
        <f t="shared" si="767"/>
        <v/>
      </c>
      <c r="BO122" s="4" t="str">
        <f t="shared" si="636"/>
        <v/>
      </c>
      <c r="BP122" s="5" t="str">
        <f t="shared" si="735"/>
        <v/>
      </c>
      <c r="BQ122" s="5" t="str">
        <f t="shared" si="637"/>
        <v/>
      </c>
      <c r="BR122" s="6" t="str">
        <f t="shared" si="638"/>
        <v/>
      </c>
      <c r="BS122" s="4" t="str">
        <f t="shared" si="850"/>
        <v/>
      </c>
      <c r="BT122" s="5" t="str">
        <f t="shared" si="850"/>
        <v/>
      </c>
      <c r="BU122" s="10" t="str">
        <f t="shared" si="614"/>
        <v/>
      </c>
      <c r="BV122" s="9" t="str">
        <f t="shared" si="615"/>
        <v/>
      </c>
      <c r="BW122" s="5" t="str">
        <f t="shared" si="616"/>
        <v/>
      </c>
      <c r="BX122" s="8" t="str">
        <f t="shared" si="617"/>
        <v/>
      </c>
      <c r="BY122" s="173" t="str">
        <f t="shared" si="618"/>
        <v/>
      </c>
      <c r="BZ122" s="5" t="str">
        <f t="shared" si="619"/>
        <v/>
      </c>
      <c r="CA122" s="6" t="str">
        <f t="shared" si="620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1"/>
        <v/>
      </c>
      <c r="CJ122" s="5" t="str">
        <f t="shared" si="622"/>
        <v/>
      </c>
      <c r="CK122" s="8" t="str">
        <f t="shared" si="623"/>
        <v/>
      </c>
      <c r="CL122" s="173" t="str">
        <f t="shared" si="624"/>
        <v/>
      </c>
      <c r="CM122" s="5" t="str">
        <f t="shared" si="625"/>
        <v/>
      </c>
      <c r="CN122" s="6" t="str">
        <f t="shared" si="626"/>
        <v/>
      </c>
      <c r="CO122" s="167" t="str">
        <f t="shared" si="768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4"/>
        <v/>
      </c>
      <c r="DC122" s="5" t="str">
        <f t="shared" si="854"/>
        <v/>
      </c>
      <c r="DD122" s="10" t="str">
        <f t="shared" si="659"/>
        <v/>
      </c>
      <c r="DE122" s="9" t="str">
        <f t="shared" si="855"/>
        <v/>
      </c>
      <c r="DF122" s="5" t="str">
        <f t="shared" si="855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9"/>
        <v/>
      </c>
      <c r="ET122" s="5" t="str">
        <f t="shared" si="770"/>
        <v/>
      </c>
      <c r="EU122" s="10" t="str">
        <f t="shared" si="771"/>
        <v/>
      </c>
      <c r="EV122" s="174" t="str">
        <f t="shared" si="772"/>
        <v/>
      </c>
      <c r="EW122" s="9" t="str">
        <f t="shared" si="773"/>
        <v/>
      </c>
      <c r="EX122" s="5" t="str">
        <f t="shared" si="774"/>
        <v/>
      </c>
      <c r="EY122" s="6" t="str">
        <f t="shared" si="699"/>
        <v/>
      </c>
      <c r="EZ122" s="51" t="str">
        <f t="shared" si="700"/>
        <v/>
      </c>
      <c r="FA122" s="173" t="str">
        <f t="shared" si="775"/>
        <v/>
      </c>
      <c r="FB122" s="5" t="str">
        <f t="shared" si="776"/>
        <v/>
      </c>
      <c r="FC122" s="6" t="str">
        <f t="shared" si="777"/>
        <v/>
      </c>
      <c r="FD122" s="4" t="str">
        <f t="shared" si="778"/>
        <v/>
      </c>
      <c r="FE122" s="5" t="str">
        <f t="shared" si="779"/>
        <v/>
      </c>
      <c r="FF122" s="7" t="str">
        <f t="shared" si="701"/>
        <v/>
      </c>
      <c r="FG122" s="173" t="str">
        <f t="shared" si="780"/>
        <v/>
      </c>
      <c r="FH122" s="5" t="str">
        <f t="shared" si="781"/>
        <v/>
      </c>
      <c r="FI122" s="10" t="str">
        <f t="shared" si="782"/>
        <v/>
      </c>
      <c r="FJ122" s="279" t="str">
        <f t="shared" si="702"/>
        <v/>
      </c>
      <c r="FK122" s="4" t="str">
        <f t="shared" si="783"/>
        <v/>
      </c>
      <c r="FL122" s="5" t="str">
        <f t="shared" si="627"/>
        <v/>
      </c>
      <c r="FM122" s="8" t="str">
        <f t="shared" si="628"/>
        <v/>
      </c>
      <c r="FN122" s="9" t="str">
        <f t="shared" si="629"/>
        <v/>
      </c>
      <c r="FO122" s="10" t="str">
        <f t="shared" si="784"/>
        <v/>
      </c>
      <c r="FP122" s="277" t="str">
        <f t="shared" si="630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5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6"/>
        <v/>
      </c>
      <c r="GH122" s="286" t="str">
        <f t="shared" si="787"/>
        <v/>
      </c>
      <c r="GI122" s="281" t="str">
        <f t="shared" si="788"/>
        <v/>
      </c>
      <c r="GJ122" s="167" t="str">
        <f t="shared" si="718"/>
        <v/>
      </c>
      <c r="GK122" s="174" t="str">
        <f t="shared" si="789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90"/>
        <v/>
      </c>
      <c r="GT122" s="343" t="str">
        <f t="shared" si="791"/>
        <v/>
      </c>
      <c r="GU122" s="344" t="str">
        <f t="shared" si="792"/>
        <v/>
      </c>
      <c r="GV122" s="343" t="str">
        <f t="shared" si="726"/>
        <v/>
      </c>
      <c r="GW122" s="345" t="str">
        <f t="shared" si="793"/>
        <v/>
      </c>
      <c r="GX122" s="346" t="str">
        <f t="shared" si="794"/>
        <v/>
      </c>
      <c r="GY122" s="344" t="str">
        <f t="shared" si="795"/>
        <v/>
      </c>
      <c r="GZ122" s="345" t="str">
        <f t="shared" si="796"/>
        <v/>
      </c>
      <c r="HA122" s="342" t="str">
        <f t="shared" si="797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8"/>
        <v/>
      </c>
      <c r="HF122" s="5" t="str">
        <f t="shared" si="799"/>
        <v/>
      </c>
      <c r="HG122" s="343" t="str">
        <f t="shared" si="730"/>
        <v/>
      </c>
      <c r="HH122" s="349" t="str">
        <f t="shared" si="731"/>
        <v/>
      </c>
      <c r="HI122" s="317" t="str">
        <f t="shared" si="800"/>
        <v/>
      </c>
      <c r="HK122" s="310" t="str">
        <f t="shared" si="851"/>
        <v/>
      </c>
      <c r="HL122" s="348" t="str">
        <f t="shared" si="801"/>
        <v/>
      </c>
      <c r="HM122" s="909" t="str">
        <f t="shared" si="802"/>
        <v/>
      </c>
      <c r="HN122" s="910" t="str">
        <f t="shared" si="803"/>
        <v/>
      </c>
      <c r="HO122" s="911"/>
      <c r="HP122" s="912"/>
      <c r="HQ122" s="910" t="str">
        <f t="shared" si="804"/>
        <v/>
      </c>
      <c r="HR122" s="913" t="str">
        <f t="shared" si="805"/>
        <v/>
      </c>
      <c r="HS122" s="865" t="str">
        <f t="shared" si="852"/>
        <v/>
      </c>
      <c r="HT122" s="875" t="str">
        <f t="shared" si="806"/>
        <v/>
      </c>
      <c r="HU122" s="876" t="str">
        <f t="shared" si="807"/>
        <v/>
      </c>
      <c r="HV122" s="872" t="str">
        <f t="shared" si="808"/>
        <v/>
      </c>
      <c r="HW122" s="866" t="str">
        <f t="shared" si="809"/>
        <v/>
      </c>
      <c r="HX122" s="867" t="str">
        <f t="shared" si="810"/>
        <v/>
      </c>
      <c r="HY122" s="866" t="str">
        <f t="shared" si="811"/>
        <v/>
      </c>
      <c r="HZ122" s="868" t="str">
        <f t="shared" si="812"/>
        <v/>
      </c>
      <c r="IA122" s="869" t="str">
        <f t="shared" si="813"/>
        <v/>
      </c>
      <c r="IB122" s="870" t="str">
        <f t="shared" si="814"/>
        <v/>
      </c>
      <c r="IC122" s="841" t="str">
        <f t="shared" si="815"/>
        <v/>
      </c>
      <c r="ID122" s="351" t="str">
        <f t="shared" si="816"/>
        <v/>
      </c>
      <c r="IE122" s="843" t="str">
        <f t="shared" si="817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2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18"/>
        <v/>
      </c>
      <c r="IM122" s="482" t="str">
        <f t="shared" si="733"/>
        <v/>
      </c>
      <c r="IN122" s="670" t="str">
        <f t="shared" si="819"/>
        <v/>
      </c>
      <c r="IO122" s="702"/>
      <c r="IP122" s="5" t="str">
        <f t="shared" si="820"/>
        <v/>
      </c>
      <c r="IQ122" s="714"/>
      <c r="IR122" s="9" t="str">
        <f t="shared" si="821"/>
        <v/>
      </c>
      <c r="IS122" s="5" t="str">
        <f t="shared" si="822"/>
        <v/>
      </c>
      <c r="IT122" s="5" t="str">
        <f t="shared" si="823"/>
        <v/>
      </c>
      <c r="IU122" s="5" t="str">
        <f t="shared" si="824"/>
        <v/>
      </c>
      <c r="IV122" s="670" t="str">
        <f t="shared" si="825"/>
        <v/>
      </c>
      <c r="IW122" s="9" t="str">
        <f t="shared" si="826"/>
        <v/>
      </c>
      <c r="IX122" s="5" t="str">
        <f t="shared" si="827"/>
        <v/>
      </c>
      <c r="IY122" s="5" t="str">
        <f t="shared" si="828"/>
        <v/>
      </c>
      <c r="IZ122" s="5" t="str">
        <f t="shared" si="829"/>
        <v/>
      </c>
      <c r="JA122" s="705" t="str">
        <f t="shared" si="830"/>
        <v/>
      </c>
    </row>
    <row r="123" spans="1:261" ht="15" customHeight="1" x14ac:dyDescent="0.25">
      <c r="A123" s="75" t="str">
        <f t="shared" si="737"/>
        <v/>
      </c>
      <c r="B123" s="578" t="str">
        <f t="shared" si="738"/>
        <v/>
      </c>
      <c r="C123" s="572" t="str">
        <f t="shared" si="739"/>
        <v/>
      </c>
      <c r="D123" s="576" t="str">
        <f t="shared" si="740"/>
        <v/>
      </c>
      <c r="E123" s="580" t="str">
        <f t="shared" si="741"/>
        <v/>
      </c>
      <c r="F123" s="572" t="str">
        <f t="shared" si="742"/>
        <v/>
      </c>
      <c r="G123" s="579" t="str">
        <f t="shared" si="743"/>
        <v/>
      </c>
      <c r="H123" s="580" t="str">
        <f t="shared" si="744"/>
        <v/>
      </c>
      <c r="I123" s="572" t="str">
        <f t="shared" si="745"/>
        <v/>
      </c>
      <c r="J123" s="483" t="str">
        <f t="shared" si="746"/>
        <v/>
      </c>
      <c r="K123" s="806" t="str">
        <f t="shared" si="747"/>
        <v/>
      </c>
      <c r="L123" s="309"/>
      <c r="M123" s="164" t="str">
        <f t="shared" si="748"/>
        <v/>
      </c>
      <c r="N123" s="575" t="str">
        <f t="shared" si="749"/>
        <v/>
      </c>
      <c r="O123" s="572" t="str">
        <f t="shared" si="750"/>
        <v/>
      </c>
      <c r="P123" s="576" t="str">
        <f t="shared" si="751"/>
        <v/>
      </c>
      <c r="Q123" s="528" t="str">
        <f t="shared" si="610"/>
        <v/>
      </c>
      <c r="R123" s="572" t="str">
        <f t="shared" si="831"/>
        <v/>
      </c>
      <c r="S123" s="577" t="str">
        <f t="shared" si="832"/>
        <v/>
      </c>
      <c r="T123" s="578" t="str">
        <f t="shared" si="833"/>
        <v/>
      </c>
      <c r="U123" s="572" t="str">
        <f t="shared" si="834"/>
        <v/>
      </c>
      <c r="V123" s="579" t="str">
        <f t="shared" si="835"/>
        <v/>
      </c>
      <c r="W123" s="528" t="str">
        <f t="shared" si="736"/>
        <v/>
      </c>
      <c r="X123" s="572" t="str">
        <f t="shared" si="836"/>
        <v/>
      </c>
      <c r="Y123" s="573" t="str">
        <f t="shared" si="734"/>
        <v/>
      </c>
      <c r="Z123" s="575" t="str">
        <f t="shared" si="752"/>
        <v/>
      </c>
      <c r="AA123" s="572" t="str">
        <f t="shared" si="753"/>
        <v/>
      </c>
      <c r="AB123" s="572" t="str">
        <f t="shared" si="754"/>
        <v/>
      </c>
      <c r="AC123" s="579" t="str">
        <f t="shared" si="837"/>
        <v/>
      </c>
      <c r="AD123" s="580" t="str">
        <f t="shared" si="838"/>
        <v/>
      </c>
      <c r="AE123" s="572" t="str">
        <f t="shared" si="839"/>
        <v/>
      </c>
      <c r="AF123" s="576" t="str">
        <f t="shared" si="840"/>
        <v/>
      </c>
      <c r="AG123" s="545" t="str">
        <f t="shared" si="841"/>
        <v/>
      </c>
      <c r="AH123" s="546" t="str">
        <f t="shared" si="842"/>
        <v/>
      </c>
      <c r="AI123" s="528" t="str">
        <f t="shared" si="843"/>
        <v/>
      </c>
      <c r="AJ123" s="529" t="str">
        <f t="shared" si="844"/>
        <v/>
      </c>
      <c r="AK123" s="578" t="str">
        <f t="shared" si="845"/>
        <v/>
      </c>
      <c r="AL123" s="572" t="str">
        <f t="shared" si="846"/>
        <v/>
      </c>
      <c r="AM123" s="577" t="str">
        <f t="shared" si="847"/>
        <v/>
      </c>
      <c r="AN123" s="524" t="str">
        <f t="shared" si="848"/>
        <v/>
      </c>
      <c r="AO123" s="525" t="str">
        <f t="shared" si="856"/>
        <v/>
      </c>
      <c r="AP123" s="528" t="str">
        <f t="shared" si="849"/>
        <v/>
      </c>
      <c r="AQ123" s="529" t="str">
        <f t="shared" si="755"/>
        <v/>
      </c>
      <c r="AS123" s="932" t="str">
        <f t="shared" si="853"/>
        <v/>
      </c>
      <c r="AT123" s="928" t="str">
        <f t="shared" si="756"/>
        <v/>
      </c>
      <c r="AU123" s="418"/>
      <c r="AV123" s="164" t="str">
        <f t="shared" si="757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4"/>
        <v/>
      </c>
      <c r="BA123" s="296" t="str">
        <f t="shared" si="758"/>
        <v/>
      </c>
      <c r="BB123" s="177" t="str">
        <f t="shared" si="611"/>
        <v/>
      </c>
      <c r="BC123" s="9"/>
      <c r="BD123" s="5" t="str">
        <f t="shared" si="612"/>
        <v/>
      </c>
      <c r="BE123" s="6" t="str">
        <f t="shared" si="759"/>
        <v/>
      </c>
      <c r="BF123" s="4" t="str">
        <f t="shared" si="760"/>
        <v/>
      </c>
      <c r="BG123" s="5" t="str">
        <f t="shared" si="761"/>
        <v/>
      </c>
      <c r="BH123" s="10" t="str">
        <f t="shared" si="762"/>
        <v/>
      </c>
      <c r="BI123" s="9" t="str">
        <f t="shared" si="635"/>
        <v/>
      </c>
      <c r="BJ123" s="5" t="str">
        <f t="shared" si="763"/>
        <v/>
      </c>
      <c r="BK123" s="8" t="str">
        <f t="shared" si="764"/>
        <v/>
      </c>
      <c r="BL123" s="173" t="str">
        <f t="shared" si="765"/>
        <v/>
      </c>
      <c r="BM123" s="5" t="str">
        <f t="shared" si="766"/>
        <v/>
      </c>
      <c r="BN123" s="6" t="str">
        <f t="shared" si="767"/>
        <v/>
      </c>
      <c r="BO123" s="4" t="str">
        <f t="shared" si="636"/>
        <v/>
      </c>
      <c r="BP123" s="5" t="str">
        <f t="shared" si="735"/>
        <v/>
      </c>
      <c r="BQ123" s="5" t="str">
        <f t="shared" si="637"/>
        <v/>
      </c>
      <c r="BR123" s="6" t="str">
        <f t="shared" si="638"/>
        <v/>
      </c>
      <c r="BS123" s="4" t="str">
        <f t="shared" si="850"/>
        <v/>
      </c>
      <c r="BT123" s="5" t="str">
        <f t="shared" si="850"/>
        <v/>
      </c>
      <c r="BU123" s="10" t="str">
        <f t="shared" si="614"/>
        <v/>
      </c>
      <c r="BV123" s="9" t="str">
        <f t="shared" si="615"/>
        <v/>
      </c>
      <c r="BW123" s="5" t="str">
        <f t="shared" si="616"/>
        <v/>
      </c>
      <c r="BX123" s="8" t="str">
        <f t="shared" si="617"/>
        <v/>
      </c>
      <c r="BY123" s="173" t="str">
        <f t="shared" si="618"/>
        <v/>
      </c>
      <c r="BZ123" s="5" t="str">
        <f t="shared" si="619"/>
        <v/>
      </c>
      <c r="CA123" s="6" t="str">
        <f t="shared" si="620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1"/>
        <v/>
      </c>
      <c r="CJ123" s="5" t="str">
        <f t="shared" si="622"/>
        <v/>
      </c>
      <c r="CK123" s="8" t="str">
        <f t="shared" si="623"/>
        <v/>
      </c>
      <c r="CL123" s="173" t="str">
        <f t="shared" si="624"/>
        <v/>
      </c>
      <c r="CM123" s="5" t="str">
        <f t="shared" si="625"/>
        <v/>
      </c>
      <c r="CN123" s="6" t="str">
        <f t="shared" si="626"/>
        <v/>
      </c>
      <c r="CO123" s="167" t="str">
        <f t="shared" si="768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4"/>
        <v/>
      </c>
      <c r="DC123" s="5" t="str">
        <f t="shared" si="854"/>
        <v/>
      </c>
      <c r="DD123" s="10" t="str">
        <f t="shared" si="659"/>
        <v/>
      </c>
      <c r="DE123" s="9" t="str">
        <f t="shared" si="855"/>
        <v/>
      </c>
      <c r="DF123" s="5" t="str">
        <f t="shared" si="855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9"/>
        <v/>
      </c>
      <c r="ET123" s="5" t="str">
        <f t="shared" si="770"/>
        <v/>
      </c>
      <c r="EU123" s="10" t="str">
        <f t="shared" si="771"/>
        <v/>
      </c>
      <c r="EV123" s="174" t="str">
        <f t="shared" si="772"/>
        <v/>
      </c>
      <c r="EW123" s="9" t="str">
        <f t="shared" si="773"/>
        <v/>
      </c>
      <c r="EX123" s="5" t="str">
        <f t="shared" si="774"/>
        <v/>
      </c>
      <c r="EY123" s="6" t="str">
        <f t="shared" si="699"/>
        <v/>
      </c>
      <c r="EZ123" s="51" t="str">
        <f t="shared" si="700"/>
        <v/>
      </c>
      <c r="FA123" s="173" t="str">
        <f t="shared" si="775"/>
        <v/>
      </c>
      <c r="FB123" s="5" t="str">
        <f t="shared" si="776"/>
        <v/>
      </c>
      <c r="FC123" s="6" t="str">
        <f t="shared" si="777"/>
        <v/>
      </c>
      <c r="FD123" s="4" t="str">
        <f t="shared" si="778"/>
        <v/>
      </c>
      <c r="FE123" s="5" t="str">
        <f t="shared" si="779"/>
        <v/>
      </c>
      <c r="FF123" s="7" t="str">
        <f t="shared" si="701"/>
        <v/>
      </c>
      <c r="FG123" s="173" t="str">
        <f t="shared" si="780"/>
        <v/>
      </c>
      <c r="FH123" s="5" t="str">
        <f t="shared" si="781"/>
        <v/>
      </c>
      <c r="FI123" s="10" t="str">
        <f t="shared" si="782"/>
        <v/>
      </c>
      <c r="FJ123" s="279" t="str">
        <f t="shared" si="702"/>
        <v/>
      </c>
      <c r="FK123" s="4" t="str">
        <f t="shared" si="783"/>
        <v/>
      </c>
      <c r="FL123" s="5" t="str">
        <f t="shared" si="627"/>
        <v/>
      </c>
      <c r="FM123" s="8" t="str">
        <f t="shared" si="628"/>
        <v/>
      </c>
      <c r="FN123" s="9" t="str">
        <f t="shared" si="629"/>
        <v/>
      </c>
      <c r="FO123" s="10" t="str">
        <f t="shared" si="784"/>
        <v/>
      </c>
      <c r="FP123" s="277" t="str">
        <f t="shared" si="630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5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6"/>
        <v/>
      </c>
      <c r="GH123" s="286" t="str">
        <f t="shared" si="787"/>
        <v/>
      </c>
      <c r="GI123" s="281" t="str">
        <f t="shared" si="788"/>
        <v/>
      </c>
      <c r="GJ123" s="167" t="str">
        <f t="shared" si="718"/>
        <v/>
      </c>
      <c r="GK123" s="174" t="str">
        <f t="shared" si="789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90"/>
        <v/>
      </c>
      <c r="GT123" s="343" t="str">
        <f t="shared" si="791"/>
        <v/>
      </c>
      <c r="GU123" s="344" t="str">
        <f t="shared" si="792"/>
        <v/>
      </c>
      <c r="GV123" s="343" t="str">
        <f t="shared" si="726"/>
        <v/>
      </c>
      <c r="GW123" s="345" t="str">
        <f t="shared" si="793"/>
        <v/>
      </c>
      <c r="GX123" s="346" t="str">
        <f t="shared" si="794"/>
        <v/>
      </c>
      <c r="GY123" s="344" t="str">
        <f t="shared" si="795"/>
        <v/>
      </c>
      <c r="GZ123" s="345" t="str">
        <f t="shared" si="796"/>
        <v/>
      </c>
      <c r="HA123" s="342" t="str">
        <f t="shared" si="797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8"/>
        <v/>
      </c>
      <c r="HF123" s="5" t="str">
        <f t="shared" si="799"/>
        <v/>
      </c>
      <c r="HG123" s="343" t="str">
        <f t="shared" si="730"/>
        <v/>
      </c>
      <c r="HH123" s="349" t="str">
        <f t="shared" si="731"/>
        <v/>
      </c>
      <c r="HI123" s="317" t="str">
        <f t="shared" si="800"/>
        <v/>
      </c>
      <c r="HK123" s="310" t="str">
        <f t="shared" si="851"/>
        <v/>
      </c>
      <c r="HL123" s="348" t="str">
        <f t="shared" si="801"/>
        <v/>
      </c>
      <c r="HM123" s="909" t="str">
        <f t="shared" si="802"/>
        <v/>
      </c>
      <c r="HN123" s="910" t="str">
        <f t="shared" si="803"/>
        <v/>
      </c>
      <c r="HO123" s="911"/>
      <c r="HP123" s="912"/>
      <c r="HQ123" s="910" t="str">
        <f t="shared" si="804"/>
        <v/>
      </c>
      <c r="HR123" s="913" t="str">
        <f t="shared" si="805"/>
        <v/>
      </c>
      <c r="HS123" s="865" t="str">
        <f t="shared" si="852"/>
        <v/>
      </c>
      <c r="HT123" s="875" t="str">
        <f t="shared" si="806"/>
        <v/>
      </c>
      <c r="HU123" s="876" t="str">
        <f t="shared" si="807"/>
        <v/>
      </c>
      <c r="HV123" s="872" t="str">
        <f t="shared" si="808"/>
        <v/>
      </c>
      <c r="HW123" s="866" t="str">
        <f t="shared" si="809"/>
        <v/>
      </c>
      <c r="HX123" s="867" t="str">
        <f t="shared" si="810"/>
        <v/>
      </c>
      <c r="HY123" s="866" t="str">
        <f t="shared" si="811"/>
        <v/>
      </c>
      <c r="HZ123" s="868" t="str">
        <f t="shared" si="812"/>
        <v/>
      </c>
      <c r="IA123" s="869" t="str">
        <f t="shared" si="813"/>
        <v/>
      </c>
      <c r="IB123" s="870" t="str">
        <f t="shared" si="814"/>
        <v/>
      </c>
      <c r="IC123" s="841" t="str">
        <f t="shared" si="815"/>
        <v/>
      </c>
      <c r="ID123" s="351" t="str">
        <f t="shared" si="816"/>
        <v/>
      </c>
      <c r="IE123" s="843" t="str">
        <f t="shared" si="817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2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18"/>
        <v/>
      </c>
      <c r="IM123" s="482" t="str">
        <f t="shared" si="733"/>
        <v/>
      </c>
      <c r="IN123" s="670" t="str">
        <f t="shared" si="819"/>
        <v/>
      </c>
      <c r="IO123" s="702"/>
      <c r="IP123" s="5" t="str">
        <f t="shared" si="820"/>
        <v/>
      </c>
      <c r="IQ123" s="714"/>
      <c r="IR123" s="9" t="str">
        <f t="shared" si="821"/>
        <v/>
      </c>
      <c r="IS123" s="5" t="str">
        <f t="shared" si="822"/>
        <v/>
      </c>
      <c r="IT123" s="5" t="str">
        <f t="shared" si="823"/>
        <v/>
      </c>
      <c r="IU123" s="5" t="str">
        <f t="shared" si="824"/>
        <v/>
      </c>
      <c r="IV123" s="670" t="str">
        <f t="shared" si="825"/>
        <v/>
      </c>
      <c r="IW123" s="9" t="str">
        <f t="shared" si="826"/>
        <v/>
      </c>
      <c r="IX123" s="5" t="str">
        <f t="shared" si="827"/>
        <v/>
      </c>
      <c r="IY123" s="5" t="str">
        <f t="shared" si="828"/>
        <v/>
      </c>
      <c r="IZ123" s="5" t="str">
        <f t="shared" si="829"/>
        <v/>
      </c>
      <c r="JA123" s="705" t="str">
        <f t="shared" si="830"/>
        <v/>
      </c>
    </row>
    <row r="124" spans="1:261" ht="15" customHeight="1" x14ac:dyDescent="0.25">
      <c r="A124" s="75" t="str">
        <f t="shared" si="737"/>
        <v/>
      </c>
      <c r="B124" s="578" t="str">
        <f t="shared" si="738"/>
        <v/>
      </c>
      <c r="C124" s="572" t="str">
        <f t="shared" si="739"/>
        <v/>
      </c>
      <c r="D124" s="576" t="str">
        <f t="shared" si="740"/>
        <v/>
      </c>
      <c r="E124" s="580" t="str">
        <f t="shared" si="741"/>
        <v/>
      </c>
      <c r="F124" s="572" t="str">
        <f t="shared" si="742"/>
        <v/>
      </c>
      <c r="G124" s="579" t="str">
        <f t="shared" si="743"/>
        <v/>
      </c>
      <c r="H124" s="580" t="str">
        <f t="shared" si="744"/>
        <v/>
      </c>
      <c r="I124" s="572" t="str">
        <f t="shared" si="745"/>
        <v/>
      </c>
      <c r="J124" s="483" t="str">
        <f t="shared" si="746"/>
        <v/>
      </c>
      <c r="K124" s="806" t="str">
        <f t="shared" si="747"/>
        <v/>
      </c>
      <c r="L124" s="309"/>
      <c r="M124" s="164" t="str">
        <f t="shared" si="748"/>
        <v/>
      </c>
      <c r="N124" s="575" t="str">
        <f t="shared" si="749"/>
        <v/>
      </c>
      <c r="O124" s="572" t="str">
        <f t="shared" si="750"/>
        <v/>
      </c>
      <c r="P124" s="576" t="str">
        <f t="shared" si="751"/>
        <v/>
      </c>
      <c r="Q124" s="528" t="str">
        <f t="shared" si="610"/>
        <v/>
      </c>
      <c r="R124" s="572" t="str">
        <f t="shared" si="831"/>
        <v/>
      </c>
      <c r="S124" s="577" t="str">
        <f t="shared" si="832"/>
        <v/>
      </c>
      <c r="T124" s="578" t="str">
        <f t="shared" si="833"/>
        <v/>
      </c>
      <c r="U124" s="572" t="str">
        <f t="shared" si="834"/>
        <v/>
      </c>
      <c r="V124" s="579" t="str">
        <f t="shared" si="835"/>
        <v/>
      </c>
      <c r="W124" s="528" t="str">
        <f t="shared" si="736"/>
        <v/>
      </c>
      <c r="X124" s="572" t="str">
        <f t="shared" si="836"/>
        <v/>
      </c>
      <c r="Y124" s="573" t="str">
        <f t="shared" si="734"/>
        <v/>
      </c>
      <c r="Z124" s="575" t="str">
        <f t="shared" si="752"/>
        <v/>
      </c>
      <c r="AA124" s="572" t="str">
        <f t="shared" si="753"/>
        <v/>
      </c>
      <c r="AB124" s="572" t="str">
        <f t="shared" si="754"/>
        <v/>
      </c>
      <c r="AC124" s="579" t="str">
        <f t="shared" si="837"/>
        <v/>
      </c>
      <c r="AD124" s="580" t="str">
        <f t="shared" si="838"/>
        <v/>
      </c>
      <c r="AE124" s="572" t="str">
        <f t="shared" si="839"/>
        <v/>
      </c>
      <c r="AF124" s="576" t="str">
        <f t="shared" si="840"/>
        <v/>
      </c>
      <c r="AG124" s="545" t="str">
        <f t="shared" si="841"/>
        <v/>
      </c>
      <c r="AH124" s="546" t="str">
        <f t="shared" si="842"/>
        <v/>
      </c>
      <c r="AI124" s="528" t="str">
        <f t="shared" si="843"/>
        <v/>
      </c>
      <c r="AJ124" s="529" t="str">
        <f t="shared" si="844"/>
        <v/>
      </c>
      <c r="AK124" s="578" t="str">
        <f t="shared" si="845"/>
        <v/>
      </c>
      <c r="AL124" s="572" t="str">
        <f t="shared" si="846"/>
        <v/>
      </c>
      <c r="AM124" s="577" t="str">
        <f t="shared" si="847"/>
        <v/>
      </c>
      <c r="AN124" s="524" t="str">
        <f t="shared" si="848"/>
        <v/>
      </c>
      <c r="AO124" s="525" t="str">
        <f t="shared" si="856"/>
        <v/>
      </c>
      <c r="AP124" s="528" t="str">
        <f t="shared" si="849"/>
        <v/>
      </c>
      <c r="AQ124" s="529" t="str">
        <f t="shared" si="755"/>
        <v/>
      </c>
      <c r="AS124" s="932" t="str">
        <f t="shared" si="853"/>
        <v/>
      </c>
      <c r="AT124" s="928" t="str">
        <f t="shared" si="756"/>
        <v/>
      </c>
      <c r="AU124" s="418"/>
      <c r="AV124" s="164" t="str">
        <f t="shared" si="757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4"/>
        <v/>
      </c>
      <c r="BA124" s="296" t="str">
        <f t="shared" si="758"/>
        <v/>
      </c>
      <c r="BB124" s="177" t="str">
        <f t="shared" si="611"/>
        <v/>
      </c>
      <c r="BC124" s="9"/>
      <c r="BD124" s="5" t="str">
        <f t="shared" si="612"/>
        <v/>
      </c>
      <c r="BE124" s="6" t="str">
        <f t="shared" si="759"/>
        <v/>
      </c>
      <c r="BF124" s="4" t="str">
        <f t="shared" si="760"/>
        <v/>
      </c>
      <c r="BG124" s="5" t="str">
        <f t="shared" si="761"/>
        <v/>
      </c>
      <c r="BH124" s="10" t="str">
        <f t="shared" si="762"/>
        <v/>
      </c>
      <c r="BI124" s="9" t="str">
        <f t="shared" si="635"/>
        <v/>
      </c>
      <c r="BJ124" s="5" t="str">
        <f t="shared" si="763"/>
        <v/>
      </c>
      <c r="BK124" s="8" t="str">
        <f t="shared" si="764"/>
        <v/>
      </c>
      <c r="BL124" s="173" t="str">
        <f t="shared" si="765"/>
        <v/>
      </c>
      <c r="BM124" s="5" t="str">
        <f t="shared" si="766"/>
        <v/>
      </c>
      <c r="BN124" s="6" t="str">
        <f t="shared" si="767"/>
        <v/>
      </c>
      <c r="BO124" s="4" t="str">
        <f t="shared" si="636"/>
        <v/>
      </c>
      <c r="BP124" s="5" t="str">
        <f t="shared" si="735"/>
        <v/>
      </c>
      <c r="BQ124" s="5" t="str">
        <f t="shared" si="637"/>
        <v/>
      </c>
      <c r="BR124" s="6" t="str">
        <f t="shared" si="638"/>
        <v/>
      </c>
      <c r="BS124" s="4" t="str">
        <f t="shared" si="850"/>
        <v/>
      </c>
      <c r="BT124" s="5" t="str">
        <f t="shared" si="850"/>
        <v/>
      </c>
      <c r="BU124" s="10" t="str">
        <f t="shared" si="614"/>
        <v/>
      </c>
      <c r="BV124" s="9" t="str">
        <f t="shared" si="615"/>
        <v/>
      </c>
      <c r="BW124" s="5" t="str">
        <f t="shared" si="616"/>
        <v/>
      </c>
      <c r="BX124" s="8" t="str">
        <f t="shared" si="617"/>
        <v/>
      </c>
      <c r="BY124" s="173" t="str">
        <f t="shared" si="618"/>
        <v/>
      </c>
      <c r="BZ124" s="5" t="str">
        <f t="shared" si="619"/>
        <v/>
      </c>
      <c r="CA124" s="6" t="str">
        <f t="shared" si="620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1"/>
        <v/>
      </c>
      <c r="CJ124" s="5" t="str">
        <f t="shared" si="622"/>
        <v/>
      </c>
      <c r="CK124" s="8" t="str">
        <f t="shared" si="623"/>
        <v/>
      </c>
      <c r="CL124" s="173" t="str">
        <f t="shared" si="624"/>
        <v/>
      </c>
      <c r="CM124" s="5" t="str">
        <f t="shared" si="625"/>
        <v/>
      </c>
      <c r="CN124" s="6" t="str">
        <f t="shared" si="626"/>
        <v/>
      </c>
      <c r="CO124" s="167" t="str">
        <f t="shared" si="768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4"/>
        <v/>
      </c>
      <c r="DC124" s="5" t="str">
        <f t="shared" si="854"/>
        <v/>
      </c>
      <c r="DD124" s="10" t="str">
        <f t="shared" si="659"/>
        <v/>
      </c>
      <c r="DE124" s="9" t="str">
        <f t="shared" si="855"/>
        <v/>
      </c>
      <c r="DF124" s="5" t="str">
        <f t="shared" si="855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9"/>
        <v/>
      </c>
      <c r="ET124" s="5" t="str">
        <f t="shared" si="770"/>
        <v/>
      </c>
      <c r="EU124" s="10" t="str">
        <f t="shared" si="771"/>
        <v/>
      </c>
      <c r="EV124" s="174" t="str">
        <f t="shared" si="772"/>
        <v/>
      </c>
      <c r="EW124" s="9" t="str">
        <f t="shared" si="773"/>
        <v/>
      </c>
      <c r="EX124" s="5" t="str">
        <f t="shared" si="774"/>
        <v/>
      </c>
      <c r="EY124" s="6" t="str">
        <f t="shared" si="699"/>
        <v/>
      </c>
      <c r="EZ124" s="51" t="str">
        <f t="shared" si="700"/>
        <v/>
      </c>
      <c r="FA124" s="173" t="str">
        <f t="shared" si="775"/>
        <v/>
      </c>
      <c r="FB124" s="5" t="str">
        <f t="shared" si="776"/>
        <v/>
      </c>
      <c r="FC124" s="6" t="str">
        <f t="shared" si="777"/>
        <v/>
      </c>
      <c r="FD124" s="4" t="str">
        <f t="shared" si="778"/>
        <v/>
      </c>
      <c r="FE124" s="5" t="str">
        <f t="shared" si="779"/>
        <v/>
      </c>
      <c r="FF124" s="7" t="str">
        <f t="shared" si="701"/>
        <v/>
      </c>
      <c r="FG124" s="173" t="str">
        <f t="shared" si="780"/>
        <v/>
      </c>
      <c r="FH124" s="5" t="str">
        <f t="shared" si="781"/>
        <v/>
      </c>
      <c r="FI124" s="10" t="str">
        <f t="shared" si="782"/>
        <v/>
      </c>
      <c r="FJ124" s="279" t="str">
        <f t="shared" si="702"/>
        <v/>
      </c>
      <c r="FK124" s="4" t="str">
        <f t="shared" si="783"/>
        <v/>
      </c>
      <c r="FL124" s="5" t="str">
        <f t="shared" si="627"/>
        <v/>
      </c>
      <c r="FM124" s="8" t="str">
        <f t="shared" si="628"/>
        <v/>
      </c>
      <c r="FN124" s="9" t="str">
        <f t="shared" si="629"/>
        <v/>
      </c>
      <c r="FO124" s="10" t="str">
        <f t="shared" si="784"/>
        <v/>
      </c>
      <c r="FP124" s="277" t="str">
        <f t="shared" si="630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5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6"/>
        <v/>
      </c>
      <c r="GH124" s="286" t="str">
        <f t="shared" si="787"/>
        <v/>
      </c>
      <c r="GI124" s="281" t="str">
        <f t="shared" si="788"/>
        <v/>
      </c>
      <c r="GJ124" s="167" t="str">
        <f t="shared" si="718"/>
        <v/>
      </c>
      <c r="GK124" s="174" t="str">
        <f t="shared" si="789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90"/>
        <v/>
      </c>
      <c r="GT124" s="343" t="str">
        <f t="shared" si="791"/>
        <v/>
      </c>
      <c r="GU124" s="344" t="str">
        <f t="shared" si="792"/>
        <v/>
      </c>
      <c r="GV124" s="343" t="str">
        <f t="shared" si="726"/>
        <v/>
      </c>
      <c r="GW124" s="345" t="str">
        <f t="shared" si="793"/>
        <v/>
      </c>
      <c r="GX124" s="346" t="str">
        <f t="shared" si="794"/>
        <v/>
      </c>
      <c r="GY124" s="344" t="str">
        <f t="shared" si="795"/>
        <v/>
      </c>
      <c r="GZ124" s="345" t="str">
        <f t="shared" si="796"/>
        <v/>
      </c>
      <c r="HA124" s="342" t="str">
        <f t="shared" si="797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8"/>
        <v/>
      </c>
      <c r="HF124" s="5" t="str">
        <f t="shared" si="799"/>
        <v/>
      </c>
      <c r="HG124" s="343" t="str">
        <f t="shared" si="730"/>
        <v/>
      </c>
      <c r="HH124" s="349" t="str">
        <f t="shared" si="731"/>
        <v/>
      </c>
      <c r="HI124" s="317" t="str">
        <f t="shared" si="800"/>
        <v/>
      </c>
      <c r="HK124" s="310" t="str">
        <f t="shared" si="851"/>
        <v/>
      </c>
      <c r="HL124" s="348" t="str">
        <f t="shared" si="801"/>
        <v/>
      </c>
      <c r="HM124" s="909" t="str">
        <f t="shared" si="802"/>
        <v/>
      </c>
      <c r="HN124" s="910" t="str">
        <f t="shared" si="803"/>
        <v/>
      </c>
      <c r="HO124" s="911"/>
      <c r="HP124" s="912"/>
      <c r="HQ124" s="910" t="str">
        <f t="shared" si="804"/>
        <v/>
      </c>
      <c r="HR124" s="913" t="str">
        <f t="shared" si="805"/>
        <v/>
      </c>
      <c r="HS124" s="865" t="str">
        <f t="shared" si="852"/>
        <v/>
      </c>
      <c r="HT124" s="875" t="str">
        <f t="shared" si="806"/>
        <v/>
      </c>
      <c r="HU124" s="876" t="str">
        <f t="shared" si="807"/>
        <v/>
      </c>
      <c r="HV124" s="872" t="str">
        <f t="shared" si="808"/>
        <v/>
      </c>
      <c r="HW124" s="866" t="str">
        <f t="shared" si="809"/>
        <v/>
      </c>
      <c r="HX124" s="867" t="str">
        <f t="shared" si="810"/>
        <v/>
      </c>
      <c r="HY124" s="866" t="str">
        <f t="shared" si="811"/>
        <v/>
      </c>
      <c r="HZ124" s="868" t="str">
        <f t="shared" si="812"/>
        <v/>
      </c>
      <c r="IA124" s="869" t="str">
        <f t="shared" si="813"/>
        <v/>
      </c>
      <c r="IB124" s="870" t="str">
        <f t="shared" si="814"/>
        <v/>
      </c>
      <c r="IC124" s="841" t="str">
        <f t="shared" si="815"/>
        <v/>
      </c>
      <c r="ID124" s="351" t="str">
        <f t="shared" si="816"/>
        <v/>
      </c>
      <c r="IE124" s="843" t="str">
        <f t="shared" si="817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2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18"/>
        <v/>
      </c>
      <c r="IM124" s="482" t="str">
        <f t="shared" si="733"/>
        <v/>
      </c>
      <c r="IN124" s="670" t="str">
        <f t="shared" si="819"/>
        <v/>
      </c>
      <c r="IO124" s="702"/>
      <c r="IP124" s="5" t="str">
        <f t="shared" si="820"/>
        <v/>
      </c>
      <c r="IQ124" s="714"/>
      <c r="IR124" s="9" t="str">
        <f t="shared" si="821"/>
        <v/>
      </c>
      <c r="IS124" s="5" t="str">
        <f t="shared" si="822"/>
        <v/>
      </c>
      <c r="IT124" s="5" t="str">
        <f t="shared" si="823"/>
        <v/>
      </c>
      <c r="IU124" s="5" t="str">
        <f t="shared" si="824"/>
        <v/>
      </c>
      <c r="IV124" s="670" t="str">
        <f t="shared" si="825"/>
        <v/>
      </c>
      <c r="IW124" s="9" t="str">
        <f t="shared" si="826"/>
        <v/>
      </c>
      <c r="IX124" s="5" t="str">
        <f t="shared" si="827"/>
        <v/>
      </c>
      <c r="IY124" s="5" t="str">
        <f t="shared" si="828"/>
        <v/>
      </c>
      <c r="IZ124" s="5" t="str">
        <f t="shared" si="829"/>
        <v/>
      </c>
      <c r="JA124" s="705" t="str">
        <f t="shared" si="830"/>
        <v/>
      </c>
    </row>
    <row r="125" spans="1:261" ht="15" customHeight="1" x14ac:dyDescent="0.25">
      <c r="A125" s="75" t="str">
        <f t="shared" si="737"/>
        <v/>
      </c>
      <c r="B125" s="578" t="str">
        <f t="shared" si="738"/>
        <v/>
      </c>
      <c r="C125" s="572" t="str">
        <f t="shared" si="739"/>
        <v/>
      </c>
      <c r="D125" s="576" t="str">
        <f t="shared" si="740"/>
        <v/>
      </c>
      <c r="E125" s="580" t="str">
        <f t="shared" si="741"/>
        <v/>
      </c>
      <c r="F125" s="572" t="str">
        <f t="shared" si="742"/>
        <v/>
      </c>
      <c r="G125" s="579" t="str">
        <f t="shared" si="743"/>
        <v/>
      </c>
      <c r="H125" s="580" t="str">
        <f t="shared" si="744"/>
        <v/>
      </c>
      <c r="I125" s="572" t="str">
        <f t="shared" si="745"/>
        <v/>
      </c>
      <c r="J125" s="483" t="str">
        <f t="shared" si="746"/>
        <v/>
      </c>
      <c r="K125" s="806" t="str">
        <f t="shared" si="747"/>
        <v/>
      </c>
      <c r="L125" s="309"/>
      <c r="M125" s="164" t="str">
        <f t="shared" si="748"/>
        <v/>
      </c>
      <c r="N125" s="575" t="str">
        <f t="shared" si="749"/>
        <v/>
      </c>
      <c r="O125" s="572" t="str">
        <f t="shared" si="750"/>
        <v/>
      </c>
      <c r="P125" s="576" t="str">
        <f t="shared" si="751"/>
        <v/>
      </c>
      <c r="Q125" s="528" t="str">
        <f t="shared" si="610"/>
        <v/>
      </c>
      <c r="R125" s="572" t="str">
        <f t="shared" si="831"/>
        <v/>
      </c>
      <c r="S125" s="577" t="str">
        <f t="shared" si="832"/>
        <v/>
      </c>
      <c r="T125" s="578" t="str">
        <f t="shared" si="833"/>
        <v/>
      </c>
      <c r="U125" s="572" t="str">
        <f t="shared" si="834"/>
        <v/>
      </c>
      <c r="V125" s="579" t="str">
        <f t="shared" si="835"/>
        <v/>
      </c>
      <c r="W125" s="528" t="str">
        <f t="shared" si="736"/>
        <v/>
      </c>
      <c r="X125" s="572" t="str">
        <f t="shared" si="836"/>
        <v/>
      </c>
      <c r="Y125" s="573" t="str">
        <f t="shared" si="734"/>
        <v/>
      </c>
      <c r="Z125" s="575" t="str">
        <f t="shared" si="752"/>
        <v/>
      </c>
      <c r="AA125" s="572" t="str">
        <f t="shared" si="753"/>
        <v/>
      </c>
      <c r="AB125" s="572" t="str">
        <f t="shared" si="754"/>
        <v/>
      </c>
      <c r="AC125" s="579" t="str">
        <f t="shared" si="837"/>
        <v/>
      </c>
      <c r="AD125" s="580" t="str">
        <f t="shared" si="838"/>
        <v/>
      </c>
      <c r="AE125" s="572" t="str">
        <f t="shared" si="839"/>
        <v/>
      </c>
      <c r="AF125" s="576" t="str">
        <f t="shared" si="840"/>
        <v/>
      </c>
      <c r="AG125" s="545" t="str">
        <f t="shared" si="841"/>
        <v/>
      </c>
      <c r="AH125" s="546" t="str">
        <f t="shared" si="842"/>
        <v/>
      </c>
      <c r="AI125" s="528" t="str">
        <f t="shared" si="843"/>
        <v/>
      </c>
      <c r="AJ125" s="529" t="str">
        <f t="shared" si="844"/>
        <v/>
      </c>
      <c r="AK125" s="578" t="str">
        <f t="shared" si="845"/>
        <v/>
      </c>
      <c r="AL125" s="572" t="str">
        <f t="shared" si="846"/>
        <v/>
      </c>
      <c r="AM125" s="577" t="str">
        <f t="shared" si="847"/>
        <v/>
      </c>
      <c r="AN125" s="524" t="str">
        <f t="shared" si="848"/>
        <v/>
      </c>
      <c r="AO125" s="525" t="str">
        <f t="shared" si="856"/>
        <v/>
      </c>
      <c r="AP125" s="528" t="str">
        <f t="shared" si="849"/>
        <v/>
      </c>
      <c r="AQ125" s="529" t="str">
        <f t="shared" si="755"/>
        <v/>
      </c>
      <c r="AS125" s="932" t="str">
        <f t="shared" si="853"/>
        <v/>
      </c>
      <c r="AT125" s="928" t="str">
        <f t="shared" si="756"/>
        <v/>
      </c>
      <c r="AU125" s="418"/>
      <c r="AV125" s="164" t="str">
        <f t="shared" si="757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4"/>
        <v/>
      </c>
      <c r="BA125" s="296" t="str">
        <f t="shared" si="758"/>
        <v/>
      </c>
      <c r="BB125" s="177" t="str">
        <f t="shared" si="611"/>
        <v/>
      </c>
      <c r="BC125" s="9"/>
      <c r="BD125" s="5" t="str">
        <f t="shared" si="612"/>
        <v/>
      </c>
      <c r="BE125" s="6" t="str">
        <f t="shared" si="759"/>
        <v/>
      </c>
      <c r="BF125" s="4" t="str">
        <f t="shared" si="760"/>
        <v/>
      </c>
      <c r="BG125" s="5" t="str">
        <f t="shared" si="761"/>
        <v/>
      </c>
      <c r="BH125" s="10" t="str">
        <f t="shared" si="762"/>
        <v/>
      </c>
      <c r="BI125" s="9" t="str">
        <f t="shared" si="635"/>
        <v/>
      </c>
      <c r="BJ125" s="5" t="str">
        <f t="shared" si="763"/>
        <v/>
      </c>
      <c r="BK125" s="8" t="str">
        <f t="shared" si="764"/>
        <v/>
      </c>
      <c r="BL125" s="173" t="str">
        <f t="shared" si="765"/>
        <v/>
      </c>
      <c r="BM125" s="5" t="str">
        <f t="shared" si="766"/>
        <v/>
      </c>
      <c r="BN125" s="6" t="str">
        <f t="shared" si="767"/>
        <v/>
      </c>
      <c r="BO125" s="4" t="str">
        <f t="shared" si="636"/>
        <v/>
      </c>
      <c r="BP125" s="5" t="str">
        <f t="shared" si="735"/>
        <v/>
      </c>
      <c r="BQ125" s="5" t="str">
        <f t="shared" si="637"/>
        <v/>
      </c>
      <c r="BR125" s="6" t="str">
        <f t="shared" si="638"/>
        <v/>
      </c>
      <c r="BS125" s="4" t="str">
        <f t="shared" si="850"/>
        <v/>
      </c>
      <c r="BT125" s="5" t="str">
        <f t="shared" si="850"/>
        <v/>
      </c>
      <c r="BU125" s="10" t="str">
        <f t="shared" si="614"/>
        <v/>
      </c>
      <c r="BV125" s="9" t="str">
        <f t="shared" si="615"/>
        <v/>
      </c>
      <c r="BW125" s="5" t="str">
        <f t="shared" si="616"/>
        <v/>
      </c>
      <c r="BX125" s="8" t="str">
        <f t="shared" si="617"/>
        <v/>
      </c>
      <c r="BY125" s="173" t="str">
        <f t="shared" si="618"/>
        <v/>
      </c>
      <c r="BZ125" s="5" t="str">
        <f t="shared" si="619"/>
        <v/>
      </c>
      <c r="CA125" s="6" t="str">
        <f t="shared" si="620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1"/>
        <v/>
      </c>
      <c r="CJ125" s="5" t="str">
        <f t="shared" si="622"/>
        <v/>
      </c>
      <c r="CK125" s="8" t="str">
        <f t="shared" si="623"/>
        <v/>
      </c>
      <c r="CL125" s="173" t="str">
        <f t="shared" si="624"/>
        <v/>
      </c>
      <c r="CM125" s="5" t="str">
        <f t="shared" si="625"/>
        <v/>
      </c>
      <c r="CN125" s="6" t="str">
        <f t="shared" si="626"/>
        <v/>
      </c>
      <c r="CO125" s="167" t="str">
        <f t="shared" si="768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4"/>
        <v/>
      </c>
      <c r="DC125" s="5" t="str">
        <f t="shared" si="854"/>
        <v/>
      </c>
      <c r="DD125" s="10" t="str">
        <f t="shared" si="659"/>
        <v/>
      </c>
      <c r="DE125" s="9" t="str">
        <f t="shared" si="855"/>
        <v/>
      </c>
      <c r="DF125" s="5" t="str">
        <f t="shared" si="855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9"/>
        <v/>
      </c>
      <c r="ET125" s="5" t="str">
        <f t="shared" si="770"/>
        <v/>
      </c>
      <c r="EU125" s="10" t="str">
        <f t="shared" si="771"/>
        <v/>
      </c>
      <c r="EV125" s="174" t="str">
        <f t="shared" si="772"/>
        <v/>
      </c>
      <c r="EW125" s="9" t="str">
        <f t="shared" si="773"/>
        <v/>
      </c>
      <c r="EX125" s="5" t="str">
        <f t="shared" si="774"/>
        <v/>
      </c>
      <c r="EY125" s="6" t="str">
        <f t="shared" si="699"/>
        <v/>
      </c>
      <c r="EZ125" s="51" t="str">
        <f t="shared" si="700"/>
        <v/>
      </c>
      <c r="FA125" s="173" t="str">
        <f t="shared" si="775"/>
        <v/>
      </c>
      <c r="FB125" s="5" t="str">
        <f t="shared" si="776"/>
        <v/>
      </c>
      <c r="FC125" s="6" t="str">
        <f t="shared" si="777"/>
        <v/>
      </c>
      <c r="FD125" s="4" t="str">
        <f t="shared" si="778"/>
        <v/>
      </c>
      <c r="FE125" s="5" t="str">
        <f t="shared" si="779"/>
        <v/>
      </c>
      <c r="FF125" s="7" t="str">
        <f t="shared" si="701"/>
        <v/>
      </c>
      <c r="FG125" s="173" t="str">
        <f t="shared" si="780"/>
        <v/>
      </c>
      <c r="FH125" s="5" t="str">
        <f t="shared" si="781"/>
        <v/>
      </c>
      <c r="FI125" s="10" t="str">
        <f t="shared" si="782"/>
        <v/>
      </c>
      <c r="FJ125" s="279" t="str">
        <f t="shared" si="702"/>
        <v/>
      </c>
      <c r="FK125" s="4" t="str">
        <f t="shared" si="783"/>
        <v/>
      </c>
      <c r="FL125" s="5" t="str">
        <f t="shared" si="627"/>
        <v/>
      </c>
      <c r="FM125" s="8" t="str">
        <f t="shared" si="628"/>
        <v/>
      </c>
      <c r="FN125" s="9" t="str">
        <f t="shared" si="629"/>
        <v/>
      </c>
      <c r="FO125" s="10" t="str">
        <f t="shared" si="784"/>
        <v/>
      </c>
      <c r="FP125" s="277" t="str">
        <f t="shared" si="630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5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6"/>
        <v/>
      </c>
      <c r="GH125" s="286" t="str">
        <f t="shared" si="787"/>
        <v/>
      </c>
      <c r="GI125" s="281" t="str">
        <f t="shared" si="788"/>
        <v/>
      </c>
      <c r="GJ125" s="167" t="str">
        <f t="shared" si="718"/>
        <v/>
      </c>
      <c r="GK125" s="174" t="str">
        <f t="shared" si="789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90"/>
        <v/>
      </c>
      <c r="GT125" s="343" t="str">
        <f t="shared" si="791"/>
        <v/>
      </c>
      <c r="GU125" s="344" t="str">
        <f t="shared" si="792"/>
        <v/>
      </c>
      <c r="GV125" s="343" t="str">
        <f t="shared" si="726"/>
        <v/>
      </c>
      <c r="GW125" s="345" t="str">
        <f t="shared" si="793"/>
        <v/>
      </c>
      <c r="GX125" s="346" t="str">
        <f t="shared" si="794"/>
        <v/>
      </c>
      <c r="GY125" s="344" t="str">
        <f t="shared" si="795"/>
        <v/>
      </c>
      <c r="GZ125" s="345" t="str">
        <f t="shared" si="796"/>
        <v/>
      </c>
      <c r="HA125" s="342" t="str">
        <f t="shared" si="797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8"/>
        <v/>
      </c>
      <c r="HF125" s="5" t="str">
        <f t="shared" si="799"/>
        <v/>
      </c>
      <c r="HG125" s="343" t="str">
        <f t="shared" si="730"/>
        <v/>
      </c>
      <c r="HH125" s="349" t="str">
        <f t="shared" si="731"/>
        <v/>
      </c>
      <c r="HI125" s="317" t="str">
        <f t="shared" si="800"/>
        <v/>
      </c>
      <c r="HK125" s="310" t="str">
        <f t="shared" si="851"/>
        <v/>
      </c>
      <c r="HL125" s="348" t="str">
        <f t="shared" si="801"/>
        <v/>
      </c>
      <c r="HM125" s="909" t="str">
        <f t="shared" si="802"/>
        <v/>
      </c>
      <c r="HN125" s="910" t="str">
        <f t="shared" si="803"/>
        <v/>
      </c>
      <c r="HO125" s="911"/>
      <c r="HP125" s="912"/>
      <c r="HQ125" s="910" t="str">
        <f t="shared" si="804"/>
        <v/>
      </c>
      <c r="HR125" s="913" t="str">
        <f t="shared" si="805"/>
        <v/>
      </c>
      <c r="HS125" s="865" t="str">
        <f t="shared" si="852"/>
        <v/>
      </c>
      <c r="HT125" s="875" t="str">
        <f t="shared" si="806"/>
        <v/>
      </c>
      <c r="HU125" s="876" t="str">
        <f t="shared" si="807"/>
        <v/>
      </c>
      <c r="HV125" s="872" t="str">
        <f t="shared" si="808"/>
        <v/>
      </c>
      <c r="HW125" s="866" t="str">
        <f t="shared" si="809"/>
        <v/>
      </c>
      <c r="HX125" s="867" t="str">
        <f t="shared" si="810"/>
        <v/>
      </c>
      <c r="HY125" s="866" t="str">
        <f t="shared" si="811"/>
        <v/>
      </c>
      <c r="HZ125" s="868" t="str">
        <f t="shared" si="812"/>
        <v/>
      </c>
      <c r="IA125" s="869" t="str">
        <f t="shared" si="813"/>
        <v/>
      </c>
      <c r="IB125" s="870" t="str">
        <f t="shared" si="814"/>
        <v/>
      </c>
      <c r="IC125" s="841" t="str">
        <f t="shared" si="815"/>
        <v/>
      </c>
      <c r="ID125" s="351" t="str">
        <f t="shared" si="816"/>
        <v/>
      </c>
      <c r="IE125" s="843" t="str">
        <f t="shared" si="817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2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18"/>
        <v/>
      </c>
      <c r="IM125" s="482" t="str">
        <f t="shared" si="733"/>
        <v/>
      </c>
      <c r="IN125" s="670" t="str">
        <f t="shared" si="819"/>
        <v/>
      </c>
      <c r="IO125" s="702"/>
      <c r="IP125" s="5" t="str">
        <f t="shared" si="820"/>
        <v/>
      </c>
      <c r="IQ125" s="714"/>
      <c r="IR125" s="9" t="str">
        <f t="shared" si="821"/>
        <v/>
      </c>
      <c r="IS125" s="5" t="str">
        <f t="shared" si="822"/>
        <v/>
      </c>
      <c r="IT125" s="5" t="str">
        <f t="shared" si="823"/>
        <v/>
      </c>
      <c r="IU125" s="5" t="str">
        <f t="shared" si="824"/>
        <v/>
      </c>
      <c r="IV125" s="670" t="str">
        <f t="shared" si="825"/>
        <v/>
      </c>
      <c r="IW125" s="9" t="str">
        <f t="shared" si="826"/>
        <v/>
      </c>
      <c r="IX125" s="5" t="str">
        <f t="shared" si="827"/>
        <v/>
      </c>
      <c r="IY125" s="5" t="str">
        <f t="shared" si="828"/>
        <v/>
      </c>
      <c r="IZ125" s="5" t="str">
        <f t="shared" si="829"/>
        <v/>
      </c>
      <c r="JA125" s="705" t="str">
        <f t="shared" si="830"/>
        <v/>
      </c>
    </row>
    <row r="126" spans="1:261" ht="15" customHeight="1" x14ac:dyDescent="0.25">
      <c r="A126" s="75" t="str">
        <f t="shared" si="737"/>
        <v/>
      </c>
      <c r="B126" s="578" t="str">
        <f t="shared" si="738"/>
        <v/>
      </c>
      <c r="C126" s="572" t="str">
        <f t="shared" si="739"/>
        <v/>
      </c>
      <c r="D126" s="576" t="str">
        <f t="shared" si="740"/>
        <v/>
      </c>
      <c r="E126" s="580" t="str">
        <f t="shared" si="741"/>
        <v/>
      </c>
      <c r="F126" s="572" t="str">
        <f t="shared" si="742"/>
        <v/>
      </c>
      <c r="G126" s="579" t="str">
        <f t="shared" si="743"/>
        <v/>
      </c>
      <c r="H126" s="580" t="str">
        <f t="shared" si="744"/>
        <v/>
      </c>
      <c r="I126" s="572" t="str">
        <f t="shared" si="745"/>
        <v/>
      </c>
      <c r="J126" s="483" t="str">
        <f t="shared" si="746"/>
        <v/>
      </c>
      <c r="K126" s="806" t="str">
        <f t="shared" si="747"/>
        <v/>
      </c>
      <c r="L126" s="309"/>
      <c r="M126" s="164" t="str">
        <f t="shared" si="748"/>
        <v/>
      </c>
      <c r="N126" s="575" t="str">
        <f t="shared" si="749"/>
        <v/>
      </c>
      <c r="O126" s="572" t="str">
        <f t="shared" si="750"/>
        <v/>
      </c>
      <c r="P126" s="576" t="str">
        <f t="shared" si="751"/>
        <v/>
      </c>
      <c r="Q126" s="528" t="str">
        <f t="shared" si="610"/>
        <v/>
      </c>
      <c r="R126" s="572" t="str">
        <f t="shared" si="831"/>
        <v/>
      </c>
      <c r="S126" s="577" t="str">
        <f t="shared" si="832"/>
        <v/>
      </c>
      <c r="T126" s="578" t="str">
        <f t="shared" si="833"/>
        <v/>
      </c>
      <c r="U126" s="572" t="str">
        <f t="shared" si="834"/>
        <v/>
      </c>
      <c r="V126" s="579" t="str">
        <f t="shared" si="835"/>
        <v/>
      </c>
      <c r="W126" s="528" t="str">
        <f t="shared" si="736"/>
        <v/>
      </c>
      <c r="X126" s="572" t="str">
        <f t="shared" si="836"/>
        <v/>
      </c>
      <c r="Y126" s="573" t="str">
        <f t="shared" si="734"/>
        <v/>
      </c>
      <c r="Z126" s="575" t="str">
        <f t="shared" si="752"/>
        <v/>
      </c>
      <c r="AA126" s="572" t="str">
        <f t="shared" si="753"/>
        <v/>
      </c>
      <c r="AB126" s="572" t="str">
        <f t="shared" si="754"/>
        <v/>
      </c>
      <c r="AC126" s="579" t="str">
        <f t="shared" si="837"/>
        <v/>
      </c>
      <c r="AD126" s="580" t="str">
        <f t="shared" si="838"/>
        <v/>
      </c>
      <c r="AE126" s="572" t="str">
        <f t="shared" si="839"/>
        <v/>
      </c>
      <c r="AF126" s="576" t="str">
        <f t="shared" si="840"/>
        <v/>
      </c>
      <c r="AG126" s="545" t="str">
        <f t="shared" si="841"/>
        <v/>
      </c>
      <c r="AH126" s="546" t="str">
        <f t="shared" si="842"/>
        <v/>
      </c>
      <c r="AI126" s="528" t="str">
        <f t="shared" si="843"/>
        <v/>
      </c>
      <c r="AJ126" s="529" t="str">
        <f t="shared" si="844"/>
        <v/>
      </c>
      <c r="AK126" s="578" t="str">
        <f t="shared" si="845"/>
        <v/>
      </c>
      <c r="AL126" s="572" t="str">
        <f t="shared" si="846"/>
        <v/>
      </c>
      <c r="AM126" s="577" t="str">
        <f t="shared" si="847"/>
        <v/>
      </c>
      <c r="AN126" s="524" t="str">
        <f t="shared" si="848"/>
        <v/>
      </c>
      <c r="AO126" s="525" t="str">
        <f t="shared" si="856"/>
        <v/>
      </c>
      <c r="AP126" s="528" t="str">
        <f t="shared" si="849"/>
        <v/>
      </c>
      <c r="AQ126" s="529" t="str">
        <f t="shared" si="755"/>
        <v/>
      </c>
      <c r="AS126" s="932" t="str">
        <f t="shared" si="853"/>
        <v/>
      </c>
      <c r="AT126" s="928" t="str">
        <f t="shared" si="756"/>
        <v/>
      </c>
      <c r="AU126" s="418"/>
      <c r="AV126" s="164" t="str">
        <f t="shared" si="757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4"/>
        <v/>
      </c>
      <c r="BA126" s="296" t="str">
        <f t="shared" si="758"/>
        <v/>
      </c>
      <c r="BB126" s="177" t="str">
        <f t="shared" si="611"/>
        <v/>
      </c>
      <c r="BC126" s="9"/>
      <c r="BD126" s="5" t="str">
        <f t="shared" si="612"/>
        <v/>
      </c>
      <c r="BE126" s="6" t="str">
        <f t="shared" si="759"/>
        <v/>
      </c>
      <c r="BF126" s="4" t="str">
        <f t="shared" si="760"/>
        <v/>
      </c>
      <c r="BG126" s="5" t="str">
        <f t="shared" si="761"/>
        <v/>
      </c>
      <c r="BH126" s="10" t="str">
        <f t="shared" si="762"/>
        <v/>
      </c>
      <c r="BI126" s="9" t="str">
        <f t="shared" si="635"/>
        <v/>
      </c>
      <c r="BJ126" s="5" t="str">
        <f t="shared" si="763"/>
        <v/>
      </c>
      <c r="BK126" s="8" t="str">
        <f t="shared" si="764"/>
        <v/>
      </c>
      <c r="BL126" s="173" t="str">
        <f t="shared" si="765"/>
        <v/>
      </c>
      <c r="BM126" s="5" t="str">
        <f t="shared" si="766"/>
        <v/>
      </c>
      <c r="BN126" s="6" t="str">
        <f t="shared" si="767"/>
        <v/>
      </c>
      <c r="BO126" s="4" t="str">
        <f t="shared" si="636"/>
        <v/>
      </c>
      <c r="BP126" s="5" t="str">
        <f t="shared" si="735"/>
        <v/>
      </c>
      <c r="BQ126" s="5" t="str">
        <f t="shared" si="637"/>
        <v/>
      </c>
      <c r="BR126" s="6" t="str">
        <f t="shared" si="638"/>
        <v/>
      </c>
      <c r="BS126" s="4" t="str">
        <f t="shared" si="850"/>
        <v/>
      </c>
      <c r="BT126" s="5" t="str">
        <f t="shared" si="850"/>
        <v/>
      </c>
      <c r="BU126" s="10" t="str">
        <f t="shared" si="614"/>
        <v/>
      </c>
      <c r="BV126" s="9" t="str">
        <f t="shared" si="615"/>
        <v/>
      </c>
      <c r="BW126" s="5" t="str">
        <f t="shared" si="616"/>
        <v/>
      </c>
      <c r="BX126" s="8" t="str">
        <f t="shared" si="617"/>
        <v/>
      </c>
      <c r="BY126" s="173" t="str">
        <f t="shared" si="618"/>
        <v/>
      </c>
      <c r="BZ126" s="5" t="str">
        <f t="shared" si="619"/>
        <v/>
      </c>
      <c r="CA126" s="6" t="str">
        <f t="shared" si="620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1"/>
        <v/>
      </c>
      <c r="CJ126" s="5" t="str">
        <f t="shared" si="622"/>
        <v/>
      </c>
      <c r="CK126" s="8" t="str">
        <f t="shared" si="623"/>
        <v/>
      </c>
      <c r="CL126" s="173" t="str">
        <f t="shared" si="624"/>
        <v/>
      </c>
      <c r="CM126" s="5" t="str">
        <f t="shared" si="625"/>
        <v/>
      </c>
      <c r="CN126" s="6" t="str">
        <f t="shared" si="626"/>
        <v/>
      </c>
      <c r="CO126" s="167" t="str">
        <f t="shared" si="768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4"/>
        <v/>
      </c>
      <c r="DC126" s="5" t="str">
        <f t="shared" si="854"/>
        <v/>
      </c>
      <c r="DD126" s="10" t="str">
        <f t="shared" si="659"/>
        <v/>
      </c>
      <c r="DE126" s="9" t="str">
        <f t="shared" si="855"/>
        <v/>
      </c>
      <c r="DF126" s="5" t="str">
        <f t="shared" si="855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9"/>
        <v/>
      </c>
      <c r="ET126" s="5" t="str">
        <f t="shared" si="770"/>
        <v/>
      </c>
      <c r="EU126" s="10" t="str">
        <f t="shared" si="771"/>
        <v/>
      </c>
      <c r="EV126" s="174" t="str">
        <f t="shared" si="772"/>
        <v/>
      </c>
      <c r="EW126" s="9" t="str">
        <f t="shared" si="773"/>
        <v/>
      </c>
      <c r="EX126" s="5" t="str">
        <f t="shared" si="774"/>
        <v/>
      </c>
      <c r="EY126" s="6" t="str">
        <f t="shared" si="699"/>
        <v/>
      </c>
      <c r="EZ126" s="51" t="str">
        <f t="shared" si="700"/>
        <v/>
      </c>
      <c r="FA126" s="173" t="str">
        <f t="shared" si="775"/>
        <v/>
      </c>
      <c r="FB126" s="5" t="str">
        <f t="shared" si="776"/>
        <v/>
      </c>
      <c r="FC126" s="6" t="str">
        <f t="shared" si="777"/>
        <v/>
      </c>
      <c r="FD126" s="4" t="str">
        <f t="shared" si="778"/>
        <v/>
      </c>
      <c r="FE126" s="5" t="str">
        <f t="shared" si="779"/>
        <v/>
      </c>
      <c r="FF126" s="7" t="str">
        <f t="shared" si="701"/>
        <v/>
      </c>
      <c r="FG126" s="173" t="str">
        <f t="shared" si="780"/>
        <v/>
      </c>
      <c r="FH126" s="5" t="str">
        <f t="shared" si="781"/>
        <v/>
      </c>
      <c r="FI126" s="10" t="str">
        <f t="shared" si="782"/>
        <v/>
      </c>
      <c r="FJ126" s="279" t="str">
        <f t="shared" si="702"/>
        <v/>
      </c>
      <c r="FK126" s="4" t="str">
        <f t="shared" si="783"/>
        <v/>
      </c>
      <c r="FL126" s="5" t="str">
        <f t="shared" si="627"/>
        <v/>
      </c>
      <c r="FM126" s="8" t="str">
        <f t="shared" si="628"/>
        <v/>
      </c>
      <c r="FN126" s="9" t="str">
        <f t="shared" si="629"/>
        <v/>
      </c>
      <c r="FO126" s="10" t="str">
        <f t="shared" si="784"/>
        <v/>
      </c>
      <c r="FP126" s="277" t="str">
        <f t="shared" si="630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5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6"/>
        <v/>
      </c>
      <c r="GH126" s="286" t="str">
        <f t="shared" si="787"/>
        <v/>
      </c>
      <c r="GI126" s="281" t="str">
        <f t="shared" si="788"/>
        <v/>
      </c>
      <c r="GJ126" s="167" t="str">
        <f t="shared" si="718"/>
        <v/>
      </c>
      <c r="GK126" s="174" t="str">
        <f t="shared" si="789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90"/>
        <v/>
      </c>
      <c r="GT126" s="343" t="str">
        <f t="shared" si="791"/>
        <v/>
      </c>
      <c r="GU126" s="344" t="str">
        <f t="shared" si="792"/>
        <v/>
      </c>
      <c r="GV126" s="343" t="str">
        <f t="shared" si="726"/>
        <v/>
      </c>
      <c r="GW126" s="345" t="str">
        <f t="shared" si="793"/>
        <v/>
      </c>
      <c r="GX126" s="346" t="str">
        <f t="shared" si="794"/>
        <v/>
      </c>
      <c r="GY126" s="344" t="str">
        <f t="shared" si="795"/>
        <v/>
      </c>
      <c r="GZ126" s="345" t="str">
        <f t="shared" si="796"/>
        <v/>
      </c>
      <c r="HA126" s="342" t="str">
        <f t="shared" si="797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8"/>
        <v/>
      </c>
      <c r="HF126" s="5" t="str">
        <f t="shared" si="799"/>
        <v/>
      </c>
      <c r="HG126" s="343" t="str">
        <f t="shared" si="730"/>
        <v/>
      </c>
      <c r="HH126" s="349" t="str">
        <f t="shared" si="731"/>
        <v/>
      </c>
      <c r="HI126" s="317" t="str">
        <f t="shared" si="800"/>
        <v/>
      </c>
      <c r="HK126" s="310" t="str">
        <f t="shared" si="851"/>
        <v/>
      </c>
      <c r="HL126" s="348" t="str">
        <f t="shared" si="801"/>
        <v/>
      </c>
      <c r="HM126" s="909" t="str">
        <f t="shared" si="802"/>
        <v/>
      </c>
      <c r="HN126" s="910" t="str">
        <f t="shared" si="803"/>
        <v/>
      </c>
      <c r="HO126" s="911"/>
      <c r="HP126" s="912"/>
      <c r="HQ126" s="910" t="str">
        <f t="shared" si="804"/>
        <v/>
      </c>
      <c r="HR126" s="913" t="str">
        <f t="shared" si="805"/>
        <v/>
      </c>
      <c r="HS126" s="865" t="str">
        <f t="shared" si="852"/>
        <v/>
      </c>
      <c r="HT126" s="875" t="str">
        <f t="shared" si="806"/>
        <v/>
      </c>
      <c r="HU126" s="876" t="str">
        <f t="shared" si="807"/>
        <v/>
      </c>
      <c r="HV126" s="872" t="str">
        <f t="shared" si="808"/>
        <v/>
      </c>
      <c r="HW126" s="866" t="str">
        <f t="shared" si="809"/>
        <v/>
      </c>
      <c r="HX126" s="867" t="str">
        <f t="shared" si="810"/>
        <v/>
      </c>
      <c r="HY126" s="866" t="str">
        <f t="shared" si="811"/>
        <v/>
      </c>
      <c r="HZ126" s="868" t="str">
        <f t="shared" si="812"/>
        <v/>
      </c>
      <c r="IA126" s="869" t="str">
        <f t="shared" si="813"/>
        <v/>
      </c>
      <c r="IB126" s="870" t="str">
        <f t="shared" si="814"/>
        <v/>
      </c>
      <c r="IC126" s="841" t="str">
        <f t="shared" si="815"/>
        <v/>
      </c>
      <c r="ID126" s="351" t="str">
        <f t="shared" si="816"/>
        <v/>
      </c>
      <c r="IE126" s="843" t="str">
        <f t="shared" si="817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2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18"/>
        <v/>
      </c>
      <c r="IM126" s="482" t="str">
        <f t="shared" si="733"/>
        <v/>
      </c>
      <c r="IN126" s="670" t="str">
        <f t="shared" si="819"/>
        <v/>
      </c>
      <c r="IO126" s="702"/>
      <c r="IP126" s="5" t="str">
        <f t="shared" si="820"/>
        <v/>
      </c>
      <c r="IQ126" s="714"/>
      <c r="IR126" s="9" t="str">
        <f t="shared" si="821"/>
        <v/>
      </c>
      <c r="IS126" s="5" t="str">
        <f t="shared" si="822"/>
        <v/>
      </c>
      <c r="IT126" s="5" t="str">
        <f t="shared" si="823"/>
        <v/>
      </c>
      <c r="IU126" s="5" t="str">
        <f t="shared" si="824"/>
        <v/>
      </c>
      <c r="IV126" s="670" t="str">
        <f t="shared" si="825"/>
        <v/>
      </c>
      <c r="IW126" s="9" t="str">
        <f t="shared" si="826"/>
        <v/>
      </c>
      <c r="IX126" s="5" t="str">
        <f t="shared" si="827"/>
        <v/>
      </c>
      <c r="IY126" s="5" t="str">
        <f t="shared" si="828"/>
        <v/>
      </c>
      <c r="IZ126" s="5" t="str">
        <f t="shared" si="829"/>
        <v/>
      </c>
      <c r="JA126" s="705" t="str">
        <f t="shared" si="830"/>
        <v/>
      </c>
    </row>
    <row r="127" spans="1:261" ht="15" customHeight="1" x14ac:dyDescent="0.25">
      <c r="A127" s="75" t="str">
        <f t="shared" si="737"/>
        <v/>
      </c>
      <c r="B127" s="578" t="str">
        <f t="shared" si="738"/>
        <v/>
      </c>
      <c r="C127" s="572" t="str">
        <f t="shared" si="739"/>
        <v/>
      </c>
      <c r="D127" s="576" t="str">
        <f t="shared" si="740"/>
        <v/>
      </c>
      <c r="E127" s="580" t="str">
        <f t="shared" si="741"/>
        <v/>
      </c>
      <c r="F127" s="572" t="str">
        <f t="shared" si="742"/>
        <v/>
      </c>
      <c r="G127" s="579" t="str">
        <f t="shared" si="743"/>
        <v/>
      </c>
      <c r="H127" s="580" t="str">
        <f t="shared" si="744"/>
        <v/>
      </c>
      <c r="I127" s="572" t="str">
        <f t="shared" si="745"/>
        <v/>
      </c>
      <c r="J127" s="483" t="str">
        <f t="shared" si="746"/>
        <v/>
      </c>
      <c r="K127" s="806" t="str">
        <f t="shared" si="747"/>
        <v/>
      </c>
      <c r="L127" s="309"/>
      <c r="M127" s="164" t="str">
        <f t="shared" si="748"/>
        <v/>
      </c>
      <c r="N127" s="575" t="str">
        <f t="shared" si="749"/>
        <v/>
      </c>
      <c r="O127" s="572" t="str">
        <f t="shared" si="750"/>
        <v/>
      </c>
      <c r="P127" s="576" t="str">
        <f t="shared" si="751"/>
        <v/>
      </c>
      <c r="Q127" s="528" t="str">
        <f t="shared" si="610"/>
        <v/>
      </c>
      <c r="R127" s="572" t="str">
        <f t="shared" si="831"/>
        <v/>
      </c>
      <c r="S127" s="577" t="str">
        <f t="shared" si="832"/>
        <v/>
      </c>
      <c r="T127" s="578" t="str">
        <f t="shared" si="833"/>
        <v/>
      </c>
      <c r="U127" s="572" t="str">
        <f t="shared" si="834"/>
        <v/>
      </c>
      <c r="V127" s="579" t="str">
        <f t="shared" si="835"/>
        <v/>
      </c>
      <c r="W127" s="528" t="str">
        <f t="shared" si="736"/>
        <v/>
      </c>
      <c r="X127" s="572" t="str">
        <f t="shared" si="836"/>
        <v/>
      </c>
      <c r="Y127" s="573" t="str">
        <f t="shared" si="734"/>
        <v/>
      </c>
      <c r="Z127" s="575" t="str">
        <f t="shared" si="752"/>
        <v/>
      </c>
      <c r="AA127" s="572" t="str">
        <f t="shared" si="753"/>
        <v/>
      </c>
      <c r="AB127" s="572" t="str">
        <f t="shared" si="754"/>
        <v/>
      </c>
      <c r="AC127" s="579" t="str">
        <f t="shared" si="837"/>
        <v/>
      </c>
      <c r="AD127" s="580" t="str">
        <f t="shared" si="838"/>
        <v/>
      </c>
      <c r="AE127" s="572" t="str">
        <f t="shared" si="839"/>
        <v/>
      </c>
      <c r="AF127" s="576" t="str">
        <f t="shared" si="840"/>
        <v/>
      </c>
      <c r="AG127" s="545" t="str">
        <f t="shared" si="841"/>
        <v/>
      </c>
      <c r="AH127" s="546" t="str">
        <f t="shared" si="842"/>
        <v/>
      </c>
      <c r="AI127" s="528" t="str">
        <f t="shared" si="843"/>
        <v/>
      </c>
      <c r="AJ127" s="529" t="str">
        <f t="shared" si="844"/>
        <v/>
      </c>
      <c r="AK127" s="578" t="str">
        <f t="shared" si="845"/>
        <v/>
      </c>
      <c r="AL127" s="572" t="str">
        <f t="shared" si="846"/>
        <v/>
      </c>
      <c r="AM127" s="577" t="str">
        <f t="shared" si="847"/>
        <v/>
      </c>
      <c r="AN127" s="524" t="str">
        <f t="shared" si="848"/>
        <v/>
      </c>
      <c r="AO127" s="525" t="str">
        <f t="shared" si="856"/>
        <v/>
      </c>
      <c r="AP127" s="528" t="str">
        <f t="shared" si="849"/>
        <v/>
      </c>
      <c r="AQ127" s="529" t="str">
        <f t="shared" si="755"/>
        <v/>
      </c>
      <c r="AS127" s="932" t="str">
        <f t="shared" si="853"/>
        <v/>
      </c>
      <c r="AT127" s="928" t="str">
        <f t="shared" si="756"/>
        <v/>
      </c>
      <c r="AU127" s="418"/>
      <c r="AV127" s="164" t="str">
        <f t="shared" si="757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4"/>
        <v/>
      </c>
      <c r="BA127" s="296" t="str">
        <f t="shared" si="758"/>
        <v/>
      </c>
      <c r="BB127" s="177" t="str">
        <f t="shared" si="611"/>
        <v/>
      </c>
      <c r="BC127" s="9"/>
      <c r="BD127" s="5" t="str">
        <f t="shared" si="612"/>
        <v/>
      </c>
      <c r="BE127" s="6" t="str">
        <f t="shared" si="759"/>
        <v/>
      </c>
      <c r="BF127" s="4" t="str">
        <f t="shared" si="760"/>
        <v/>
      </c>
      <c r="BG127" s="5" t="str">
        <f t="shared" si="761"/>
        <v/>
      </c>
      <c r="BH127" s="10" t="str">
        <f t="shared" si="762"/>
        <v/>
      </c>
      <c r="BI127" s="9" t="str">
        <f t="shared" si="635"/>
        <v/>
      </c>
      <c r="BJ127" s="5" t="str">
        <f t="shared" si="763"/>
        <v/>
      </c>
      <c r="BK127" s="8" t="str">
        <f t="shared" si="764"/>
        <v/>
      </c>
      <c r="BL127" s="173" t="str">
        <f t="shared" si="765"/>
        <v/>
      </c>
      <c r="BM127" s="5" t="str">
        <f t="shared" si="766"/>
        <v/>
      </c>
      <c r="BN127" s="6" t="str">
        <f t="shared" si="767"/>
        <v/>
      </c>
      <c r="BO127" s="4" t="str">
        <f t="shared" si="636"/>
        <v/>
      </c>
      <c r="BP127" s="5" t="str">
        <f t="shared" si="735"/>
        <v/>
      </c>
      <c r="BQ127" s="5" t="str">
        <f t="shared" si="637"/>
        <v/>
      </c>
      <c r="BR127" s="6" t="str">
        <f t="shared" si="638"/>
        <v/>
      </c>
      <c r="BS127" s="4" t="str">
        <f t="shared" si="850"/>
        <v/>
      </c>
      <c r="BT127" s="5" t="str">
        <f t="shared" si="850"/>
        <v/>
      </c>
      <c r="BU127" s="10" t="str">
        <f t="shared" si="614"/>
        <v/>
      </c>
      <c r="BV127" s="9" t="str">
        <f t="shared" si="615"/>
        <v/>
      </c>
      <c r="BW127" s="5" t="str">
        <f t="shared" si="616"/>
        <v/>
      </c>
      <c r="BX127" s="8" t="str">
        <f t="shared" si="617"/>
        <v/>
      </c>
      <c r="BY127" s="173" t="str">
        <f t="shared" si="618"/>
        <v/>
      </c>
      <c r="BZ127" s="5" t="str">
        <f t="shared" si="619"/>
        <v/>
      </c>
      <c r="CA127" s="6" t="str">
        <f t="shared" si="620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1"/>
        <v/>
      </c>
      <c r="CJ127" s="5" t="str">
        <f t="shared" si="622"/>
        <v/>
      </c>
      <c r="CK127" s="8" t="str">
        <f t="shared" si="623"/>
        <v/>
      </c>
      <c r="CL127" s="173" t="str">
        <f t="shared" si="624"/>
        <v/>
      </c>
      <c r="CM127" s="5" t="str">
        <f t="shared" si="625"/>
        <v/>
      </c>
      <c r="CN127" s="6" t="str">
        <f t="shared" si="626"/>
        <v/>
      </c>
      <c r="CO127" s="167" t="str">
        <f t="shared" si="768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4"/>
        <v/>
      </c>
      <c r="DC127" s="5" t="str">
        <f t="shared" si="854"/>
        <v/>
      </c>
      <c r="DD127" s="10" t="str">
        <f t="shared" si="659"/>
        <v/>
      </c>
      <c r="DE127" s="9" t="str">
        <f t="shared" si="855"/>
        <v/>
      </c>
      <c r="DF127" s="5" t="str">
        <f t="shared" si="855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9"/>
        <v/>
      </c>
      <c r="ET127" s="5" t="str">
        <f t="shared" si="770"/>
        <v/>
      </c>
      <c r="EU127" s="10" t="str">
        <f t="shared" si="771"/>
        <v/>
      </c>
      <c r="EV127" s="174" t="str">
        <f t="shared" si="772"/>
        <v/>
      </c>
      <c r="EW127" s="9" t="str">
        <f t="shared" si="773"/>
        <v/>
      </c>
      <c r="EX127" s="5" t="str">
        <f t="shared" si="774"/>
        <v/>
      </c>
      <c r="EY127" s="6" t="str">
        <f t="shared" si="699"/>
        <v/>
      </c>
      <c r="EZ127" s="51" t="str">
        <f t="shared" si="700"/>
        <v/>
      </c>
      <c r="FA127" s="173" t="str">
        <f t="shared" si="775"/>
        <v/>
      </c>
      <c r="FB127" s="5" t="str">
        <f t="shared" si="776"/>
        <v/>
      </c>
      <c r="FC127" s="6" t="str">
        <f t="shared" si="777"/>
        <v/>
      </c>
      <c r="FD127" s="4" t="str">
        <f t="shared" si="778"/>
        <v/>
      </c>
      <c r="FE127" s="5" t="str">
        <f t="shared" si="779"/>
        <v/>
      </c>
      <c r="FF127" s="7" t="str">
        <f t="shared" si="701"/>
        <v/>
      </c>
      <c r="FG127" s="173" t="str">
        <f t="shared" si="780"/>
        <v/>
      </c>
      <c r="FH127" s="5" t="str">
        <f t="shared" si="781"/>
        <v/>
      </c>
      <c r="FI127" s="10" t="str">
        <f t="shared" si="782"/>
        <v/>
      </c>
      <c r="FJ127" s="279" t="str">
        <f t="shared" si="702"/>
        <v/>
      </c>
      <c r="FK127" s="4" t="str">
        <f t="shared" si="783"/>
        <v/>
      </c>
      <c r="FL127" s="5" t="str">
        <f t="shared" si="627"/>
        <v/>
      </c>
      <c r="FM127" s="8" t="str">
        <f t="shared" si="628"/>
        <v/>
      </c>
      <c r="FN127" s="9" t="str">
        <f t="shared" si="629"/>
        <v/>
      </c>
      <c r="FO127" s="10" t="str">
        <f t="shared" si="784"/>
        <v/>
      </c>
      <c r="FP127" s="277" t="str">
        <f t="shared" si="630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5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6"/>
        <v/>
      </c>
      <c r="GH127" s="286" t="str">
        <f t="shared" si="787"/>
        <v/>
      </c>
      <c r="GI127" s="281" t="str">
        <f t="shared" si="788"/>
        <v/>
      </c>
      <c r="GJ127" s="167" t="str">
        <f t="shared" si="718"/>
        <v/>
      </c>
      <c r="GK127" s="174" t="str">
        <f t="shared" si="789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90"/>
        <v/>
      </c>
      <c r="GT127" s="343" t="str">
        <f t="shared" si="791"/>
        <v/>
      </c>
      <c r="GU127" s="344" t="str">
        <f t="shared" si="792"/>
        <v/>
      </c>
      <c r="GV127" s="343" t="str">
        <f t="shared" si="726"/>
        <v/>
      </c>
      <c r="GW127" s="345" t="str">
        <f t="shared" si="793"/>
        <v/>
      </c>
      <c r="GX127" s="346" t="str">
        <f t="shared" si="794"/>
        <v/>
      </c>
      <c r="GY127" s="344" t="str">
        <f t="shared" si="795"/>
        <v/>
      </c>
      <c r="GZ127" s="345" t="str">
        <f t="shared" si="796"/>
        <v/>
      </c>
      <c r="HA127" s="342" t="str">
        <f t="shared" si="797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8"/>
        <v/>
      </c>
      <c r="HF127" s="5" t="str">
        <f t="shared" si="799"/>
        <v/>
      </c>
      <c r="HG127" s="343" t="str">
        <f t="shared" si="730"/>
        <v/>
      </c>
      <c r="HH127" s="349" t="str">
        <f t="shared" si="731"/>
        <v/>
      </c>
      <c r="HI127" s="317" t="str">
        <f t="shared" si="800"/>
        <v/>
      </c>
      <c r="HK127" s="310" t="str">
        <f t="shared" si="851"/>
        <v/>
      </c>
      <c r="HL127" s="348" t="str">
        <f t="shared" si="801"/>
        <v/>
      </c>
      <c r="HM127" s="909" t="str">
        <f t="shared" si="802"/>
        <v/>
      </c>
      <c r="HN127" s="910" t="str">
        <f t="shared" si="803"/>
        <v/>
      </c>
      <c r="HO127" s="911"/>
      <c r="HP127" s="912"/>
      <c r="HQ127" s="910" t="str">
        <f t="shared" si="804"/>
        <v/>
      </c>
      <c r="HR127" s="913" t="str">
        <f t="shared" si="805"/>
        <v/>
      </c>
      <c r="HS127" s="865" t="str">
        <f t="shared" si="852"/>
        <v/>
      </c>
      <c r="HT127" s="875" t="str">
        <f t="shared" si="806"/>
        <v/>
      </c>
      <c r="HU127" s="876" t="str">
        <f t="shared" si="807"/>
        <v/>
      </c>
      <c r="HV127" s="872" t="str">
        <f t="shared" si="808"/>
        <v/>
      </c>
      <c r="HW127" s="866" t="str">
        <f t="shared" si="809"/>
        <v/>
      </c>
      <c r="HX127" s="867" t="str">
        <f t="shared" si="810"/>
        <v/>
      </c>
      <c r="HY127" s="866" t="str">
        <f t="shared" si="811"/>
        <v/>
      </c>
      <c r="HZ127" s="868" t="str">
        <f t="shared" si="812"/>
        <v/>
      </c>
      <c r="IA127" s="869" t="str">
        <f t="shared" si="813"/>
        <v/>
      </c>
      <c r="IB127" s="870" t="str">
        <f t="shared" si="814"/>
        <v/>
      </c>
      <c r="IC127" s="841" t="str">
        <f t="shared" si="815"/>
        <v/>
      </c>
      <c r="ID127" s="351" t="str">
        <f t="shared" si="816"/>
        <v/>
      </c>
      <c r="IE127" s="843" t="str">
        <f t="shared" si="817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2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18"/>
        <v/>
      </c>
      <c r="IM127" s="482" t="str">
        <f t="shared" si="733"/>
        <v/>
      </c>
      <c r="IN127" s="670" t="str">
        <f t="shared" si="819"/>
        <v/>
      </c>
      <c r="IO127" s="702"/>
      <c r="IP127" s="5" t="str">
        <f t="shared" si="820"/>
        <v/>
      </c>
      <c r="IQ127" s="714"/>
      <c r="IR127" s="9" t="str">
        <f t="shared" si="821"/>
        <v/>
      </c>
      <c r="IS127" s="5" t="str">
        <f t="shared" si="822"/>
        <v/>
      </c>
      <c r="IT127" s="5" t="str">
        <f t="shared" si="823"/>
        <v/>
      </c>
      <c r="IU127" s="5" t="str">
        <f t="shared" si="824"/>
        <v/>
      </c>
      <c r="IV127" s="670" t="str">
        <f t="shared" si="825"/>
        <v/>
      </c>
      <c r="IW127" s="9" t="str">
        <f t="shared" si="826"/>
        <v/>
      </c>
      <c r="IX127" s="5" t="str">
        <f t="shared" si="827"/>
        <v/>
      </c>
      <c r="IY127" s="5" t="str">
        <f t="shared" si="828"/>
        <v/>
      </c>
      <c r="IZ127" s="5" t="str">
        <f t="shared" si="829"/>
        <v/>
      </c>
      <c r="JA127" s="705" t="str">
        <f t="shared" si="830"/>
        <v/>
      </c>
    </row>
    <row r="128" spans="1:261" ht="15" customHeight="1" x14ac:dyDescent="0.25">
      <c r="A128" s="75" t="str">
        <f t="shared" si="737"/>
        <v/>
      </c>
      <c r="B128" s="578" t="str">
        <f t="shared" si="738"/>
        <v/>
      </c>
      <c r="C128" s="572" t="str">
        <f t="shared" si="739"/>
        <v/>
      </c>
      <c r="D128" s="576" t="str">
        <f t="shared" si="740"/>
        <v/>
      </c>
      <c r="E128" s="580" t="str">
        <f t="shared" si="741"/>
        <v/>
      </c>
      <c r="F128" s="572" t="str">
        <f t="shared" si="742"/>
        <v/>
      </c>
      <c r="G128" s="579" t="str">
        <f t="shared" si="743"/>
        <v/>
      </c>
      <c r="H128" s="580" t="str">
        <f t="shared" si="744"/>
        <v/>
      </c>
      <c r="I128" s="572" t="str">
        <f t="shared" si="745"/>
        <v/>
      </c>
      <c r="J128" s="483" t="str">
        <f t="shared" si="746"/>
        <v/>
      </c>
      <c r="K128" s="806" t="str">
        <f t="shared" si="747"/>
        <v/>
      </c>
      <c r="L128" s="309"/>
      <c r="M128" s="164" t="str">
        <f t="shared" si="748"/>
        <v/>
      </c>
      <c r="N128" s="575" t="str">
        <f t="shared" si="749"/>
        <v/>
      </c>
      <c r="O128" s="572" t="str">
        <f t="shared" si="750"/>
        <v/>
      </c>
      <c r="P128" s="576" t="str">
        <f t="shared" si="751"/>
        <v/>
      </c>
      <c r="Q128" s="528" t="str">
        <f t="shared" si="610"/>
        <v/>
      </c>
      <c r="R128" s="572" t="str">
        <f t="shared" si="831"/>
        <v/>
      </c>
      <c r="S128" s="577" t="str">
        <f t="shared" si="832"/>
        <v/>
      </c>
      <c r="T128" s="578" t="str">
        <f t="shared" si="833"/>
        <v/>
      </c>
      <c r="U128" s="572" t="str">
        <f t="shared" si="834"/>
        <v/>
      </c>
      <c r="V128" s="579" t="str">
        <f t="shared" si="835"/>
        <v/>
      </c>
      <c r="W128" s="528" t="str">
        <f t="shared" si="736"/>
        <v/>
      </c>
      <c r="X128" s="572" t="str">
        <f t="shared" si="836"/>
        <v/>
      </c>
      <c r="Y128" s="573" t="str">
        <f t="shared" si="734"/>
        <v/>
      </c>
      <c r="Z128" s="575" t="str">
        <f t="shared" si="752"/>
        <v/>
      </c>
      <c r="AA128" s="572" t="str">
        <f t="shared" si="753"/>
        <v/>
      </c>
      <c r="AB128" s="572" t="str">
        <f t="shared" si="754"/>
        <v/>
      </c>
      <c r="AC128" s="579" t="str">
        <f t="shared" si="837"/>
        <v/>
      </c>
      <c r="AD128" s="580" t="str">
        <f t="shared" si="838"/>
        <v/>
      </c>
      <c r="AE128" s="572" t="str">
        <f t="shared" si="839"/>
        <v/>
      </c>
      <c r="AF128" s="576" t="str">
        <f t="shared" si="840"/>
        <v/>
      </c>
      <c r="AG128" s="545" t="str">
        <f t="shared" si="841"/>
        <v/>
      </c>
      <c r="AH128" s="546" t="str">
        <f t="shared" si="842"/>
        <v/>
      </c>
      <c r="AI128" s="528" t="str">
        <f t="shared" si="843"/>
        <v/>
      </c>
      <c r="AJ128" s="529" t="str">
        <f t="shared" si="844"/>
        <v/>
      </c>
      <c r="AK128" s="578" t="str">
        <f t="shared" si="845"/>
        <v/>
      </c>
      <c r="AL128" s="572" t="str">
        <f t="shared" si="846"/>
        <v/>
      </c>
      <c r="AM128" s="577" t="str">
        <f t="shared" si="847"/>
        <v/>
      </c>
      <c r="AN128" s="524" t="str">
        <f t="shared" si="848"/>
        <v/>
      </c>
      <c r="AO128" s="525" t="str">
        <f t="shared" si="856"/>
        <v/>
      </c>
      <c r="AP128" s="528" t="str">
        <f t="shared" si="849"/>
        <v/>
      </c>
      <c r="AQ128" s="529" t="str">
        <f t="shared" si="755"/>
        <v/>
      </c>
      <c r="AS128" s="932" t="str">
        <f t="shared" si="853"/>
        <v/>
      </c>
      <c r="AT128" s="928" t="str">
        <f t="shared" si="756"/>
        <v/>
      </c>
      <c r="AU128" s="418"/>
      <c r="AV128" s="164" t="str">
        <f t="shared" si="757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4"/>
        <v/>
      </c>
      <c r="BA128" s="296" t="str">
        <f t="shared" si="758"/>
        <v/>
      </c>
      <c r="BB128" s="177" t="str">
        <f t="shared" si="611"/>
        <v/>
      </c>
      <c r="BC128" s="9"/>
      <c r="BD128" s="5" t="str">
        <f t="shared" si="612"/>
        <v/>
      </c>
      <c r="BE128" s="6" t="str">
        <f t="shared" si="759"/>
        <v/>
      </c>
      <c r="BF128" s="4" t="str">
        <f t="shared" si="760"/>
        <v/>
      </c>
      <c r="BG128" s="5" t="str">
        <f t="shared" si="761"/>
        <v/>
      </c>
      <c r="BH128" s="10" t="str">
        <f t="shared" si="762"/>
        <v/>
      </c>
      <c r="BI128" s="9" t="str">
        <f t="shared" si="635"/>
        <v/>
      </c>
      <c r="BJ128" s="5" t="str">
        <f t="shared" si="763"/>
        <v/>
      </c>
      <c r="BK128" s="8" t="str">
        <f t="shared" si="764"/>
        <v/>
      </c>
      <c r="BL128" s="173" t="str">
        <f t="shared" si="765"/>
        <v/>
      </c>
      <c r="BM128" s="5" t="str">
        <f t="shared" si="766"/>
        <v/>
      </c>
      <c r="BN128" s="6" t="str">
        <f t="shared" si="767"/>
        <v/>
      </c>
      <c r="BO128" s="4" t="str">
        <f t="shared" si="636"/>
        <v/>
      </c>
      <c r="BP128" s="5" t="str">
        <f t="shared" si="735"/>
        <v/>
      </c>
      <c r="BQ128" s="5" t="str">
        <f t="shared" si="637"/>
        <v/>
      </c>
      <c r="BR128" s="6" t="str">
        <f t="shared" si="638"/>
        <v/>
      </c>
      <c r="BS128" s="4" t="str">
        <f t="shared" si="850"/>
        <v/>
      </c>
      <c r="BT128" s="5" t="str">
        <f t="shared" si="850"/>
        <v/>
      </c>
      <c r="BU128" s="10" t="str">
        <f t="shared" si="614"/>
        <v/>
      </c>
      <c r="BV128" s="9" t="str">
        <f t="shared" si="615"/>
        <v/>
      </c>
      <c r="BW128" s="5" t="str">
        <f t="shared" si="616"/>
        <v/>
      </c>
      <c r="BX128" s="8" t="str">
        <f t="shared" si="617"/>
        <v/>
      </c>
      <c r="BY128" s="173" t="str">
        <f t="shared" si="618"/>
        <v/>
      </c>
      <c r="BZ128" s="5" t="str">
        <f t="shared" si="619"/>
        <v/>
      </c>
      <c r="CA128" s="6" t="str">
        <f t="shared" si="620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1"/>
        <v/>
      </c>
      <c r="CJ128" s="5" t="str">
        <f t="shared" si="622"/>
        <v/>
      </c>
      <c r="CK128" s="8" t="str">
        <f t="shared" si="623"/>
        <v/>
      </c>
      <c r="CL128" s="173" t="str">
        <f t="shared" si="624"/>
        <v/>
      </c>
      <c r="CM128" s="5" t="str">
        <f t="shared" si="625"/>
        <v/>
      </c>
      <c r="CN128" s="6" t="str">
        <f t="shared" si="626"/>
        <v/>
      </c>
      <c r="CO128" s="167" t="str">
        <f t="shared" si="768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4"/>
        <v/>
      </c>
      <c r="DC128" s="5" t="str">
        <f t="shared" si="854"/>
        <v/>
      </c>
      <c r="DD128" s="10" t="str">
        <f t="shared" si="659"/>
        <v/>
      </c>
      <c r="DE128" s="9" t="str">
        <f t="shared" si="855"/>
        <v/>
      </c>
      <c r="DF128" s="5" t="str">
        <f t="shared" si="855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9"/>
        <v/>
      </c>
      <c r="ET128" s="5" t="str">
        <f t="shared" si="770"/>
        <v/>
      </c>
      <c r="EU128" s="10" t="str">
        <f t="shared" si="771"/>
        <v/>
      </c>
      <c r="EV128" s="174" t="str">
        <f t="shared" si="772"/>
        <v/>
      </c>
      <c r="EW128" s="9" t="str">
        <f t="shared" si="773"/>
        <v/>
      </c>
      <c r="EX128" s="5" t="str">
        <f t="shared" si="774"/>
        <v/>
      </c>
      <c r="EY128" s="6" t="str">
        <f t="shared" si="699"/>
        <v/>
      </c>
      <c r="EZ128" s="51" t="str">
        <f t="shared" si="700"/>
        <v/>
      </c>
      <c r="FA128" s="173" t="str">
        <f t="shared" si="775"/>
        <v/>
      </c>
      <c r="FB128" s="5" t="str">
        <f t="shared" si="776"/>
        <v/>
      </c>
      <c r="FC128" s="6" t="str">
        <f t="shared" si="777"/>
        <v/>
      </c>
      <c r="FD128" s="4" t="str">
        <f t="shared" si="778"/>
        <v/>
      </c>
      <c r="FE128" s="5" t="str">
        <f t="shared" si="779"/>
        <v/>
      </c>
      <c r="FF128" s="7" t="str">
        <f t="shared" si="701"/>
        <v/>
      </c>
      <c r="FG128" s="173" t="str">
        <f t="shared" si="780"/>
        <v/>
      </c>
      <c r="FH128" s="5" t="str">
        <f t="shared" si="781"/>
        <v/>
      </c>
      <c r="FI128" s="10" t="str">
        <f t="shared" si="782"/>
        <v/>
      </c>
      <c r="FJ128" s="279" t="str">
        <f t="shared" si="702"/>
        <v/>
      </c>
      <c r="FK128" s="4" t="str">
        <f t="shared" si="783"/>
        <v/>
      </c>
      <c r="FL128" s="5" t="str">
        <f t="shared" si="627"/>
        <v/>
      </c>
      <c r="FM128" s="8" t="str">
        <f t="shared" si="628"/>
        <v/>
      </c>
      <c r="FN128" s="9" t="str">
        <f t="shared" si="629"/>
        <v/>
      </c>
      <c r="FO128" s="10" t="str">
        <f t="shared" si="784"/>
        <v/>
      </c>
      <c r="FP128" s="277" t="str">
        <f t="shared" si="630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5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6"/>
        <v/>
      </c>
      <c r="GH128" s="286" t="str">
        <f t="shared" si="787"/>
        <v/>
      </c>
      <c r="GI128" s="281" t="str">
        <f t="shared" si="788"/>
        <v/>
      </c>
      <c r="GJ128" s="167" t="str">
        <f t="shared" si="718"/>
        <v/>
      </c>
      <c r="GK128" s="174" t="str">
        <f t="shared" si="789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90"/>
        <v/>
      </c>
      <c r="GT128" s="343" t="str">
        <f t="shared" si="791"/>
        <v/>
      </c>
      <c r="GU128" s="344" t="str">
        <f t="shared" si="792"/>
        <v/>
      </c>
      <c r="GV128" s="343" t="str">
        <f t="shared" si="726"/>
        <v/>
      </c>
      <c r="GW128" s="345" t="str">
        <f t="shared" si="793"/>
        <v/>
      </c>
      <c r="GX128" s="346" t="str">
        <f t="shared" si="794"/>
        <v/>
      </c>
      <c r="GY128" s="344" t="str">
        <f t="shared" si="795"/>
        <v/>
      </c>
      <c r="GZ128" s="345" t="str">
        <f t="shared" si="796"/>
        <v/>
      </c>
      <c r="HA128" s="342" t="str">
        <f t="shared" si="797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8"/>
        <v/>
      </c>
      <c r="HF128" s="5" t="str">
        <f t="shared" si="799"/>
        <v/>
      </c>
      <c r="HG128" s="343" t="str">
        <f t="shared" si="730"/>
        <v/>
      </c>
      <c r="HH128" s="349" t="str">
        <f t="shared" si="731"/>
        <v/>
      </c>
      <c r="HI128" s="317" t="str">
        <f t="shared" si="800"/>
        <v/>
      </c>
      <c r="HK128" s="310" t="str">
        <f t="shared" si="851"/>
        <v/>
      </c>
      <c r="HL128" s="348" t="str">
        <f t="shared" si="801"/>
        <v/>
      </c>
      <c r="HM128" s="909" t="str">
        <f t="shared" si="802"/>
        <v/>
      </c>
      <c r="HN128" s="910" t="str">
        <f t="shared" si="803"/>
        <v/>
      </c>
      <c r="HO128" s="911"/>
      <c r="HP128" s="912"/>
      <c r="HQ128" s="910" t="str">
        <f t="shared" si="804"/>
        <v/>
      </c>
      <c r="HR128" s="913" t="str">
        <f t="shared" si="805"/>
        <v/>
      </c>
      <c r="HS128" s="865" t="str">
        <f t="shared" si="852"/>
        <v/>
      </c>
      <c r="HT128" s="875" t="str">
        <f t="shared" si="806"/>
        <v/>
      </c>
      <c r="HU128" s="876" t="str">
        <f t="shared" si="807"/>
        <v/>
      </c>
      <c r="HV128" s="872" t="str">
        <f t="shared" si="808"/>
        <v/>
      </c>
      <c r="HW128" s="866" t="str">
        <f t="shared" si="809"/>
        <v/>
      </c>
      <c r="HX128" s="867" t="str">
        <f t="shared" si="810"/>
        <v/>
      </c>
      <c r="HY128" s="866" t="str">
        <f t="shared" si="811"/>
        <v/>
      </c>
      <c r="HZ128" s="868" t="str">
        <f t="shared" si="812"/>
        <v/>
      </c>
      <c r="IA128" s="869" t="str">
        <f t="shared" si="813"/>
        <v/>
      </c>
      <c r="IB128" s="870" t="str">
        <f t="shared" si="814"/>
        <v/>
      </c>
      <c r="IC128" s="841" t="str">
        <f t="shared" si="815"/>
        <v/>
      </c>
      <c r="ID128" s="351" t="str">
        <f t="shared" si="816"/>
        <v/>
      </c>
      <c r="IE128" s="843" t="str">
        <f t="shared" si="817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2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18"/>
        <v/>
      </c>
      <c r="IM128" s="482" t="str">
        <f t="shared" si="733"/>
        <v/>
      </c>
      <c r="IN128" s="670" t="str">
        <f t="shared" si="819"/>
        <v/>
      </c>
      <c r="IO128" s="702"/>
      <c r="IP128" s="5" t="str">
        <f t="shared" si="820"/>
        <v/>
      </c>
      <c r="IQ128" s="714"/>
      <c r="IR128" s="9" t="str">
        <f t="shared" si="821"/>
        <v/>
      </c>
      <c r="IS128" s="5" t="str">
        <f t="shared" si="822"/>
        <v/>
      </c>
      <c r="IT128" s="5" t="str">
        <f t="shared" si="823"/>
        <v/>
      </c>
      <c r="IU128" s="5" t="str">
        <f t="shared" si="824"/>
        <v/>
      </c>
      <c r="IV128" s="670" t="str">
        <f t="shared" si="825"/>
        <v/>
      </c>
      <c r="IW128" s="9" t="str">
        <f t="shared" si="826"/>
        <v/>
      </c>
      <c r="IX128" s="5" t="str">
        <f t="shared" si="827"/>
        <v/>
      </c>
      <c r="IY128" s="5" t="str">
        <f t="shared" si="828"/>
        <v/>
      </c>
      <c r="IZ128" s="5" t="str">
        <f t="shared" si="829"/>
        <v/>
      </c>
      <c r="JA128" s="705" t="str">
        <f t="shared" si="830"/>
        <v/>
      </c>
    </row>
    <row r="129" spans="1:261" ht="15" customHeight="1" x14ac:dyDescent="0.25">
      <c r="A129" s="75" t="str">
        <f t="shared" si="737"/>
        <v/>
      </c>
      <c r="B129" s="578" t="str">
        <f t="shared" si="738"/>
        <v/>
      </c>
      <c r="C129" s="572" t="str">
        <f t="shared" si="739"/>
        <v/>
      </c>
      <c r="D129" s="576" t="str">
        <f t="shared" si="740"/>
        <v/>
      </c>
      <c r="E129" s="580" t="str">
        <f t="shared" si="741"/>
        <v/>
      </c>
      <c r="F129" s="572" t="str">
        <f t="shared" si="742"/>
        <v/>
      </c>
      <c r="G129" s="579" t="str">
        <f t="shared" si="743"/>
        <v/>
      </c>
      <c r="H129" s="580" t="str">
        <f t="shared" si="744"/>
        <v/>
      </c>
      <c r="I129" s="572" t="str">
        <f t="shared" si="745"/>
        <v/>
      </c>
      <c r="J129" s="483" t="str">
        <f t="shared" si="746"/>
        <v/>
      </c>
      <c r="K129" s="806" t="str">
        <f t="shared" si="747"/>
        <v/>
      </c>
      <c r="L129" s="309"/>
      <c r="M129" s="164" t="str">
        <f t="shared" si="748"/>
        <v/>
      </c>
      <c r="N129" s="575" t="str">
        <f t="shared" si="749"/>
        <v/>
      </c>
      <c r="O129" s="572" t="str">
        <f t="shared" si="750"/>
        <v/>
      </c>
      <c r="P129" s="576" t="str">
        <f t="shared" si="751"/>
        <v/>
      </c>
      <c r="Q129" s="528" t="str">
        <f t="shared" si="610"/>
        <v/>
      </c>
      <c r="R129" s="572" t="str">
        <f t="shared" si="831"/>
        <v/>
      </c>
      <c r="S129" s="577" t="str">
        <f t="shared" si="832"/>
        <v/>
      </c>
      <c r="T129" s="578" t="str">
        <f t="shared" si="833"/>
        <v/>
      </c>
      <c r="U129" s="572" t="str">
        <f t="shared" si="834"/>
        <v/>
      </c>
      <c r="V129" s="579" t="str">
        <f t="shared" si="835"/>
        <v/>
      </c>
      <c r="W129" s="528" t="str">
        <f t="shared" si="736"/>
        <v/>
      </c>
      <c r="X129" s="572" t="str">
        <f t="shared" si="836"/>
        <v/>
      </c>
      <c r="Y129" s="573" t="str">
        <f t="shared" si="734"/>
        <v/>
      </c>
      <c r="Z129" s="575" t="str">
        <f t="shared" si="752"/>
        <v/>
      </c>
      <c r="AA129" s="572" t="str">
        <f t="shared" si="753"/>
        <v/>
      </c>
      <c r="AB129" s="572" t="str">
        <f t="shared" si="754"/>
        <v/>
      </c>
      <c r="AC129" s="579" t="str">
        <f t="shared" si="837"/>
        <v/>
      </c>
      <c r="AD129" s="580" t="str">
        <f t="shared" si="838"/>
        <v/>
      </c>
      <c r="AE129" s="572" t="str">
        <f t="shared" si="839"/>
        <v/>
      </c>
      <c r="AF129" s="576" t="str">
        <f t="shared" si="840"/>
        <v/>
      </c>
      <c r="AG129" s="545" t="str">
        <f t="shared" si="841"/>
        <v/>
      </c>
      <c r="AH129" s="546" t="str">
        <f t="shared" si="842"/>
        <v/>
      </c>
      <c r="AI129" s="528" t="str">
        <f t="shared" si="843"/>
        <v/>
      </c>
      <c r="AJ129" s="529" t="str">
        <f t="shared" si="844"/>
        <v/>
      </c>
      <c r="AK129" s="578" t="str">
        <f t="shared" si="845"/>
        <v/>
      </c>
      <c r="AL129" s="572" t="str">
        <f t="shared" si="846"/>
        <v/>
      </c>
      <c r="AM129" s="577" t="str">
        <f t="shared" si="847"/>
        <v/>
      </c>
      <c r="AN129" s="524" t="str">
        <f t="shared" si="848"/>
        <v/>
      </c>
      <c r="AO129" s="525" t="str">
        <f t="shared" si="856"/>
        <v/>
      </c>
      <c r="AP129" s="528" t="str">
        <f t="shared" si="849"/>
        <v/>
      </c>
      <c r="AQ129" s="529" t="str">
        <f t="shared" si="755"/>
        <v/>
      </c>
      <c r="AS129" s="932" t="str">
        <f t="shared" si="853"/>
        <v/>
      </c>
      <c r="AT129" s="928" t="str">
        <f t="shared" si="756"/>
        <v/>
      </c>
      <c r="AU129" s="418"/>
      <c r="AV129" s="164" t="str">
        <f t="shared" si="757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4"/>
        <v/>
      </c>
      <c r="BA129" s="296" t="str">
        <f t="shared" si="758"/>
        <v/>
      </c>
      <c r="BB129" s="177" t="str">
        <f t="shared" si="611"/>
        <v/>
      </c>
      <c r="BC129" s="9"/>
      <c r="BD129" s="5" t="str">
        <f t="shared" si="612"/>
        <v/>
      </c>
      <c r="BE129" s="6" t="str">
        <f t="shared" si="759"/>
        <v/>
      </c>
      <c r="BF129" s="4" t="str">
        <f t="shared" si="760"/>
        <v/>
      </c>
      <c r="BG129" s="5" t="str">
        <f t="shared" si="761"/>
        <v/>
      </c>
      <c r="BH129" s="10" t="str">
        <f t="shared" si="762"/>
        <v/>
      </c>
      <c r="BI129" s="9" t="str">
        <f t="shared" si="635"/>
        <v/>
      </c>
      <c r="BJ129" s="5" t="str">
        <f t="shared" si="763"/>
        <v/>
      </c>
      <c r="BK129" s="8" t="str">
        <f t="shared" si="764"/>
        <v/>
      </c>
      <c r="BL129" s="173" t="str">
        <f t="shared" si="765"/>
        <v/>
      </c>
      <c r="BM129" s="5" t="str">
        <f t="shared" si="766"/>
        <v/>
      </c>
      <c r="BN129" s="6" t="str">
        <f t="shared" si="767"/>
        <v/>
      </c>
      <c r="BO129" s="4" t="str">
        <f t="shared" si="636"/>
        <v/>
      </c>
      <c r="BP129" s="5" t="str">
        <f t="shared" si="735"/>
        <v/>
      </c>
      <c r="BQ129" s="5" t="str">
        <f t="shared" si="637"/>
        <v/>
      </c>
      <c r="BR129" s="6" t="str">
        <f t="shared" si="638"/>
        <v/>
      </c>
      <c r="BS129" s="4" t="str">
        <f t="shared" si="850"/>
        <v/>
      </c>
      <c r="BT129" s="5" t="str">
        <f t="shared" si="850"/>
        <v/>
      </c>
      <c r="BU129" s="10" t="str">
        <f t="shared" si="614"/>
        <v/>
      </c>
      <c r="BV129" s="9" t="str">
        <f t="shared" si="615"/>
        <v/>
      </c>
      <c r="BW129" s="5" t="str">
        <f t="shared" si="616"/>
        <v/>
      </c>
      <c r="BX129" s="8" t="str">
        <f t="shared" si="617"/>
        <v/>
      </c>
      <c r="BY129" s="173" t="str">
        <f t="shared" si="618"/>
        <v/>
      </c>
      <c r="BZ129" s="5" t="str">
        <f t="shared" si="619"/>
        <v/>
      </c>
      <c r="CA129" s="6" t="str">
        <f t="shared" si="620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1"/>
        <v/>
      </c>
      <c r="CJ129" s="5" t="str">
        <f t="shared" si="622"/>
        <v/>
      </c>
      <c r="CK129" s="8" t="str">
        <f t="shared" si="623"/>
        <v/>
      </c>
      <c r="CL129" s="173" t="str">
        <f t="shared" si="624"/>
        <v/>
      </c>
      <c r="CM129" s="5" t="str">
        <f t="shared" si="625"/>
        <v/>
      </c>
      <c r="CN129" s="6" t="str">
        <f t="shared" si="626"/>
        <v/>
      </c>
      <c r="CO129" s="167" t="str">
        <f t="shared" si="768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4"/>
        <v/>
      </c>
      <c r="DC129" s="5" t="str">
        <f t="shared" si="854"/>
        <v/>
      </c>
      <c r="DD129" s="10" t="str">
        <f t="shared" si="659"/>
        <v/>
      </c>
      <c r="DE129" s="9" t="str">
        <f t="shared" si="855"/>
        <v/>
      </c>
      <c r="DF129" s="5" t="str">
        <f t="shared" si="855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9"/>
        <v/>
      </c>
      <c r="ET129" s="5" t="str">
        <f t="shared" si="770"/>
        <v/>
      </c>
      <c r="EU129" s="10" t="str">
        <f t="shared" si="771"/>
        <v/>
      </c>
      <c r="EV129" s="174" t="str">
        <f t="shared" si="772"/>
        <v/>
      </c>
      <c r="EW129" s="9" t="str">
        <f t="shared" si="773"/>
        <v/>
      </c>
      <c r="EX129" s="5" t="str">
        <f t="shared" si="774"/>
        <v/>
      </c>
      <c r="EY129" s="6" t="str">
        <f t="shared" si="699"/>
        <v/>
      </c>
      <c r="EZ129" s="51" t="str">
        <f t="shared" si="700"/>
        <v/>
      </c>
      <c r="FA129" s="173" t="str">
        <f t="shared" si="775"/>
        <v/>
      </c>
      <c r="FB129" s="5" t="str">
        <f t="shared" si="776"/>
        <v/>
      </c>
      <c r="FC129" s="6" t="str">
        <f t="shared" si="777"/>
        <v/>
      </c>
      <c r="FD129" s="4" t="str">
        <f t="shared" si="778"/>
        <v/>
      </c>
      <c r="FE129" s="5" t="str">
        <f t="shared" si="779"/>
        <v/>
      </c>
      <c r="FF129" s="7" t="str">
        <f t="shared" si="701"/>
        <v/>
      </c>
      <c r="FG129" s="173" t="str">
        <f t="shared" si="780"/>
        <v/>
      </c>
      <c r="FH129" s="5" t="str">
        <f t="shared" si="781"/>
        <v/>
      </c>
      <c r="FI129" s="10" t="str">
        <f t="shared" si="782"/>
        <v/>
      </c>
      <c r="FJ129" s="279" t="str">
        <f t="shared" si="702"/>
        <v/>
      </c>
      <c r="FK129" s="4" t="str">
        <f t="shared" si="783"/>
        <v/>
      </c>
      <c r="FL129" s="5" t="str">
        <f t="shared" si="627"/>
        <v/>
      </c>
      <c r="FM129" s="8" t="str">
        <f t="shared" si="628"/>
        <v/>
      </c>
      <c r="FN129" s="9" t="str">
        <f t="shared" si="629"/>
        <v/>
      </c>
      <c r="FO129" s="10" t="str">
        <f t="shared" si="784"/>
        <v/>
      </c>
      <c r="FP129" s="277" t="str">
        <f t="shared" si="630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5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6"/>
        <v/>
      </c>
      <c r="GH129" s="286" t="str">
        <f t="shared" si="787"/>
        <v/>
      </c>
      <c r="GI129" s="281" t="str">
        <f t="shared" si="788"/>
        <v/>
      </c>
      <c r="GJ129" s="167" t="str">
        <f t="shared" si="718"/>
        <v/>
      </c>
      <c r="GK129" s="174" t="str">
        <f t="shared" si="789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90"/>
        <v/>
      </c>
      <c r="GT129" s="343" t="str">
        <f t="shared" si="791"/>
        <v/>
      </c>
      <c r="GU129" s="344" t="str">
        <f t="shared" si="792"/>
        <v/>
      </c>
      <c r="GV129" s="343" t="str">
        <f t="shared" si="726"/>
        <v/>
      </c>
      <c r="GW129" s="345" t="str">
        <f t="shared" si="793"/>
        <v/>
      </c>
      <c r="GX129" s="346" t="str">
        <f t="shared" si="794"/>
        <v/>
      </c>
      <c r="GY129" s="344" t="str">
        <f t="shared" si="795"/>
        <v/>
      </c>
      <c r="GZ129" s="345" t="str">
        <f t="shared" si="796"/>
        <v/>
      </c>
      <c r="HA129" s="342" t="str">
        <f t="shared" si="797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8"/>
        <v/>
      </c>
      <c r="HF129" s="5" t="str">
        <f t="shared" si="799"/>
        <v/>
      </c>
      <c r="HG129" s="343" t="str">
        <f t="shared" si="730"/>
        <v/>
      </c>
      <c r="HH129" s="349" t="str">
        <f t="shared" si="731"/>
        <v/>
      </c>
      <c r="HI129" s="317" t="str">
        <f t="shared" si="800"/>
        <v/>
      </c>
      <c r="HK129" s="310" t="str">
        <f t="shared" si="851"/>
        <v/>
      </c>
      <c r="HL129" s="348" t="str">
        <f t="shared" si="801"/>
        <v/>
      </c>
      <c r="HM129" s="909" t="str">
        <f t="shared" si="802"/>
        <v/>
      </c>
      <c r="HN129" s="910" t="str">
        <f t="shared" si="803"/>
        <v/>
      </c>
      <c r="HO129" s="911"/>
      <c r="HP129" s="912"/>
      <c r="HQ129" s="910" t="str">
        <f t="shared" si="804"/>
        <v/>
      </c>
      <c r="HR129" s="913" t="str">
        <f t="shared" si="805"/>
        <v/>
      </c>
      <c r="HS129" s="865" t="str">
        <f t="shared" si="852"/>
        <v/>
      </c>
      <c r="HT129" s="875" t="str">
        <f t="shared" si="806"/>
        <v/>
      </c>
      <c r="HU129" s="876" t="str">
        <f t="shared" si="807"/>
        <v/>
      </c>
      <c r="HV129" s="872" t="str">
        <f t="shared" si="808"/>
        <v/>
      </c>
      <c r="HW129" s="866" t="str">
        <f t="shared" si="809"/>
        <v/>
      </c>
      <c r="HX129" s="867" t="str">
        <f t="shared" si="810"/>
        <v/>
      </c>
      <c r="HY129" s="866" t="str">
        <f t="shared" si="811"/>
        <v/>
      </c>
      <c r="HZ129" s="868" t="str">
        <f t="shared" si="812"/>
        <v/>
      </c>
      <c r="IA129" s="869" t="str">
        <f t="shared" si="813"/>
        <v/>
      </c>
      <c r="IB129" s="870" t="str">
        <f t="shared" si="814"/>
        <v/>
      </c>
      <c r="IC129" s="841" t="str">
        <f t="shared" si="815"/>
        <v/>
      </c>
      <c r="ID129" s="351" t="str">
        <f t="shared" si="816"/>
        <v/>
      </c>
      <c r="IE129" s="843" t="str">
        <f t="shared" si="817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2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18"/>
        <v/>
      </c>
      <c r="IM129" s="482" t="str">
        <f t="shared" si="733"/>
        <v/>
      </c>
      <c r="IN129" s="670" t="str">
        <f t="shared" si="819"/>
        <v/>
      </c>
      <c r="IO129" s="702"/>
      <c r="IP129" s="5" t="str">
        <f t="shared" si="820"/>
        <v/>
      </c>
      <c r="IQ129" s="714"/>
      <c r="IR129" s="9" t="str">
        <f t="shared" si="821"/>
        <v/>
      </c>
      <c r="IS129" s="5" t="str">
        <f t="shared" si="822"/>
        <v/>
      </c>
      <c r="IT129" s="5" t="str">
        <f t="shared" si="823"/>
        <v/>
      </c>
      <c r="IU129" s="5" t="str">
        <f t="shared" si="824"/>
        <v/>
      </c>
      <c r="IV129" s="670" t="str">
        <f t="shared" si="825"/>
        <v/>
      </c>
      <c r="IW129" s="9" t="str">
        <f t="shared" si="826"/>
        <v/>
      </c>
      <c r="IX129" s="5" t="str">
        <f t="shared" si="827"/>
        <v/>
      </c>
      <c r="IY129" s="5" t="str">
        <f t="shared" si="828"/>
        <v/>
      </c>
      <c r="IZ129" s="5" t="str">
        <f t="shared" si="829"/>
        <v/>
      </c>
      <c r="JA129" s="705" t="str">
        <f t="shared" si="830"/>
        <v/>
      </c>
    </row>
    <row r="130" spans="1:261" ht="15" customHeight="1" x14ac:dyDescent="0.25">
      <c r="A130" s="75" t="str">
        <f t="shared" si="737"/>
        <v/>
      </c>
      <c r="B130" s="585" t="str">
        <f t="shared" si="738"/>
        <v/>
      </c>
      <c r="C130" s="582" t="str">
        <f t="shared" si="739"/>
        <v/>
      </c>
      <c r="D130" s="583" t="str">
        <f t="shared" si="740"/>
        <v/>
      </c>
      <c r="E130" s="588" t="str">
        <f t="shared" si="741"/>
        <v/>
      </c>
      <c r="F130" s="582" t="str">
        <f t="shared" si="742"/>
        <v/>
      </c>
      <c r="G130" s="586" t="str">
        <f t="shared" si="743"/>
        <v/>
      </c>
      <c r="H130" s="588" t="str">
        <f t="shared" si="744"/>
        <v/>
      </c>
      <c r="I130" s="582" t="str">
        <f t="shared" si="745"/>
        <v/>
      </c>
      <c r="J130" s="491" t="str">
        <f t="shared" si="746"/>
        <v/>
      </c>
      <c r="K130" s="807" t="str">
        <f t="shared" si="747"/>
        <v/>
      </c>
      <c r="L130" s="309"/>
      <c r="M130" s="492" t="str">
        <f t="shared" si="748"/>
        <v/>
      </c>
      <c r="N130" s="581" t="str">
        <f t="shared" si="749"/>
        <v/>
      </c>
      <c r="O130" s="582" t="str">
        <f t="shared" si="750"/>
        <v/>
      </c>
      <c r="P130" s="583" t="str">
        <f t="shared" si="751"/>
        <v/>
      </c>
      <c r="Q130" s="536" t="str">
        <f t="shared" ref="Q130:Q150" si="857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8">IF(M130="","",SQRT(N130^2+O130^2))</f>
        <v/>
      </c>
      <c r="S130" s="584" t="str">
        <f t="shared" ref="S130:S150" si="859">IF(M130="","",P130)</f>
        <v/>
      </c>
      <c r="T130" s="585" t="str">
        <f t="shared" ref="T130:T150" si="860">IF(M130="","",X130*COS(RADIANS(W130)))</f>
        <v/>
      </c>
      <c r="U130" s="582" t="str">
        <f t="shared" ref="U130:U150" si="861">IF(M130="","",X130*SIN(RADIANS(W130)))</f>
        <v/>
      </c>
      <c r="V130" s="586" t="str">
        <f t="shared" ref="V130:V150" si="862">IF(M130="","",Y130)</f>
        <v/>
      </c>
      <c r="W130" s="536" t="str">
        <f t="shared" ref="W130:W150" si="863">IF(M130="","",IF(Q130-$Q$8&lt;0,360+Q130-$Q$8,Q130-$Q$8))</f>
        <v/>
      </c>
      <c r="X130" s="582" t="str">
        <f t="shared" ref="X130:X150" si="864">IF(M130="","",R130)</f>
        <v/>
      </c>
      <c r="Y130" s="587" t="str">
        <f t="shared" ref="Y130:Y150" si="865">IF(M130="","",S130)</f>
        <v/>
      </c>
      <c r="Z130" s="581" t="str">
        <f t="shared" si="752"/>
        <v/>
      </c>
      <c r="AA130" s="582" t="str">
        <f t="shared" si="753"/>
        <v/>
      </c>
      <c r="AB130" s="582" t="str">
        <f t="shared" si="754"/>
        <v/>
      </c>
      <c r="AC130" s="586" t="str">
        <f t="shared" ref="AC130:AC150" si="866">IF(M130="","",SQRT(Z130^2+AA130^2+AB130^2))</f>
        <v/>
      </c>
      <c r="AD130" s="588" t="str">
        <f t="shared" ref="AD130:AD150" si="867">IF(M130="","",Z130*(1/SQRT(Z130^2+AA130^2+AB130^2)))</f>
        <v/>
      </c>
      <c r="AE130" s="582" t="str">
        <f t="shared" ref="AE130:AE150" si="868">IF(M130="","",AA130*(1/SQRT(Z130^2+AA130^2+AB130^2)))</f>
        <v/>
      </c>
      <c r="AF130" s="583" t="str">
        <f t="shared" ref="AF130:AF150" si="869">IF(M130="","",AB130*(1/SQRT(Z130^2+AA130^2+AB130^2)))</f>
        <v/>
      </c>
      <c r="AG130" s="547" t="str">
        <f t="shared" ref="AG130:AG150" si="870">IF(M130="","",DEGREES(ATAN2(-AF130,AE130)))</f>
        <v/>
      </c>
      <c r="AH130" s="548" t="str">
        <f t="shared" ref="AH130:AH150" si="871">IF(M130="","",DEGREES(ACOS(AD130)))</f>
        <v/>
      </c>
      <c r="AI130" s="536" t="str">
        <f t="shared" ref="AI130:AI150" si="872">IF(M130="","",DEGREES(-ACOS(-AF130)))</f>
        <v/>
      </c>
      <c r="AJ130" s="537" t="str">
        <f t="shared" ref="AJ130:AJ150" si="873">IF(M130="","",DEGREES(ATAN2(-AE130,AD130)))</f>
        <v/>
      </c>
      <c r="AK130" s="585" t="str">
        <f t="shared" ref="AK130:AK150" si="874">IF(M130="","",(COS(RADIANS((90-$Q$8)-W130))*AD130)+(-SIN(RADIANS((90-$Q$8)-W130))*AE130))</f>
        <v/>
      </c>
      <c r="AL130" s="582" t="str">
        <f t="shared" ref="AL130:AL150" si="875">IF(M130="","",(SIN(RADIANS((90-$Q$8)-W130))*AD130)+(COS(RADIANS((90-$Q$8)-W130))*AE130))</f>
        <v/>
      </c>
      <c r="AM130" s="584" t="str">
        <f t="shared" ref="AM130:AM150" si="876">IF(M130="","",AF130)</f>
        <v/>
      </c>
      <c r="AN130" s="534" t="str">
        <f t="shared" ref="AN130:AN150" si="877">IF(M130="","",DEGREES(ATAN2(-AM130,AL130)))</f>
        <v/>
      </c>
      <c r="AO130" s="535" t="str">
        <f t="shared" si="856"/>
        <v/>
      </c>
      <c r="AP130" s="536" t="str">
        <f t="shared" ref="AP130:AP150" si="878">IF(M130="","",DEGREES(ATAN2(AK130,AL130)))</f>
        <v/>
      </c>
      <c r="AQ130" s="537" t="str">
        <f t="shared" si="755"/>
        <v/>
      </c>
      <c r="AS130" s="933" t="str">
        <f t="shared" si="853"/>
        <v/>
      </c>
      <c r="AT130" s="929" t="str">
        <f t="shared" si="756"/>
        <v/>
      </c>
      <c r="AU130" s="418"/>
      <c r="AV130" s="164" t="str">
        <f t="shared" si="757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9">IF(ISNUMBER(AV130),$AY130*SQRT((2*PI()*$AW130)^2+$AS$5^2),"")</f>
        <v/>
      </c>
      <c r="BA130" s="505" t="str">
        <f t="shared" ref="BA130:BA150" si="880">IF(ISNUMBER(AV130),AZ130/$AZ$151,"")</f>
        <v/>
      </c>
      <c r="BB130" s="506" t="str">
        <f t="shared" si="611"/>
        <v/>
      </c>
      <c r="BC130" s="496"/>
      <c r="BD130" s="494" t="str">
        <f t="shared" ref="BD130:BD150" si="881">IF(ISNUMBER(AV130),AW130,"")</f>
        <v/>
      </c>
      <c r="BE130" s="497" t="str">
        <f t="shared" si="759"/>
        <v/>
      </c>
      <c r="BF130" s="498" t="str">
        <f t="shared" si="760"/>
        <v/>
      </c>
      <c r="BG130" s="494" t="str">
        <f t="shared" si="761"/>
        <v/>
      </c>
      <c r="BH130" s="495" t="str">
        <f t="shared" si="762"/>
        <v/>
      </c>
      <c r="BI130" s="496" t="str">
        <f t="shared" ref="BI130:BI150" si="882">IF(ISNUMBER($AV130),BF130+0,"")</f>
        <v/>
      </c>
      <c r="BJ130" s="494" t="str">
        <f t="shared" si="763"/>
        <v/>
      </c>
      <c r="BK130" s="499" t="str">
        <f t="shared" si="764"/>
        <v/>
      </c>
      <c r="BL130" s="502" t="str">
        <f t="shared" si="765"/>
        <v/>
      </c>
      <c r="BM130" s="494" t="str">
        <f t="shared" si="766"/>
        <v/>
      </c>
      <c r="BN130" s="497" t="str">
        <f t="shared" si="767"/>
        <v/>
      </c>
      <c r="BO130" s="498" t="str">
        <f t="shared" ref="BO130:BO150" si="883">IF(ISNUMBER($AV130),BJ130*BN130-BM130*BK130-BG130*(BN130-BK130)+BH130*(BM130-BJ130),"")</f>
        <v/>
      </c>
      <c r="BP130" s="494" t="str">
        <f t="shared" si="735"/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50"/>
        <v/>
      </c>
      <c r="BT130" s="494" t="str">
        <f t="shared" si="850"/>
        <v/>
      </c>
      <c r="BU130" s="495" t="str">
        <f t="shared" si="614"/>
        <v/>
      </c>
      <c r="BV130" s="496" t="str">
        <f t="shared" si="615"/>
        <v/>
      </c>
      <c r="BW130" s="494" t="str">
        <f t="shared" si="616"/>
        <v/>
      </c>
      <c r="BX130" s="499" t="str">
        <f t="shared" si="617"/>
        <v/>
      </c>
      <c r="BY130" s="502" t="str">
        <f t="shared" si="618"/>
        <v/>
      </c>
      <c r="BZ130" s="494" t="str">
        <f t="shared" si="619"/>
        <v/>
      </c>
      <c r="CA130" s="497" t="str">
        <f t="shared" si="620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1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8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4"/>
        <v/>
      </c>
      <c r="DC130" s="494" t="str">
        <f t="shared" si="854"/>
        <v/>
      </c>
      <c r="DD130" s="495" t="str">
        <f t="shared" si="659"/>
        <v/>
      </c>
      <c r="DE130" s="496" t="str">
        <f t="shared" si="855"/>
        <v/>
      </c>
      <c r="DF130" s="494" t="str">
        <f t="shared" si="855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9"/>
        <v/>
      </c>
      <c r="ET130" s="494" t="str">
        <f t="shared" si="770"/>
        <v/>
      </c>
      <c r="EU130" s="495" t="str">
        <f t="shared" si="771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5"/>
        <v/>
      </c>
      <c r="FB130" s="494" t="str">
        <f t="shared" si="776"/>
        <v/>
      </c>
      <c r="FC130" s="497" t="str">
        <f t="shared" si="777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9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2"/>
        <v/>
      </c>
      <c r="GV130" s="343" t="str">
        <f t="shared" ref="GV130:GV150" si="991">IF(ISNUMBER($AV130),GW130*$GL130,"")</f>
        <v/>
      </c>
      <c r="GW130" s="345" t="str">
        <f t="shared" si="793"/>
        <v/>
      </c>
      <c r="GX130" s="346" t="str">
        <f t="shared" si="794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7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8"/>
        <v/>
      </c>
      <c r="HF130" s="5" t="str">
        <f t="shared" si="799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800"/>
        <v/>
      </c>
      <c r="HK130" s="310" t="str">
        <f t="shared" si="851"/>
        <v/>
      </c>
      <c r="HL130" s="348" t="str">
        <f t="shared" si="801"/>
        <v/>
      </c>
      <c r="HM130" s="909" t="str">
        <f t="shared" si="802"/>
        <v/>
      </c>
      <c r="HN130" s="910" t="str">
        <f t="shared" si="803"/>
        <v/>
      </c>
      <c r="HO130" s="911"/>
      <c r="HP130" s="912"/>
      <c r="HQ130" s="910" t="str">
        <f t="shared" si="804"/>
        <v/>
      </c>
      <c r="HR130" s="913" t="str">
        <f t="shared" si="805"/>
        <v/>
      </c>
      <c r="HS130" s="865" t="str">
        <f t="shared" ref="HS130:HS150" si="998">IFERROR(SMALL($GJ$9:$GJ$150,($HK129+1)),"")</f>
        <v/>
      </c>
      <c r="HT130" s="875" t="str">
        <f t="shared" si="806"/>
        <v/>
      </c>
      <c r="HU130" s="876" t="str">
        <f t="shared" si="807"/>
        <v/>
      </c>
      <c r="HV130" s="872" t="str">
        <f t="shared" si="808"/>
        <v/>
      </c>
      <c r="HW130" s="866" t="str">
        <f t="shared" si="809"/>
        <v/>
      </c>
      <c r="HX130" s="867" t="str">
        <f t="shared" si="810"/>
        <v/>
      </c>
      <c r="HY130" s="866" t="str">
        <f t="shared" si="811"/>
        <v/>
      </c>
      <c r="HZ130" s="868" t="str">
        <f t="shared" si="812"/>
        <v/>
      </c>
      <c r="IA130" s="869" t="str">
        <f t="shared" si="813"/>
        <v/>
      </c>
      <c r="IB130" s="870" t="str">
        <f t="shared" si="814"/>
        <v/>
      </c>
      <c r="IC130" s="841" t="str">
        <f t="shared" si="815"/>
        <v/>
      </c>
      <c r="ID130" s="351" t="str">
        <f t="shared" si="816"/>
        <v/>
      </c>
      <c r="IE130" s="843" t="str">
        <f t="shared" si="817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2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18"/>
        <v/>
      </c>
      <c r="IM130" s="482" t="str">
        <f t="shared" si="733"/>
        <v/>
      </c>
      <c r="IN130" s="670" t="str">
        <f t="shared" si="819"/>
        <v/>
      </c>
      <c r="IO130" s="702"/>
      <c r="IP130" s="5" t="str">
        <f t="shared" si="820"/>
        <v/>
      </c>
      <c r="IQ130" s="714"/>
      <c r="IR130" s="9" t="str">
        <f t="shared" si="821"/>
        <v/>
      </c>
      <c r="IS130" s="5" t="str">
        <f t="shared" si="822"/>
        <v/>
      </c>
      <c r="IT130" s="5" t="str">
        <f t="shared" si="823"/>
        <v/>
      </c>
      <c r="IU130" s="5" t="str">
        <f t="shared" si="824"/>
        <v/>
      </c>
      <c r="IV130" s="670" t="str">
        <f t="shared" si="825"/>
        <v/>
      </c>
      <c r="IW130" s="9" t="str">
        <f t="shared" si="826"/>
        <v/>
      </c>
      <c r="IX130" s="5" t="str">
        <f t="shared" si="827"/>
        <v/>
      </c>
      <c r="IY130" s="5" t="str">
        <f t="shared" si="828"/>
        <v/>
      </c>
      <c r="IZ130" s="5" t="str">
        <f t="shared" si="829"/>
        <v/>
      </c>
      <c r="JA130" s="705" t="str">
        <f t="shared" si="830"/>
        <v/>
      </c>
    </row>
    <row r="131" spans="1:261" ht="15" customHeight="1" x14ac:dyDescent="0.25">
      <c r="A131" s="75" t="str">
        <f t="shared" si="737"/>
        <v/>
      </c>
      <c r="B131" s="585" t="str">
        <f t="shared" si="738"/>
        <v/>
      </c>
      <c r="C131" s="582" t="str">
        <f t="shared" si="739"/>
        <v/>
      </c>
      <c r="D131" s="583" t="str">
        <f t="shared" si="740"/>
        <v/>
      </c>
      <c r="E131" s="588" t="str">
        <f t="shared" si="741"/>
        <v/>
      </c>
      <c r="F131" s="582" t="str">
        <f t="shared" si="742"/>
        <v/>
      </c>
      <c r="G131" s="586" t="str">
        <f t="shared" si="743"/>
        <v/>
      </c>
      <c r="H131" s="588" t="str">
        <f t="shared" si="744"/>
        <v/>
      </c>
      <c r="I131" s="582" t="str">
        <f t="shared" si="745"/>
        <v/>
      </c>
      <c r="J131" s="491" t="str">
        <f t="shared" si="746"/>
        <v/>
      </c>
      <c r="K131" s="807" t="str">
        <f t="shared" si="747"/>
        <v/>
      </c>
      <c r="L131" s="309"/>
      <c r="M131" s="492" t="str">
        <f t="shared" si="748"/>
        <v/>
      </c>
      <c r="N131" s="581" t="str">
        <f t="shared" si="749"/>
        <v/>
      </c>
      <c r="O131" s="582" t="str">
        <f t="shared" si="750"/>
        <v/>
      </c>
      <c r="P131" s="583" t="str">
        <f t="shared" si="751"/>
        <v/>
      </c>
      <c r="Q131" s="536" t="str">
        <f t="shared" si="857"/>
        <v/>
      </c>
      <c r="R131" s="582" t="str">
        <f t="shared" si="858"/>
        <v/>
      </c>
      <c r="S131" s="584" t="str">
        <f t="shared" si="859"/>
        <v/>
      </c>
      <c r="T131" s="585" t="str">
        <f t="shared" si="860"/>
        <v/>
      </c>
      <c r="U131" s="582" t="str">
        <f t="shared" si="861"/>
        <v/>
      </c>
      <c r="V131" s="586" t="str">
        <f t="shared" si="862"/>
        <v/>
      </c>
      <c r="W131" s="536" t="str">
        <f t="shared" si="863"/>
        <v/>
      </c>
      <c r="X131" s="582" t="str">
        <f t="shared" si="864"/>
        <v/>
      </c>
      <c r="Y131" s="587" t="str">
        <f t="shared" si="865"/>
        <v/>
      </c>
      <c r="Z131" s="581" t="str">
        <f t="shared" si="752"/>
        <v/>
      </c>
      <c r="AA131" s="582" t="str">
        <f t="shared" si="753"/>
        <v/>
      </c>
      <c r="AB131" s="582" t="str">
        <f t="shared" si="754"/>
        <v/>
      </c>
      <c r="AC131" s="586" t="str">
        <f t="shared" si="866"/>
        <v/>
      </c>
      <c r="AD131" s="588" t="str">
        <f t="shared" si="867"/>
        <v/>
      </c>
      <c r="AE131" s="582" t="str">
        <f t="shared" si="868"/>
        <v/>
      </c>
      <c r="AF131" s="583" t="str">
        <f t="shared" si="869"/>
        <v/>
      </c>
      <c r="AG131" s="547" t="str">
        <f t="shared" si="870"/>
        <v/>
      </c>
      <c r="AH131" s="548" t="str">
        <f t="shared" si="871"/>
        <v/>
      </c>
      <c r="AI131" s="536" t="str">
        <f t="shared" si="872"/>
        <v/>
      </c>
      <c r="AJ131" s="537" t="str">
        <f t="shared" si="873"/>
        <v/>
      </c>
      <c r="AK131" s="585" t="str">
        <f t="shared" si="874"/>
        <v/>
      </c>
      <c r="AL131" s="582" t="str">
        <f t="shared" si="875"/>
        <v/>
      </c>
      <c r="AM131" s="584" t="str">
        <f t="shared" si="876"/>
        <v/>
      </c>
      <c r="AN131" s="534" t="str">
        <f t="shared" si="877"/>
        <v/>
      </c>
      <c r="AO131" s="535" t="str">
        <f t="shared" si="856"/>
        <v/>
      </c>
      <c r="AP131" s="536" t="str">
        <f t="shared" si="878"/>
        <v/>
      </c>
      <c r="AQ131" s="537" t="str">
        <f t="shared" si="755"/>
        <v/>
      </c>
      <c r="AS131" s="933" t="str">
        <f t="shared" si="853"/>
        <v/>
      </c>
      <c r="AT131" s="929" t="str">
        <f t="shared" si="756"/>
        <v/>
      </c>
      <c r="AU131" s="418"/>
      <c r="AV131" s="164" t="str">
        <f t="shared" si="757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9"/>
        <v/>
      </c>
      <c r="BA131" s="505" t="str">
        <f t="shared" si="880"/>
        <v/>
      </c>
      <c r="BB131" s="506" t="str">
        <f t="shared" si="611"/>
        <v/>
      </c>
      <c r="BC131" s="496"/>
      <c r="BD131" s="494" t="str">
        <f t="shared" si="881"/>
        <v/>
      </c>
      <c r="BE131" s="497" t="str">
        <f t="shared" si="759"/>
        <v/>
      </c>
      <c r="BF131" s="498" t="str">
        <f t="shared" si="760"/>
        <v/>
      </c>
      <c r="BG131" s="494" t="str">
        <f t="shared" si="761"/>
        <v/>
      </c>
      <c r="BH131" s="495" t="str">
        <f t="shared" si="762"/>
        <v/>
      </c>
      <c r="BI131" s="496" t="str">
        <f t="shared" si="882"/>
        <v/>
      </c>
      <c r="BJ131" s="494" t="str">
        <f t="shared" si="763"/>
        <v/>
      </c>
      <c r="BK131" s="499" t="str">
        <f t="shared" si="764"/>
        <v/>
      </c>
      <c r="BL131" s="502" t="str">
        <f t="shared" si="765"/>
        <v/>
      </c>
      <c r="BM131" s="494" t="str">
        <f t="shared" si="766"/>
        <v/>
      </c>
      <c r="BN131" s="497" t="str">
        <f t="shared" si="767"/>
        <v/>
      </c>
      <c r="BO131" s="498" t="str">
        <f t="shared" si="883"/>
        <v/>
      </c>
      <c r="BP131" s="494" t="str">
        <f t="shared" si="735"/>
        <v/>
      </c>
      <c r="BQ131" s="494" t="str">
        <f t="shared" si="884"/>
        <v/>
      </c>
      <c r="BR131" s="497" t="str">
        <f t="shared" si="885"/>
        <v/>
      </c>
      <c r="BS131" s="498" t="str">
        <f t="shared" si="850"/>
        <v/>
      </c>
      <c r="BT131" s="494" t="str">
        <f t="shared" si="850"/>
        <v/>
      </c>
      <c r="BU131" s="495" t="str">
        <f t="shared" si="614"/>
        <v/>
      </c>
      <c r="BV131" s="496" t="str">
        <f t="shared" si="615"/>
        <v/>
      </c>
      <c r="BW131" s="494" t="str">
        <f t="shared" si="616"/>
        <v/>
      </c>
      <c r="BX131" s="499" t="str">
        <f t="shared" si="617"/>
        <v/>
      </c>
      <c r="BY131" s="502" t="str">
        <f t="shared" si="618"/>
        <v/>
      </c>
      <c r="BZ131" s="494" t="str">
        <f t="shared" si="619"/>
        <v/>
      </c>
      <c r="CA131" s="497" t="str">
        <f t="shared" si="620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1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8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4"/>
        <v/>
      </c>
      <c r="DC131" s="494" t="str">
        <f t="shared" si="854"/>
        <v/>
      </c>
      <c r="DD131" s="495" t="str">
        <f t="shared" si="659"/>
        <v/>
      </c>
      <c r="DE131" s="496" t="str">
        <f t="shared" si="855"/>
        <v/>
      </c>
      <c r="DF131" s="494" t="str">
        <f t="shared" si="855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9"/>
        <v/>
      </c>
      <c r="ET131" s="494" t="str">
        <f t="shared" si="770"/>
        <v/>
      </c>
      <c r="EU131" s="495" t="str">
        <f t="shared" si="771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5"/>
        <v/>
      </c>
      <c r="FB131" s="494" t="str">
        <f t="shared" si="776"/>
        <v/>
      </c>
      <c r="FC131" s="497" t="str">
        <f t="shared" si="777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9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2"/>
        <v/>
      </c>
      <c r="GV131" s="343" t="str">
        <f t="shared" si="991"/>
        <v/>
      </c>
      <c r="GW131" s="345" t="str">
        <f t="shared" si="793"/>
        <v/>
      </c>
      <c r="GX131" s="346" t="str">
        <f t="shared" si="794"/>
        <v/>
      </c>
      <c r="GY131" s="344" t="str">
        <f t="shared" si="992"/>
        <v/>
      </c>
      <c r="GZ131" s="345" t="str">
        <f t="shared" si="993"/>
        <v/>
      </c>
      <c r="HA131" s="342" t="str">
        <f t="shared" si="797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8"/>
        <v/>
      </c>
      <c r="HF131" s="5" t="str">
        <f t="shared" si="799"/>
        <v/>
      </c>
      <c r="HG131" s="343" t="str">
        <f t="shared" si="996"/>
        <v/>
      </c>
      <c r="HH131" s="349" t="str">
        <f t="shared" si="997"/>
        <v/>
      </c>
      <c r="HI131" s="317" t="str">
        <f t="shared" si="800"/>
        <v/>
      </c>
      <c r="HK131" s="310" t="str">
        <f t="shared" si="851"/>
        <v/>
      </c>
      <c r="HL131" s="348" t="str">
        <f t="shared" si="801"/>
        <v/>
      </c>
      <c r="HM131" s="909" t="str">
        <f t="shared" si="802"/>
        <v/>
      </c>
      <c r="HN131" s="910" t="str">
        <f t="shared" si="803"/>
        <v/>
      </c>
      <c r="HO131" s="911"/>
      <c r="HP131" s="912"/>
      <c r="HQ131" s="910" t="str">
        <f t="shared" si="804"/>
        <v/>
      </c>
      <c r="HR131" s="913" t="str">
        <f t="shared" si="805"/>
        <v/>
      </c>
      <c r="HS131" s="865" t="str">
        <f t="shared" si="998"/>
        <v/>
      </c>
      <c r="HT131" s="875" t="str">
        <f t="shared" si="806"/>
        <v/>
      </c>
      <c r="HU131" s="876" t="str">
        <f t="shared" si="807"/>
        <v/>
      </c>
      <c r="HV131" s="872" t="str">
        <f t="shared" si="808"/>
        <v/>
      </c>
      <c r="HW131" s="866" t="str">
        <f t="shared" si="809"/>
        <v/>
      </c>
      <c r="HX131" s="867" t="str">
        <f t="shared" si="810"/>
        <v/>
      </c>
      <c r="HY131" s="866" t="str">
        <f t="shared" si="811"/>
        <v/>
      </c>
      <c r="HZ131" s="868" t="str">
        <f t="shared" si="812"/>
        <v/>
      </c>
      <c r="IA131" s="869" t="str">
        <f t="shared" si="813"/>
        <v/>
      </c>
      <c r="IB131" s="870" t="str">
        <f t="shared" si="814"/>
        <v/>
      </c>
      <c r="IC131" s="841" t="str">
        <f t="shared" si="815"/>
        <v/>
      </c>
      <c r="ID131" s="351" t="str">
        <f t="shared" si="816"/>
        <v/>
      </c>
      <c r="IE131" s="843" t="str">
        <f t="shared" si="817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2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18"/>
        <v/>
      </c>
      <c r="IM131" s="482" t="str">
        <f t="shared" si="733"/>
        <v/>
      </c>
      <c r="IN131" s="670" t="str">
        <f t="shared" si="819"/>
        <v/>
      </c>
      <c r="IO131" s="702"/>
      <c r="IP131" s="5" t="str">
        <f t="shared" si="820"/>
        <v/>
      </c>
      <c r="IQ131" s="714"/>
      <c r="IR131" s="9" t="str">
        <f t="shared" si="821"/>
        <v/>
      </c>
      <c r="IS131" s="5" t="str">
        <f t="shared" si="822"/>
        <v/>
      </c>
      <c r="IT131" s="5" t="str">
        <f t="shared" si="823"/>
        <v/>
      </c>
      <c r="IU131" s="5" t="str">
        <f t="shared" si="824"/>
        <v/>
      </c>
      <c r="IV131" s="670" t="str">
        <f t="shared" si="825"/>
        <v/>
      </c>
      <c r="IW131" s="9" t="str">
        <f t="shared" si="826"/>
        <v/>
      </c>
      <c r="IX131" s="5" t="str">
        <f t="shared" si="827"/>
        <v/>
      </c>
      <c r="IY131" s="5" t="str">
        <f t="shared" si="828"/>
        <v/>
      </c>
      <c r="IZ131" s="5" t="str">
        <f t="shared" si="829"/>
        <v/>
      </c>
      <c r="JA131" s="705" t="str">
        <f t="shared" si="830"/>
        <v/>
      </c>
    </row>
    <row r="132" spans="1:261" ht="15" customHeight="1" x14ac:dyDescent="0.25">
      <c r="A132" s="75" t="str">
        <f t="shared" si="737"/>
        <v/>
      </c>
      <c r="B132" s="585" t="str">
        <f t="shared" si="738"/>
        <v/>
      </c>
      <c r="C132" s="582" t="str">
        <f t="shared" si="739"/>
        <v/>
      </c>
      <c r="D132" s="583" t="str">
        <f t="shared" si="740"/>
        <v/>
      </c>
      <c r="E132" s="588" t="str">
        <f t="shared" si="741"/>
        <v/>
      </c>
      <c r="F132" s="582" t="str">
        <f t="shared" si="742"/>
        <v/>
      </c>
      <c r="G132" s="586" t="str">
        <f t="shared" si="743"/>
        <v/>
      </c>
      <c r="H132" s="588" t="str">
        <f t="shared" si="744"/>
        <v/>
      </c>
      <c r="I132" s="582" t="str">
        <f t="shared" si="745"/>
        <v/>
      </c>
      <c r="J132" s="491" t="str">
        <f t="shared" si="746"/>
        <v/>
      </c>
      <c r="K132" s="807" t="str">
        <f t="shared" si="747"/>
        <v/>
      </c>
      <c r="L132" s="309"/>
      <c r="M132" s="492" t="str">
        <f t="shared" si="748"/>
        <v/>
      </c>
      <c r="N132" s="581" t="str">
        <f t="shared" si="749"/>
        <v/>
      </c>
      <c r="O132" s="582" t="str">
        <f t="shared" si="750"/>
        <v/>
      </c>
      <c r="P132" s="583" t="str">
        <f t="shared" si="751"/>
        <v/>
      </c>
      <c r="Q132" s="536" t="str">
        <f t="shared" si="857"/>
        <v/>
      </c>
      <c r="R132" s="582" t="str">
        <f t="shared" si="858"/>
        <v/>
      </c>
      <c r="S132" s="584" t="str">
        <f t="shared" si="859"/>
        <v/>
      </c>
      <c r="T132" s="585" t="str">
        <f t="shared" si="860"/>
        <v/>
      </c>
      <c r="U132" s="582" t="str">
        <f t="shared" si="861"/>
        <v/>
      </c>
      <c r="V132" s="586" t="str">
        <f t="shared" si="862"/>
        <v/>
      </c>
      <c r="W132" s="536" t="str">
        <f t="shared" si="863"/>
        <v/>
      </c>
      <c r="X132" s="582" t="str">
        <f t="shared" si="864"/>
        <v/>
      </c>
      <c r="Y132" s="587" t="str">
        <f t="shared" si="865"/>
        <v/>
      </c>
      <c r="Z132" s="581" t="str">
        <f t="shared" si="752"/>
        <v/>
      </c>
      <c r="AA132" s="582" t="str">
        <f t="shared" si="753"/>
        <v/>
      </c>
      <c r="AB132" s="582" t="str">
        <f t="shared" si="754"/>
        <v/>
      </c>
      <c r="AC132" s="586" t="str">
        <f t="shared" si="866"/>
        <v/>
      </c>
      <c r="AD132" s="588" t="str">
        <f t="shared" si="867"/>
        <v/>
      </c>
      <c r="AE132" s="582" t="str">
        <f t="shared" si="868"/>
        <v/>
      </c>
      <c r="AF132" s="583" t="str">
        <f t="shared" si="869"/>
        <v/>
      </c>
      <c r="AG132" s="547" t="str">
        <f t="shared" si="870"/>
        <v/>
      </c>
      <c r="AH132" s="548" t="str">
        <f t="shared" si="871"/>
        <v/>
      </c>
      <c r="AI132" s="536" t="str">
        <f t="shared" si="872"/>
        <v/>
      </c>
      <c r="AJ132" s="537" t="str">
        <f t="shared" si="873"/>
        <v/>
      </c>
      <c r="AK132" s="585" t="str">
        <f t="shared" si="874"/>
        <v/>
      </c>
      <c r="AL132" s="582" t="str">
        <f t="shared" si="875"/>
        <v/>
      </c>
      <c r="AM132" s="584" t="str">
        <f t="shared" si="876"/>
        <v/>
      </c>
      <c r="AN132" s="534" t="str">
        <f t="shared" si="877"/>
        <v/>
      </c>
      <c r="AO132" s="535" t="str">
        <f t="shared" si="856"/>
        <v/>
      </c>
      <c r="AP132" s="536" t="str">
        <f t="shared" si="878"/>
        <v/>
      </c>
      <c r="AQ132" s="537" t="str">
        <f t="shared" si="755"/>
        <v/>
      </c>
      <c r="AS132" s="933" t="str">
        <f t="shared" si="853"/>
        <v/>
      </c>
      <c r="AT132" s="929" t="str">
        <f t="shared" si="756"/>
        <v/>
      </c>
      <c r="AU132" s="418"/>
      <c r="AV132" s="164" t="str">
        <f t="shared" si="757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9"/>
        <v/>
      </c>
      <c r="BA132" s="505" t="str">
        <f t="shared" si="880"/>
        <v/>
      </c>
      <c r="BB132" s="506" t="str">
        <f t="shared" si="611"/>
        <v/>
      </c>
      <c r="BC132" s="496"/>
      <c r="BD132" s="494" t="str">
        <f t="shared" si="881"/>
        <v/>
      </c>
      <c r="BE132" s="497" t="str">
        <f t="shared" si="759"/>
        <v/>
      </c>
      <c r="BF132" s="498" t="str">
        <f t="shared" si="760"/>
        <v/>
      </c>
      <c r="BG132" s="494" t="str">
        <f t="shared" si="761"/>
        <v/>
      </c>
      <c r="BH132" s="495" t="str">
        <f t="shared" si="762"/>
        <v/>
      </c>
      <c r="BI132" s="496" t="str">
        <f t="shared" si="882"/>
        <v/>
      </c>
      <c r="BJ132" s="494" t="str">
        <f t="shared" si="763"/>
        <v/>
      </c>
      <c r="BK132" s="499" t="str">
        <f t="shared" si="764"/>
        <v/>
      </c>
      <c r="BL132" s="502" t="str">
        <f t="shared" si="765"/>
        <v/>
      </c>
      <c r="BM132" s="494" t="str">
        <f t="shared" si="766"/>
        <v/>
      </c>
      <c r="BN132" s="497" t="str">
        <f t="shared" si="767"/>
        <v/>
      </c>
      <c r="BO132" s="498" t="str">
        <f t="shared" si="883"/>
        <v/>
      </c>
      <c r="BP132" s="494" t="str">
        <f t="shared" si="735"/>
        <v/>
      </c>
      <c r="BQ132" s="494" t="str">
        <f t="shared" si="884"/>
        <v/>
      </c>
      <c r="BR132" s="497" t="str">
        <f t="shared" si="885"/>
        <v/>
      </c>
      <c r="BS132" s="498" t="str">
        <f t="shared" si="850"/>
        <v/>
      </c>
      <c r="BT132" s="494" t="str">
        <f t="shared" si="850"/>
        <v/>
      </c>
      <c r="BU132" s="495" t="str">
        <f t="shared" si="614"/>
        <v/>
      </c>
      <c r="BV132" s="496" t="str">
        <f t="shared" si="615"/>
        <v/>
      </c>
      <c r="BW132" s="494" t="str">
        <f t="shared" si="616"/>
        <v/>
      </c>
      <c r="BX132" s="499" t="str">
        <f t="shared" si="617"/>
        <v/>
      </c>
      <c r="BY132" s="502" t="str">
        <f t="shared" si="618"/>
        <v/>
      </c>
      <c r="BZ132" s="494" t="str">
        <f t="shared" si="619"/>
        <v/>
      </c>
      <c r="CA132" s="497" t="str">
        <f t="shared" si="620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1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8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4"/>
        <v/>
      </c>
      <c r="DC132" s="494" t="str">
        <f t="shared" si="854"/>
        <v/>
      </c>
      <c r="DD132" s="495" t="str">
        <f t="shared" si="659"/>
        <v/>
      </c>
      <c r="DE132" s="496" t="str">
        <f t="shared" si="855"/>
        <v/>
      </c>
      <c r="DF132" s="494" t="str">
        <f t="shared" si="855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9"/>
        <v/>
      </c>
      <c r="ET132" s="494" t="str">
        <f t="shared" si="770"/>
        <v/>
      </c>
      <c r="EU132" s="495" t="str">
        <f t="shared" si="771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5"/>
        <v/>
      </c>
      <c r="FB132" s="494" t="str">
        <f t="shared" si="776"/>
        <v/>
      </c>
      <c r="FC132" s="497" t="str">
        <f t="shared" si="777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9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2"/>
        <v/>
      </c>
      <c r="GV132" s="343" t="str">
        <f t="shared" si="991"/>
        <v/>
      </c>
      <c r="GW132" s="345" t="str">
        <f t="shared" si="793"/>
        <v/>
      </c>
      <c r="GX132" s="346" t="str">
        <f t="shared" si="794"/>
        <v/>
      </c>
      <c r="GY132" s="344" t="str">
        <f t="shared" si="992"/>
        <v/>
      </c>
      <c r="GZ132" s="345" t="str">
        <f t="shared" si="993"/>
        <v/>
      </c>
      <c r="HA132" s="342" t="str">
        <f t="shared" si="797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8"/>
        <v/>
      </c>
      <c r="HF132" s="5" t="str">
        <f t="shared" si="799"/>
        <v/>
      </c>
      <c r="HG132" s="343" t="str">
        <f t="shared" si="996"/>
        <v/>
      </c>
      <c r="HH132" s="349" t="str">
        <f t="shared" si="997"/>
        <v/>
      </c>
      <c r="HI132" s="317" t="str">
        <f t="shared" si="800"/>
        <v/>
      </c>
      <c r="HK132" s="310" t="str">
        <f t="shared" si="851"/>
        <v/>
      </c>
      <c r="HL132" s="348" t="str">
        <f t="shared" si="801"/>
        <v/>
      </c>
      <c r="HM132" s="909" t="str">
        <f t="shared" si="802"/>
        <v/>
      </c>
      <c r="HN132" s="910" t="str">
        <f t="shared" si="803"/>
        <v/>
      </c>
      <c r="HO132" s="911"/>
      <c r="HP132" s="912"/>
      <c r="HQ132" s="910" t="str">
        <f t="shared" si="804"/>
        <v/>
      </c>
      <c r="HR132" s="913" t="str">
        <f t="shared" si="805"/>
        <v/>
      </c>
      <c r="HS132" s="865" t="str">
        <f t="shared" si="998"/>
        <v/>
      </c>
      <c r="HT132" s="875" t="str">
        <f t="shared" si="806"/>
        <v/>
      </c>
      <c r="HU132" s="876" t="str">
        <f t="shared" si="807"/>
        <v/>
      </c>
      <c r="HV132" s="872" t="str">
        <f t="shared" si="808"/>
        <v/>
      </c>
      <c r="HW132" s="866" t="str">
        <f t="shared" si="809"/>
        <v/>
      </c>
      <c r="HX132" s="867" t="str">
        <f t="shared" si="810"/>
        <v/>
      </c>
      <c r="HY132" s="866" t="str">
        <f t="shared" si="811"/>
        <v/>
      </c>
      <c r="HZ132" s="868" t="str">
        <f t="shared" si="812"/>
        <v/>
      </c>
      <c r="IA132" s="869" t="str">
        <f t="shared" si="813"/>
        <v/>
      </c>
      <c r="IB132" s="870" t="str">
        <f t="shared" si="814"/>
        <v/>
      </c>
      <c r="IC132" s="841" t="str">
        <f t="shared" si="815"/>
        <v/>
      </c>
      <c r="ID132" s="351" t="str">
        <f t="shared" si="816"/>
        <v/>
      </c>
      <c r="IE132" s="843" t="str">
        <f t="shared" si="817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2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18"/>
        <v/>
      </c>
      <c r="IM132" s="482" t="str">
        <f t="shared" si="733"/>
        <v/>
      </c>
      <c r="IN132" s="670" t="str">
        <f t="shared" si="819"/>
        <v/>
      </c>
      <c r="IO132" s="702"/>
      <c r="IP132" s="5" t="str">
        <f t="shared" si="820"/>
        <v/>
      </c>
      <c r="IQ132" s="714"/>
      <c r="IR132" s="9" t="str">
        <f t="shared" si="821"/>
        <v/>
      </c>
      <c r="IS132" s="5" t="str">
        <f t="shared" si="822"/>
        <v/>
      </c>
      <c r="IT132" s="5" t="str">
        <f t="shared" si="823"/>
        <v/>
      </c>
      <c r="IU132" s="5" t="str">
        <f t="shared" si="824"/>
        <v/>
      </c>
      <c r="IV132" s="670" t="str">
        <f t="shared" si="825"/>
        <v/>
      </c>
      <c r="IW132" s="9" t="str">
        <f t="shared" si="826"/>
        <v/>
      </c>
      <c r="IX132" s="5" t="str">
        <f t="shared" si="827"/>
        <v/>
      </c>
      <c r="IY132" s="5" t="str">
        <f t="shared" si="828"/>
        <v/>
      </c>
      <c r="IZ132" s="5" t="str">
        <f t="shared" si="829"/>
        <v/>
      </c>
      <c r="JA132" s="705" t="str">
        <f t="shared" si="830"/>
        <v/>
      </c>
    </row>
    <row r="133" spans="1:261" ht="15" customHeight="1" x14ac:dyDescent="0.25">
      <c r="A133" s="75" t="str">
        <f t="shared" si="737"/>
        <v/>
      </c>
      <c r="B133" s="585" t="str">
        <f t="shared" si="738"/>
        <v/>
      </c>
      <c r="C133" s="582" t="str">
        <f t="shared" si="739"/>
        <v/>
      </c>
      <c r="D133" s="583" t="str">
        <f t="shared" si="740"/>
        <v/>
      </c>
      <c r="E133" s="588" t="str">
        <f t="shared" si="741"/>
        <v/>
      </c>
      <c r="F133" s="582" t="str">
        <f t="shared" si="742"/>
        <v/>
      </c>
      <c r="G133" s="586" t="str">
        <f t="shared" si="743"/>
        <v/>
      </c>
      <c r="H133" s="588" t="str">
        <f t="shared" si="744"/>
        <v/>
      </c>
      <c r="I133" s="582" t="str">
        <f t="shared" si="745"/>
        <v/>
      </c>
      <c r="J133" s="491" t="str">
        <f t="shared" si="746"/>
        <v/>
      </c>
      <c r="K133" s="807" t="str">
        <f t="shared" si="747"/>
        <v/>
      </c>
      <c r="L133" s="309"/>
      <c r="M133" s="492" t="str">
        <f t="shared" si="748"/>
        <v/>
      </c>
      <c r="N133" s="581" t="str">
        <f t="shared" si="749"/>
        <v/>
      </c>
      <c r="O133" s="582" t="str">
        <f t="shared" si="750"/>
        <v/>
      </c>
      <c r="P133" s="583" t="str">
        <f t="shared" si="751"/>
        <v/>
      </c>
      <c r="Q133" s="536" t="str">
        <f t="shared" si="857"/>
        <v/>
      </c>
      <c r="R133" s="582" t="str">
        <f t="shared" si="858"/>
        <v/>
      </c>
      <c r="S133" s="584" t="str">
        <f t="shared" si="859"/>
        <v/>
      </c>
      <c r="T133" s="585" t="str">
        <f t="shared" si="860"/>
        <v/>
      </c>
      <c r="U133" s="582" t="str">
        <f t="shared" si="861"/>
        <v/>
      </c>
      <c r="V133" s="586" t="str">
        <f t="shared" si="862"/>
        <v/>
      </c>
      <c r="W133" s="536" t="str">
        <f t="shared" si="863"/>
        <v/>
      </c>
      <c r="X133" s="582" t="str">
        <f t="shared" si="864"/>
        <v/>
      </c>
      <c r="Y133" s="587" t="str">
        <f t="shared" si="865"/>
        <v/>
      </c>
      <c r="Z133" s="581" t="str">
        <f t="shared" si="752"/>
        <v/>
      </c>
      <c r="AA133" s="582" t="str">
        <f t="shared" si="753"/>
        <v/>
      </c>
      <c r="AB133" s="582" t="str">
        <f t="shared" si="754"/>
        <v/>
      </c>
      <c r="AC133" s="586" t="str">
        <f t="shared" si="866"/>
        <v/>
      </c>
      <c r="AD133" s="588" t="str">
        <f t="shared" si="867"/>
        <v/>
      </c>
      <c r="AE133" s="582" t="str">
        <f t="shared" si="868"/>
        <v/>
      </c>
      <c r="AF133" s="583" t="str">
        <f t="shared" si="869"/>
        <v/>
      </c>
      <c r="AG133" s="547" t="str">
        <f t="shared" si="870"/>
        <v/>
      </c>
      <c r="AH133" s="548" t="str">
        <f t="shared" si="871"/>
        <v/>
      </c>
      <c r="AI133" s="536" t="str">
        <f t="shared" si="872"/>
        <v/>
      </c>
      <c r="AJ133" s="537" t="str">
        <f t="shared" si="873"/>
        <v/>
      </c>
      <c r="AK133" s="585" t="str">
        <f t="shared" si="874"/>
        <v/>
      </c>
      <c r="AL133" s="582" t="str">
        <f t="shared" si="875"/>
        <v/>
      </c>
      <c r="AM133" s="584" t="str">
        <f t="shared" si="876"/>
        <v/>
      </c>
      <c r="AN133" s="534" t="str">
        <f t="shared" si="877"/>
        <v/>
      </c>
      <c r="AO133" s="535" t="str">
        <f t="shared" si="856"/>
        <v/>
      </c>
      <c r="AP133" s="536" t="str">
        <f t="shared" si="878"/>
        <v/>
      </c>
      <c r="AQ133" s="537" t="str">
        <f t="shared" si="755"/>
        <v/>
      </c>
      <c r="AS133" s="933" t="str">
        <f t="shared" si="853"/>
        <v/>
      </c>
      <c r="AT133" s="929" t="str">
        <f t="shared" si="756"/>
        <v/>
      </c>
      <c r="AU133" s="418"/>
      <c r="AV133" s="164" t="str">
        <f t="shared" si="757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9"/>
        <v/>
      </c>
      <c r="BA133" s="505" t="str">
        <f t="shared" si="880"/>
        <v/>
      </c>
      <c r="BB133" s="506" t="str">
        <f t="shared" si="611"/>
        <v/>
      </c>
      <c r="BC133" s="496"/>
      <c r="BD133" s="494" t="str">
        <f t="shared" si="881"/>
        <v/>
      </c>
      <c r="BE133" s="497" t="str">
        <f t="shared" si="759"/>
        <v/>
      </c>
      <c r="BF133" s="498" t="str">
        <f t="shared" si="760"/>
        <v/>
      </c>
      <c r="BG133" s="494" t="str">
        <f t="shared" si="761"/>
        <v/>
      </c>
      <c r="BH133" s="495" t="str">
        <f t="shared" si="762"/>
        <v/>
      </c>
      <c r="BI133" s="496" t="str">
        <f t="shared" si="882"/>
        <v/>
      </c>
      <c r="BJ133" s="494" t="str">
        <f t="shared" si="763"/>
        <v/>
      </c>
      <c r="BK133" s="499" t="str">
        <f t="shared" si="764"/>
        <v/>
      </c>
      <c r="BL133" s="502" t="str">
        <f t="shared" si="765"/>
        <v/>
      </c>
      <c r="BM133" s="494" t="str">
        <f t="shared" si="766"/>
        <v/>
      </c>
      <c r="BN133" s="497" t="str">
        <f t="shared" si="767"/>
        <v/>
      </c>
      <c r="BO133" s="498" t="str">
        <f t="shared" si="883"/>
        <v/>
      </c>
      <c r="BP133" s="494" t="str">
        <f t="shared" si="735"/>
        <v/>
      </c>
      <c r="BQ133" s="494" t="str">
        <f t="shared" si="884"/>
        <v/>
      </c>
      <c r="BR133" s="497" t="str">
        <f t="shared" si="885"/>
        <v/>
      </c>
      <c r="BS133" s="498" t="str">
        <f t="shared" si="850"/>
        <v/>
      </c>
      <c r="BT133" s="494" t="str">
        <f t="shared" si="850"/>
        <v/>
      </c>
      <c r="BU133" s="495" t="str">
        <f t="shared" si="614"/>
        <v/>
      </c>
      <c r="BV133" s="496" t="str">
        <f t="shared" si="615"/>
        <v/>
      </c>
      <c r="BW133" s="494" t="str">
        <f t="shared" si="616"/>
        <v/>
      </c>
      <c r="BX133" s="499" t="str">
        <f t="shared" si="617"/>
        <v/>
      </c>
      <c r="BY133" s="502" t="str">
        <f t="shared" si="618"/>
        <v/>
      </c>
      <c r="BZ133" s="494" t="str">
        <f t="shared" si="619"/>
        <v/>
      </c>
      <c r="CA133" s="497" t="str">
        <f t="shared" si="620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1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8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4"/>
        <v/>
      </c>
      <c r="DC133" s="494" t="str">
        <f t="shared" si="854"/>
        <v/>
      </c>
      <c r="DD133" s="495" t="str">
        <f t="shared" si="659"/>
        <v/>
      </c>
      <c r="DE133" s="496" t="str">
        <f t="shared" si="855"/>
        <v/>
      </c>
      <c r="DF133" s="494" t="str">
        <f t="shared" si="855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9"/>
        <v/>
      </c>
      <c r="ET133" s="494" t="str">
        <f t="shared" si="770"/>
        <v/>
      </c>
      <c r="EU133" s="495" t="str">
        <f t="shared" si="771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5"/>
        <v/>
      </c>
      <c r="FB133" s="494" t="str">
        <f t="shared" si="776"/>
        <v/>
      </c>
      <c r="FC133" s="497" t="str">
        <f t="shared" si="777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9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2"/>
        <v/>
      </c>
      <c r="GV133" s="343" t="str">
        <f t="shared" si="991"/>
        <v/>
      </c>
      <c r="GW133" s="345" t="str">
        <f t="shared" si="793"/>
        <v/>
      </c>
      <c r="GX133" s="346" t="str">
        <f t="shared" si="794"/>
        <v/>
      </c>
      <c r="GY133" s="344" t="str">
        <f t="shared" si="992"/>
        <v/>
      </c>
      <c r="GZ133" s="345" t="str">
        <f t="shared" si="993"/>
        <v/>
      </c>
      <c r="HA133" s="342" t="str">
        <f t="shared" si="797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8"/>
        <v/>
      </c>
      <c r="HF133" s="5" t="str">
        <f t="shared" si="799"/>
        <v/>
      </c>
      <c r="HG133" s="343" t="str">
        <f t="shared" si="996"/>
        <v/>
      </c>
      <c r="HH133" s="349" t="str">
        <f t="shared" si="997"/>
        <v/>
      </c>
      <c r="HI133" s="317" t="str">
        <f t="shared" si="800"/>
        <v/>
      </c>
      <c r="HK133" s="310" t="str">
        <f t="shared" si="851"/>
        <v/>
      </c>
      <c r="HL133" s="348" t="str">
        <f t="shared" si="801"/>
        <v/>
      </c>
      <c r="HM133" s="909" t="str">
        <f t="shared" si="802"/>
        <v/>
      </c>
      <c r="HN133" s="910" t="str">
        <f t="shared" si="803"/>
        <v/>
      </c>
      <c r="HO133" s="911"/>
      <c r="HP133" s="912"/>
      <c r="HQ133" s="910" t="str">
        <f t="shared" si="804"/>
        <v/>
      </c>
      <c r="HR133" s="913" t="str">
        <f t="shared" si="805"/>
        <v/>
      </c>
      <c r="HS133" s="865" t="str">
        <f t="shared" si="998"/>
        <v/>
      </c>
      <c r="HT133" s="875" t="str">
        <f t="shared" si="806"/>
        <v/>
      </c>
      <c r="HU133" s="876" t="str">
        <f t="shared" si="807"/>
        <v/>
      </c>
      <c r="HV133" s="872" t="str">
        <f t="shared" si="808"/>
        <v/>
      </c>
      <c r="HW133" s="866" t="str">
        <f t="shared" si="809"/>
        <v/>
      </c>
      <c r="HX133" s="867" t="str">
        <f t="shared" si="810"/>
        <v/>
      </c>
      <c r="HY133" s="866" t="str">
        <f t="shared" si="811"/>
        <v/>
      </c>
      <c r="HZ133" s="868" t="str">
        <f t="shared" si="812"/>
        <v/>
      </c>
      <c r="IA133" s="869" t="str">
        <f t="shared" si="813"/>
        <v/>
      </c>
      <c r="IB133" s="870" t="str">
        <f t="shared" si="814"/>
        <v/>
      </c>
      <c r="IC133" s="841" t="str">
        <f t="shared" si="815"/>
        <v/>
      </c>
      <c r="ID133" s="351" t="str">
        <f t="shared" si="816"/>
        <v/>
      </c>
      <c r="IE133" s="843" t="str">
        <f t="shared" si="817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2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18"/>
        <v/>
      </c>
      <c r="IM133" s="482" t="str">
        <f t="shared" si="733"/>
        <v/>
      </c>
      <c r="IN133" s="670" t="str">
        <f t="shared" si="819"/>
        <v/>
      </c>
      <c r="IO133" s="702"/>
      <c r="IP133" s="5" t="str">
        <f t="shared" si="820"/>
        <v/>
      </c>
      <c r="IQ133" s="714"/>
      <c r="IR133" s="9" t="str">
        <f t="shared" si="821"/>
        <v/>
      </c>
      <c r="IS133" s="5" t="str">
        <f t="shared" si="822"/>
        <v/>
      </c>
      <c r="IT133" s="5" t="str">
        <f t="shared" si="823"/>
        <v/>
      </c>
      <c r="IU133" s="5" t="str">
        <f t="shared" si="824"/>
        <v/>
      </c>
      <c r="IV133" s="670" t="str">
        <f t="shared" si="825"/>
        <v/>
      </c>
      <c r="IW133" s="9" t="str">
        <f t="shared" si="826"/>
        <v/>
      </c>
      <c r="IX133" s="5" t="str">
        <f t="shared" si="827"/>
        <v/>
      </c>
      <c r="IY133" s="5" t="str">
        <f t="shared" si="828"/>
        <v/>
      </c>
      <c r="IZ133" s="5" t="str">
        <f t="shared" si="829"/>
        <v/>
      </c>
      <c r="JA133" s="705" t="str">
        <f t="shared" si="830"/>
        <v/>
      </c>
    </row>
    <row r="134" spans="1:261" ht="15" customHeight="1" x14ac:dyDescent="0.25">
      <c r="A134" s="75" t="str">
        <f t="shared" si="737"/>
        <v/>
      </c>
      <c r="B134" s="585" t="str">
        <f t="shared" si="738"/>
        <v/>
      </c>
      <c r="C134" s="582" t="str">
        <f t="shared" si="739"/>
        <v/>
      </c>
      <c r="D134" s="583" t="str">
        <f t="shared" si="740"/>
        <v/>
      </c>
      <c r="E134" s="588" t="str">
        <f t="shared" si="741"/>
        <v/>
      </c>
      <c r="F134" s="582" t="str">
        <f t="shared" si="742"/>
        <v/>
      </c>
      <c r="G134" s="586" t="str">
        <f t="shared" si="743"/>
        <v/>
      </c>
      <c r="H134" s="588" t="str">
        <f t="shared" si="744"/>
        <v/>
      </c>
      <c r="I134" s="582" t="str">
        <f t="shared" si="745"/>
        <v/>
      </c>
      <c r="J134" s="491" t="str">
        <f t="shared" si="746"/>
        <v/>
      </c>
      <c r="K134" s="807" t="str">
        <f t="shared" si="747"/>
        <v/>
      </c>
      <c r="L134" s="309"/>
      <c r="M134" s="492" t="str">
        <f t="shared" si="748"/>
        <v/>
      </c>
      <c r="N134" s="581" t="str">
        <f t="shared" si="749"/>
        <v/>
      </c>
      <c r="O134" s="582" t="str">
        <f t="shared" si="750"/>
        <v/>
      </c>
      <c r="P134" s="583" t="str">
        <f t="shared" si="751"/>
        <v/>
      </c>
      <c r="Q134" s="536" t="str">
        <f t="shared" si="857"/>
        <v/>
      </c>
      <c r="R134" s="582" t="str">
        <f t="shared" si="858"/>
        <v/>
      </c>
      <c r="S134" s="584" t="str">
        <f t="shared" si="859"/>
        <v/>
      </c>
      <c r="T134" s="585" t="str">
        <f t="shared" si="860"/>
        <v/>
      </c>
      <c r="U134" s="582" t="str">
        <f t="shared" si="861"/>
        <v/>
      </c>
      <c r="V134" s="586" t="str">
        <f t="shared" si="862"/>
        <v/>
      </c>
      <c r="W134" s="536" t="str">
        <f t="shared" si="863"/>
        <v/>
      </c>
      <c r="X134" s="582" t="str">
        <f t="shared" si="864"/>
        <v/>
      </c>
      <c r="Y134" s="587" t="str">
        <f t="shared" si="865"/>
        <v/>
      </c>
      <c r="Z134" s="581" t="str">
        <f t="shared" si="752"/>
        <v/>
      </c>
      <c r="AA134" s="582" t="str">
        <f t="shared" si="753"/>
        <v/>
      </c>
      <c r="AB134" s="582" t="str">
        <f t="shared" si="754"/>
        <v/>
      </c>
      <c r="AC134" s="586" t="str">
        <f t="shared" si="866"/>
        <v/>
      </c>
      <c r="AD134" s="588" t="str">
        <f t="shared" si="867"/>
        <v/>
      </c>
      <c r="AE134" s="582" t="str">
        <f t="shared" si="868"/>
        <v/>
      </c>
      <c r="AF134" s="583" t="str">
        <f t="shared" si="869"/>
        <v/>
      </c>
      <c r="AG134" s="547" t="str">
        <f t="shared" si="870"/>
        <v/>
      </c>
      <c r="AH134" s="548" t="str">
        <f t="shared" si="871"/>
        <v/>
      </c>
      <c r="AI134" s="536" t="str">
        <f t="shared" si="872"/>
        <v/>
      </c>
      <c r="AJ134" s="537" t="str">
        <f t="shared" si="873"/>
        <v/>
      </c>
      <c r="AK134" s="585" t="str">
        <f t="shared" si="874"/>
        <v/>
      </c>
      <c r="AL134" s="582" t="str">
        <f t="shared" si="875"/>
        <v/>
      </c>
      <c r="AM134" s="584" t="str">
        <f t="shared" si="876"/>
        <v/>
      </c>
      <c r="AN134" s="534" t="str">
        <f t="shared" si="877"/>
        <v/>
      </c>
      <c r="AO134" s="535" t="str">
        <f t="shared" si="856"/>
        <v/>
      </c>
      <c r="AP134" s="536" t="str">
        <f t="shared" si="878"/>
        <v/>
      </c>
      <c r="AQ134" s="537" t="str">
        <f t="shared" si="755"/>
        <v/>
      </c>
      <c r="AS134" s="933" t="str">
        <f t="shared" si="853"/>
        <v/>
      </c>
      <c r="AT134" s="929" t="str">
        <f t="shared" si="756"/>
        <v/>
      </c>
      <c r="AU134" s="418"/>
      <c r="AV134" s="164" t="str">
        <f t="shared" si="757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9"/>
        <v/>
      </c>
      <c r="BA134" s="505" t="str">
        <f t="shared" si="880"/>
        <v/>
      </c>
      <c r="BB134" s="506" t="str">
        <f t="shared" si="611"/>
        <v/>
      </c>
      <c r="BC134" s="496"/>
      <c r="BD134" s="494" t="str">
        <f t="shared" si="881"/>
        <v/>
      </c>
      <c r="BE134" s="497" t="str">
        <f t="shared" si="759"/>
        <v/>
      </c>
      <c r="BF134" s="498" t="str">
        <f t="shared" si="760"/>
        <v/>
      </c>
      <c r="BG134" s="494" t="str">
        <f t="shared" si="761"/>
        <v/>
      </c>
      <c r="BH134" s="495" t="str">
        <f t="shared" si="762"/>
        <v/>
      </c>
      <c r="BI134" s="496" t="str">
        <f t="shared" si="882"/>
        <v/>
      </c>
      <c r="BJ134" s="494" t="str">
        <f t="shared" si="763"/>
        <v/>
      </c>
      <c r="BK134" s="499" t="str">
        <f t="shared" si="764"/>
        <v/>
      </c>
      <c r="BL134" s="502" t="str">
        <f t="shared" si="765"/>
        <v/>
      </c>
      <c r="BM134" s="494" t="str">
        <f t="shared" si="766"/>
        <v/>
      </c>
      <c r="BN134" s="497" t="str">
        <f t="shared" si="767"/>
        <v/>
      </c>
      <c r="BO134" s="498" t="str">
        <f t="shared" si="883"/>
        <v/>
      </c>
      <c r="BP134" s="494" t="str">
        <f t="shared" si="735"/>
        <v/>
      </c>
      <c r="BQ134" s="494" t="str">
        <f t="shared" si="884"/>
        <v/>
      </c>
      <c r="BR134" s="497" t="str">
        <f t="shared" si="885"/>
        <v/>
      </c>
      <c r="BS134" s="498" t="str">
        <f t="shared" si="850"/>
        <v/>
      </c>
      <c r="BT134" s="494" t="str">
        <f t="shared" si="850"/>
        <v/>
      </c>
      <c r="BU134" s="495" t="str">
        <f t="shared" si="614"/>
        <v/>
      </c>
      <c r="BV134" s="496" t="str">
        <f t="shared" si="615"/>
        <v/>
      </c>
      <c r="BW134" s="494" t="str">
        <f t="shared" si="616"/>
        <v/>
      </c>
      <c r="BX134" s="499" t="str">
        <f t="shared" si="617"/>
        <v/>
      </c>
      <c r="BY134" s="502" t="str">
        <f t="shared" si="618"/>
        <v/>
      </c>
      <c r="BZ134" s="494" t="str">
        <f t="shared" si="619"/>
        <v/>
      </c>
      <c r="CA134" s="497" t="str">
        <f t="shared" si="620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1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8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4"/>
        <v/>
      </c>
      <c r="DC134" s="494" t="str">
        <f t="shared" si="854"/>
        <v/>
      </c>
      <c r="DD134" s="495" t="str">
        <f t="shared" si="659"/>
        <v/>
      </c>
      <c r="DE134" s="496" t="str">
        <f t="shared" si="855"/>
        <v/>
      </c>
      <c r="DF134" s="494" t="str">
        <f t="shared" si="855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9"/>
        <v/>
      </c>
      <c r="ET134" s="494" t="str">
        <f t="shared" si="770"/>
        <v/>
      </c>
      <c r="EU134" s="495" t="str">
        <f t="shared" si="771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5"/>
        <v/>
      </c>
      <c r="FB134" s="494" t="str">
        <f t="shared" si="776"/>
        <v/>
      </c>
      <c r="FC134" s="497" t="str">
        <f t="shared" si="777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9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2"/>
        <v/>
      </c>
      <c r="GV134" s="343" t="str">
        <f t="shared" si="991"/>
        <v/>
      </c>
      <c r="GW134" s="345" t="str">
        <f t="shared" si="793"/>
        <v/>
      </c>
      <c r="GX134" s="346" t="str">
        <f t="shared" si="794"/>
        <v/>
      </c>
      <c r="GY134" s="344" t="str">
        <f t="shared" si="992"/>
        <v/>
      </c>
      <c r="GZ134" s="345" t="str">
        <f t="shared" si="993"/>
        <v/>
      </c>
      <c r="HA134" s="342" t="str">
        <f t="shared" si="797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8"/>
        <v/>
      </c>
      <c r="HF134" s="5" t="str">
        <f t="shared" si="799"/>
        <v/>
      </c>
      <c r="HG134" s="343" t="str">
        <f t="shared" si="996"/>
        <v/>
      </c>
      <c r="HH134" s="349" t="str">
        <f t="shared" si="997"/>
        <v/>
      </c>
      <c r="HI134" s="317" t="str">
        <f t="shared" si="800"/>
        <v/>
      </c>
      <c r="HK134" s="310" t="str">
        <f t="shared" si="851"/>
        <v/>
      </c>
      <c r="HL134" s="348" t="str">
        <f t="shared" si="801"/>
        <v/>
      </c>
      <c r="HM134" s="909" t="str">
        <f t="shared" si="802"/>
        <v/>
      </c>
      <c r="HN134" s="910" t="str">
        <f t="shared" si="803"/>
        <v/>
      </c>
      <c r="HO134" s="911"/>
      <c r="HP134" s="912"/>
      <c r="HQ134" s="910" t="str">
        <f t="shared" si="804"/>
        <v/>
      </c>
      <c r="HR134" s="913" t="str">
        <f t="shared" si="805"/>
        <v/>
      </c>
      <c r="HS134" s="865" t="str">
        <f t="shared" si="998"/>
        <v/>
      </c>
      <c r="HT134" s="875" t="str">
        <f t="shared" si="806"/>
        <v/>
      </c>
      <c r="HU134" s="876" t="str">
        <f t="shared" si="807"/>
        <v/>
      </c>
      <c r="HV134" s="872" t="str">
        <f t="shared" si="808"/>
        <v/>
      </c>
      <c r="HW134" s="866" t="str">
        <f t="shared" si="809"/>
        <v/>
      </c>
      <c r="HX134" s="867" t="str">
        <f t="shared" si="810"/>
        <v/>
      </c>
      <c r="HY134" s="866" t="str">
        <f t="shared" si="811"/>
        <v/>
      </c>
      <c r="HZ134" s="868" t="str">
        <f t="shared" si="812"/>
        <v/>
      </c>
      <c r="IA134" s="869" t="str">
        <f t="shared" si="813"/>
        <v/>
      </c>
      <c r="IB134" s="870" t="str">
        <f t="shared" si="814"/>
        <v/>
      </c>
      <c r="IC134" s="841" t="str">
        <f t="shared" si="815"/>
        <v/>
      </c>
      <c r="ID134" s="351" t="str">
        <f t="shared" si="816"/>
        <v/>
      </c>
      <c r="IE134" s="843" t="str">
        <f t="shared" si="817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2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18"/>
        <v/>
      </c>
      <c r="IM134" s="482" t="str">
        <f t="shared" si="733"/>
        <v/>
      </c>
      <c r="IN134" s="670" t="str">
        <f t="shared" si="819"/>
        <v/>
      </c>
      <c r="IO134" s="702"/>
      <c r="IP134" s="5" t="str">
        <f t="shared" si="820"/>
        <v/>
      </c>
      <c r="IQ134" s="714"/>
      <c r="IR134" s="9" t="str">
        <f t="shared" si="821"/>
        <v/>
      </c>
      <c r="IS134" s="5" t="str">
        <f t="shared" si="822"/>
        <v/>
      </c>
      <c r="IT134" s="5" t="str">
        <f t="shared" si="823"/>
        <v/>
      </c>
      <c r="IU134" s="5" t="str">
        <f t="shared" si="824"/>
        <v/>
      </c>
      <c r="IV134" s="670" t="str">
        <f t="shared" si="825"/>
        <v/>
      </c>
      <c r="IW134" s="9" t="str">
        <f t="shared" si="826"/>
        <v/>
      </c>
      <c r="IX134" s="5" t="str">
        <f t="shared" si="827"/>
        <v/>
      </c>
      <c r="IY134" s="5" t="str">
        <f t="shared" si="828"/>
        <v/>
      </c>
      <c r="IZ134" s="5" t="str">
        <f t="shared" si="829"/>
        <v/>
      </c>
      <c r="JA134" s="705" t="str">
        <f t="shared" si="830"/>
        <v/>
      </c>
    </row>
    <row r="135" spans="1:261" ht="15" customHeight="1" x14ac:dyDescent="0.25">
      <c r="A135" s="75" t="str">
        <f t="shared" si="737"/>
        <v/>
      </c>
      <c r="B135" s="585" t="str">
        <f t="shared" si="738"/>
        <v/>
      </c>
      <c r="C135" s="582" t="str">
        <f t="shared" si="739"/>
        <v/>
      </c>
      <c r="D135" s="583" t="str">
        <f t="shared" si="740"/>
        <v/>
      </c>
      <c r="E135" s="588" t="str">
        <f t="shared" si="741"/>
        <v/>
      </c>
      <c r="F135" s="582" t="str">
        <f t="shared" si="742"/>
        <v/>
      </c>
      <c r="G135" s="586" t="str">
        <f t="shared" si="743"/>
        <v/>
      </c>
      <c r="H135" s="588" t="str">
        <f t="shared" si="744"/>
        <v/>
      </c>
      <c r="I135" s="582" t="str">
        <f t="shared" si="745"/>
        <v/>
      </c>
      <c r="J135" s="491" t="str">
        <f t="shared" si="746"/>
        <v/>
      </c>
      <c r="K135" s="807" t="str">
        <f t="shared" si="747"/>
        <v/>
      </c>
      <c r="L135" s="309"/>
      <c r="M135" s="492" t="str">
        <f t="shared" si="748"/>
        <v/>
      </c>
      <c r="N135" s="581" t="str">
        <f t="shared" si="749"/>
        <v/>
      </c>
      <c r="O135" s="582" t="str">
        <f t="shared" si="750"/>
        <v/>
      </c>
      <c r="P135" s="583" t="str">
        <f t="shared" si="751"/>
        <v/>
      </c>
      <c r="Q135" s="536" t="str">
        <f t="shared" si="857"/>
        <v/>
      </c>
      <c r="R135" s="582" t="str">
        <f t="shared" si="858"/>
        <v/>
      </c>
      <c r="S135" s="584" t="str">
        <f t="shared" si="859"/>
        <v/>
      </c>
      <c r="T135" s="585" t="str">
        <f t="shared" si="860"/>
        <v/>
      </c>
      <c r="U135" s="582" t="str">
        <f t="shared" si="861"/>
        <v/>
      </c>
      <c r="V135" s="586" t="str">
        <f t="shared" si="862"/>
        <v/>
      </c>
      <c r="W135" s="536" t="str">
        <f t="shared" si="863"/>
        <v/>
      </c>
      <c r="X135" s="582" t="str">
        <f t="shared" si="864"/>
        <v/>
      </c>
      <c r="Y135" s="587" t="str">
        <f t="shared" si="865"/>
        <v/>
      </c>
      <c r="Z135" s="581" t="str">
        <f t="shared" si="752"/>
        <v/>
      </c>
      <c r="AA135" s="582" t="str">
        <f t="shared" si="753"/>
        <v/>
      </c>
      <c r="AB135" s="582" t="str">
        <f t="shared" si="754"/>
        <v/>
      </c>
      <c r="AC135" s="586" t="str">
        <f t="shared" si="866"/>
        <v/>
      </c>
      <c r="AD135" s="588" t="str">
        <f t="shared" si="867"/>
        <v/>
      </c>
      <c r="AE135" s="582" t="str">
        <f t="shared" si="868"/>
        <v/>
      </c>
      <c r="AF135" s="583" t="str">
        <f t="shared" si="869"/>
        <v/>
      </c>
      <c r="AG135" s="547" t="str">
        <f t="shared" si="870"/>
        <v/>
      </c>
      <c r="AH135" s="548" t="str">
        <f t="shared" si="871"/>
        <v/>
      </c>
      <c r="AI135" s="536" t="str">
        <f t="shared" si="872"/>
        <v/>
      </c>
      <c r="AJ135" s="537" t="str">
        <f t="shared" si="873"/>
        <v/>
      </c>
      <c r="AK135" s="585" t="str">
        <f t="shared" si="874"/>
        <v/>
      </c>
      <c r="AL135" s="582" t="str">
        <f t="shared" si="875"/>
        <v/>
      </c>
      <c r="AM135" s="584" t="str">
        <f t="shared" si="876"/>
        <v/>
      </c>
      <c r="AN135" s="534" t="str">
        <f t="shared" si="877"/>
        <v/>
      </c>
      <c r="AO135" s="535" t="str">
        <f t="shared" si="856"/>
        <v/>
      </c>
      <c r="AP135" s="536" t="str">
        <f t="shared" si="878"/>
        <v/>
      </c>
      <c r="AQ135" s="537" t="str">
        <f t="shared" si="755"/>
        <v/>
      </c>
      <c r="AS135" s="933" t="str">
        <f t="shared" si="853"/>
        <v/>
      </c>
      <c r="AT135" s="929" t="str">
        <f t="shared" si="756"/>
        <v/>
      </c>
      <c r="AU135" s="418"/>
      <c r="AV135" s="164" t="str">
        <f t="shared" si="757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9"/>
        <v/>
      </c>
      <c r="BA135" s="505" t="str">
        <f t="shared" si="880"/>
        <v/>
      </c>
      <c r="BB135" s="506" t="str">
        <f t="shared" si="611"/>
        <v/>
      </c>
      <c r="BC135" s="496"/>
      <c r="BD135" s="494" t="str">
        <f t="shared" si="881"/>
        <v/>
      </c>
      <c r="BE135" s="497" t="str">
        <f t="shared" si="759"/>
        <v/>
      </c>
      <c r="BF135" s="498" t="str">
        <f t="shared" si="760"/>
        <v/>
      </c>
      <c r="BG135" s="494" t="str">
        <f t="shared" si="761"/>
        <v/>
      </c>
      <c r="BH135" s="495" t="str">
        <f t="shared" si="762"/>
        <v/>
      </c>
      <c r="BI135" s="496" t="str">
        <f t="shared" si="882"/>
        <v/>
      </c>
      <c r="BJ135" s="494" t="str">
        <f t="shared" si="763"/>
        <v/>
      </c>
      <c r="BK135" s="499" t="str">
        <f t="shared" si="764"/>
        <v/>
      </c>
      <c r="BL135" s="502" t="str">
        <f t="shared" si="765"/>
        <v/>
      </c>
      <c r="BM135" s="494" t="str">
        <f t="shared" si="766"/>
        <v/>
      </c>
      <c r="BN135" s="497" t="str">
        <f t="shared" si="767"/>
        <v/>
      </c>
      <c r="BO135" s="498" t="str">
        <f t="shared" si="883"/>
        <v/>
      </c>
      <c r="BP135" s="494" t="str">
        <f t="shared" si="735"/>
        <v/>
      </c>
      <c r="BQ135" s="494" t="str">
        <f t="shared" si="884"/>
        <v/>
      </c>
      <c r="BR135" s="497" t="str">
        <f t="shared" si="885"/>
        <v/>
      </c>
      <c r="BS135" s="498" t="str">
        <f t="shared" si="850"/>
        <v/>
      </c>
      <c r="BT135" s="494" t="str">
        <f t="shared" si="850"/>
        <v/>
      </c>
      <c r="BU135" s="495" t="str">
        <f t="shared" si="614"/>
        <v/>
      </c>
      <c r="BV135" s="496" t="str">
        <f t="shared" si="615"/>
        <v/>
      </c>
      <c r="BW135" s="494" t="str">
        <f t="shared" si="616"/>
        <v/>
      </c>
      <c r="BX135" s="499" t="str">
        <f t="shared" si="617"/>
        <v/>
      </c>
      <c r="BY135" s="502" t="str">
        <f t="shared" si="618"/>
        <v/>
      </c>
      <c r="BZ135" s="494" t="str">
        <f t="shared" si="619"/>
        <v/>
      </c>
      <c r="CA135" s="497" t="str">
        <f t="shared" si="620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1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8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4"/>
        <v/>
      </c>
      <c r="DC135" s="494" t="str">
        <f t="shared" si="854"/>
        <v/>
      </c>
      <c r="DD135" s="495" t="str">
        <f t="shared" si="659"/>
        <v/>
      </c>
      <c r="DE135" s="496" t="str">
        <f t="shared" si="855"/>
        <v/>
      </c>
      <c r="DF135" s="494" t="str">
        <f t="shared" si="855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9"/>
        <v/>
      </c>
      <c r="ET135" s="494" t="str">
        <f t="shared" si="770"/>
        <v/>
      </c>
      <c r="EU135" s="495" t="str">
        <f t="shared" si="771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5"/>
        <v/>
      </c>
      <c r="FB135" s="494" t="str">
        <f t="shared" si="776"/>
        <v/>
      </c>
      <c r="FC135" s="497" t="str">
        <f t="shared" si="777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9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2"/>
        <v/>
      </c>
      <c r="GV135" s="343" t="str">
        <f t="shared" si="991"/>
        <v/>
      </c>
      <c r="GW135" s="345" t="str">
        <f t="shared" si="793"/>
        <v/>
      </c>
      <c r="GX135" s="346" t="str">
        <f t="shared" si="794"/>
        <v/>
      </c>
      <c r="GY135" s="344" t="str">
        <f t="shared" si="992"/>
        <v/>
      </c>
      <c r="GZ135" s="345" t="str">
        <f t="shared" si="993"/>
        <v/>
      </c>
      <c r="HA135" s="342" t="str">
        <f t="shared" si="797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8"/>
        <v/>
      </c>
      <c r="HF135" s="5" t="str">
        <f t="shared" si="799"/>
        <v/>
      </c>
      <c r="HG135" s="343" t="str">
        <f t="shared" si="996"/>
        <v/>
      </c>
      <c r="HH135" s="349" t="str">
        <f t="shared" si="997"/>
        <v/>
      </c>
      <c r="HI135" s="317" t="str">
        <f t="shared" si="800"/>
        <v/>
      </c>
      <c r="HK135" s="310" t="str">
        <f t="shared" si="851"/>
        <v/>
      </c>
      <c r="HL135" s="348" t="str">
        <f t="shared" si="801"/>
        <v/>
      </c>
      <c r="HM135" s="909" t="str">
        <f t="shared" si="802"/>
        <v/>
      </c>
      <c r="HN135" s="910" t="str">
        <f t="shared" si="803"/>
        <v/>
      </c>
      <c r="HO135" s="911"/>
      <c r="HP135" s="912"/>
      <c r="HQ135" s="910" t="str">
        <f t="shared" si="804"/>
        <v/>
      </c>
      <c r="HR135" s="913" t="str">
        <f t="shared" si="805"/>
        <v/>
      </c>
      <c r="HS135" s="865" t="str">
        <f t="shared" si="998"/>
        <v/>
      </c>
      <c r="HT135" s="875" t="str">
        <f t="shared" si="806"/>
        <v/>
      </c>
      <c r="HU135" s="876" t="str">
        <f t="shared" si="807"/>
        <v/>
      </c>
      <c r="HV135" s="872" t="str">
        <f t="shared" si="808"/>
        <v/>
      </c>
      <c r="HW135" s="866" t="str">
        <f t="shared" si="809"/>
        <v/>
      </c>
      <c r="HX135" s="867" t="str">
        <f t="shared" si="810"/>
        <v/>
      </c>
      <c r="HY135" s="866" t="str">
        <f t="shared" si="811"/>
        <v/>
      </c>
      <c r="HZ135" s="868" t="str">
        <f t="shared" si="812"/>
        <v/>
      </c>
      <c r="IA135" s="869" t="str">
        <f t="shared" si="813"/>
        <v/>
      </c>
      <c r="IB135" s="870" t="str">
        <f t="shared" si="814"/>
        <v/>
      </c>
      <c r="IC135" s="841" t="str">
        <f t="shared" si="815"/>
        <v/>
      </c>
      <c r="ID135" s="351" t="str">
        <f t="shared" si="816"/>
        <v/>
      </c>
      <c r="IE135" s="843" t="str">
        <f t="shared" si="817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2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18"/>
        <v/>
      </c>
      <c r="IM135" s="482" t="str">
        <f t="shared" si="733"/>
        <v/>
      </c>
      <c r="IN135" s="670" t="str">
        <f t="shared" si="819"/>
        <v/>
      </c>
      <c r="IO135" s="702"/>
      <c r="IP135" s="5" t="str">
        <f t="shared" si="820"/>
        <v/>
      </c>
      <c r="IQ135" s="714"/>
      <c r="IR135" s="9" t="str">
        <f t="shared" si="821"/>
        <v/>
      </c>
      <c r="IS135" s="5" t="str">
        <f t="shared" si="822"/>
        <v/>
      </c>
      <c r="IT135" s="5" t="str">
        <f t="shared" si="823"/>
        <v/>
      </c>
      <c r="IU135" s="5" t="str">
        <f t="shared" si="824"/>
        <v/>
      </c>
      <c r="IV135" s="670" t="str">
        <f t="shared" si="825"/>
        <v/>
      </c>
      <c r="IW135" s="9" t="str">
        <f t="shared" si="826"/>
        <v/>
      </c>
      <c r="IX135" s="5" t="str">
        <f t="shared" si="827"/>
        <v/>
      </c>
      <c r="IY135" s="5" t="str">
        <f t="shared" si="828"/>
        <v/>
      </c>
      <c r="IZ135" s="5" t="str">
        <f t="shared" si="829"/>
        <v/>
      </c>
      <c r="JA135" s="705" t="str">
        <f t="shared" si="830"/>
        <v/>
      </c>
    </row>
    <row r="136" spans="1:261" ht="15" customHeight="1" x14ac:dyDescent="0.25">
      <c r="A136" s="75" t="str">
        <f t="shared" si="737"/>
        <v/>
      </c>
      <c r="B136" s="585" t="str">
        <f t="shared" si="738"/>
        <v/>
      </c>
      <c r="C136" s="582" t="str">
        <f t="shared" si="739"/>
        <v/>
      </c>
      <c r="D136" s="583" t="str">
        <f t="shared" si="740"/>
        <v/>
      </c>
      <c r="E136" s="588" t="str">
        <f t="shared" si="741"/>
        <v/>
      </c>
      <c r="F136" s="582" t="str">
        <f t="shared" si="742"/>
        <v/>
      </c>
      <c r="G136" s="586" t="str">
        <f t="shared" si="743"/>
        <v/>
      </c>
      <c r="H136" s="588" t="str">
        <f t="shared" si="744"/>
        <v/>
      </c>
      <c r="I136" s="582" t="str">
        <f t="shared" si="745"/>
        <v/>
      </c>
      <c r="J136" s="491" t="str">
        <f t="shared" si="746"/>
        <v/>
      </c>
      <c r="K136" s="807" t="str">
        <f t="shared" si="747"/>
        <v/>
      </c>
      <c r="L136" s="309"/>
      <c r="M136" s="492" t="str">
        <f t="shared" si="748"/>
        <v/>
      </c>
      <c r="N136" s="581" t="str">
        <f t="shared" si="749"/>
        <v/>
      </c>
      <c r="O136" s="582" t="str">
        <f t="shared" si="750"/>
        <v/>
      </c>
      <c r="P136" s="583" t="str">
        <f t="shared" si="751"/>
        <v/>
      </c>
      <c r="Q136" s="536" t="str">
        <f t="shared" si="857"/>
        <v/>
      </c>
      <c r="R136" s="582" t="str">
        <f t="shared" si="858"/>
        <v/>
      </c>
      <c r="S136" s="584" t="str">
        <f t="shared" si="859"/>
        <v/>
      </c>
      <c r="T136" s="585" t="str">
        <f t="shared" si="860"/>
        <v/>
      </c>
      <c r="U136" s="582" t="str">
        <f t="shared" si="861"/>
        <v/>
      </c>
      <c r="V136" s="586" t="str">
        <f t="shared" si="862"/>
        <v/>
      </c>
      <c r="W136" s="536" t="str">
        <f t="shared" si="863"/>
        <v/>
      </c>
      <c r="X136" s="582" t="str">
        <f t="shared" si="864"/>
        <v/>
      </c>
      <c r="Y136" s="587" t="str">
        <f t="shared" si="865"/>
        <v/>
      </c>
      <c r="Z136" s="581" t="str">
        <f t="shared" si="752"/>
        <v/>
      </c>
      <c r="AA136" s="582" t="str">
        <f t="shared" si="753"/>
        <v/>
      </c>
      <c r="AB136" s="582" t="str">
        <f t="shared" si="754"/>
        <v/>
      </c>
      <c r="AC136" s="586" t="str">
        <f t="shared" si="866"/>
        <v/>
      </c>
      <c r="AD136" s="588" t="str">
        <f t="shared" si="867"/>
        <v/>
      </c>
      <c r="AE136" s="582" t="str">
        <f t="shared" si="868"/>
        <v/>
      </c>
      <c r="AF136" s="583" t="str">
        <f t="shared" si="869"/>
        <v/>
      </c>
      <c r="AG136" s="547" t="str">
        <f t="shared" si="870"/>
        <v/>
      </c>
      <c r="AH136" s="548" t="str">
        <f t="shared" si="871"/>
        <v/>
      </c>
      <c r="AI136" s="536" t="str">
        <f t="shared" si="872"/>
        <v/>
      </c>
      <c r="AJ136" s="537" t="str">
        <f t="shared" si="873"/>
        <v/>
      </c>
      <c r="AK136" s="585" t="str">
        <f t="shared" si="874"/>
        <v/>
      </c>
      <c r="AL136" s="582" t="str">
        <f t="shared" si="875"/>
        <v/>
      </c>
      <c r="AM136" s="584" t="str">
        <f t="shared" si="876"/>
        <v/>
      </c>
      <c r="AN136" s="534" t="str">
        <f t="shared" si="877"/>
        <v/>
      </c>
      <c r="AO136" s="535" t="str">
        <f t="shared" si="856"/>
        <v/>
      </c>
      <c r="AP136" s="536" t="str">
        <f t="shared" si="878"/>
        <v/>
      </c>
      <c r="AQ136" s="537" t="str">
        <f t="shared" si="755"/>
        <v/>
      </c>
      <c r="AS136" s="933" t="str">
        <f t="shared" si="853"/>
        <v/>
      </c>
      <c r="AT136" s="929" t="str">
        <f t="shared" si="756"/>
        <v/>
      </c>
      <c r="AU136" s="418"/>
      <c r="AV136" s="164" t="str">
        <f t="shared" si="757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9"/>
        <v/>
      </c>
      <c r="BA136" s="505" t="str">
        <f t="shared" si="880"/>
        <v/>
      </c>
      <c r="BB136" s="506" t="str">
        <f t="shared" si="611"/>
        <v/>
      </c>
      <c r="BC136" s="496"/>
      <c r="BD136" s="494" t="str">
        <f t="shared" si="881"/>
        <v/>
      </c>
      <c r="BE136" s="497" t="str">
        <f t="shared" si="759"/>
        <v/>
      </c>
      <c r="BF136" s="498" t="str">
        <f t="shared" si="760"/>
        <v/>
      </c>
      <c r="BG136" s="494" t="str">
        <f t="shared" si="761"/>
        <v/>
      </c>
      <c r="BH136" s="495" t="str">
        <f t="shared" si="762"/>
        <v/>
      </c>
      <c r="BI136" s="496" t="str">
        <f t="shared" si="882"/>
        <v/>
      </c>
      <c r="BJ136" s="494" t="str">
        <f t="shared" si="763"/>
        <v/>
      </c>
      <c r="BK136" s="499" t="str">
        <f t="shared" si="764"/>
        <v/>
      </c>
      <c r="BL136" s="502" t="str">
        <f t="shared" si="765"/>
        <v/>
      </c>
      <c r="BM136" s="494" t="str">
        <f t="shared" si="766"/>
        <v/>
      </c>
      <c r="BN136" s="497" t="str">
        <f t="shared" si="767"/>
        <v/>
      </c>
      <c r="BO136" s="498" t="str">
        <f t="shared" si="883"/>
        <v/>
      </c>
      <c r="BP136" s="494" t="str">
        <f t="shared" si="735"/>
        <v/>
      </c>
      <c r="BQ136" s="494" t="str">
        <f t="shared" si="884"/>
        <v/>
      </c>
      <c r="BR136" s="497" t="str">
        <f t="shared" si="885"/>
        <v/>
      </c>
      <c r="BS136" s="498" t="str">
        <f t="shared" si="850"/>
        <v/>
      </c>
      <c r="BT136" s="494" t="str">
        <f t="shared" si="850"/>
        <v/>
      </c>
      <c r="BU136" s="495" t="str">
        <f t="shared" si="614"/>
        <v/>
      </c>
      <c r="BV136" s="496" t="str">
        <f t="shared" si="615"/>
        <v/>
      </c>
      <c r="BW136" s="494" t="str">
        <f t="shared" si="616"/>
        <v/>
      </c>
      <c r="BX136" s="499" t="str">
        <f t="shared" si="617"/>
        <v/>
      </c>
      <c r="BY136" s="502" t="str">
        <f t="shared" si="618"/>
        <v/>
      </c>
      <c r="BZ136" s="494" t="str">
        <f t="shared" si="619"/>
        <v/>
      </c>
      <c r="CA136" s="497" t="str">
        <f t="shared" si="620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1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8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4"/>
        <v/>
      </c>
      <c r="DC136" s="494" t="str">
        <f t="shared" si="854"/>
        <v/>
      </c>
      <c r="DD136" s="495" t="str">
        <f t="shared" si="659"/>
        <v/>
      </c>
      <c r="DE136" s="496" t="str">
        <f t="shared" si="855"/>
        <v/>
      </c>
      <c r="DF136" s="494" t="str">
        <f t="shared" si="855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9"/>
        <v/>
      </c>
      <c r="ET136" s="494" t="str">
        <f t="shared" si="770"/>
        <v/>
      </c>
      <c r="EU136" s="495" t="str">
        <f t="shared" si="771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5"/>
        <v/>
      </c>
      <c r="FB136" s="494" t="str">
        <f t="shared" si="776"/>
        <v/>
      </c>
      <c r="FC136" s="497" t="str">
        <f t="shared" si="777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9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2"/>
        <v/>
      </c>
      <c r="GV136" s="343" t="str">
        <f t="shared" si="991"/>
        <v/>
      </c>
      <c r="GW136" s="345" t="str">
        <f t="shared" si="793"/>
        <v/>
      </c>
      <c r="GX136" s="346" t="str">
        <f t="shared" si="794"/>
        <v/>
      </c>
      <c r="GY136" s="344" t="str">
        <f t="shared" si="992"/>
        <v/>
      </c>
      <c r="GZ136" s="345" t="str">
        <f t="shared" si="993"/>
        <v/>
      </c>
      <c r="HA136" s="342" t="str">
        <f t="shared" si="797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8"/>
        <v/>
      </c>
      <c r="HF136" s="5" t="str">
        <f t="shared" si="799"/>
        <v/>
      </c>
      <c r="HG136" s="343" t="str">
        <f t="shared" si="996"/>
        <v/>
      </c>
      <c r="HH136" s="349" t="str">
        <f t="shared" si="997"/>
        <v/>
      </c>
      <c r="HI136" s="317" t="str">
        <f t="shared" si="800"/>
        <v/>
      </c>
      <c r="HK136" s="310" t="str">
        <f t="shared" si="851"/>
        <v/>
      </c>
      <c r="HL136" s="348" t="str">
        <f t="shared" si="801"/>
        <v/>
      </c>
      <c r="HM136" s="909" t="str">
        <f t="shared" si="802"/>
        <v/>
      </c>
      <c r="HN136" s="910" t="str">
        <f t="shared" si="803"/>
        <v/>
      </c>
      <c r="HO136" s="911"/>
      <c r="HP136" s="912"/>
      <c r="HQ136" s="910" t="str">
        <f t="shared" si="804"/>
        <v/>
      </c>
      <c r="HR136" s="913" t="str">
        <f t="shared" si="805"/>
        <v/>
      </c>
      <c r="HS136" s="865" t="str">
        <f t="shared" si="998"/>
        <v/>
      </c>
      <c r="HT136" s="875" t="str">
        <f t="shared" si="806"/>
        <v/>
      </c>
      <c r="HU136" s="876" t="str">
        <f t="shared" si="807"/>
        <v/>
      </c>
      <c r="HV136" s="872" t="str">
        <f t="shared" si="808"/>
        <v/>
      </c>
      <c r="HW136" s="866" t="str">
        <f t="shared" si="809"/>
        <v/>
      </c>
      <c r="HX136" s="867" t="str">
        <f t="shared" si="810"/>
        <v/>
      </c>
      <c r="HY136" s="866" t="str">
        <f t="shared" si="811"/>
        <v/>
      </c>
      <c r="HZ136" s="868" t="str">
        <f t="shared" si="812"/>
        <v/>
      </c>
      <c r="IA136" s="869" t="str">
        <f t="shared" si="813"/>
        <v/>
      </c>
      <c r="IB136" s="870" t="str">
        <f t="shared" si="814"/>
        <v/>
      </c>
      <c r="IC136" s="841" t="str">
        <f t="shared" si="815"/>
        <v/>
      </c>
      <c r="ID136" s="351" t="str">
        <f t="shared" si="816"/>
        <v/>
      </c>
      <c r="IE136" s="843" t="str">
        <f t="shared" si="817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2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18"/>
        <v/>
      </c>
      <c r="IM136" s="482" t="str">
        <f t="shared" si="733"/>
        <v/>
      </c>
      <c r="IN136" s="670" t="str">
        <f t="shared" si="819"/>
        <v/>
      </c>
      <c r="IO136" s="702"/>
      <c r="IP136" s="5" t="str">
        <f t="shared" si="820"/>
        <v/>
      </c>
      <c r="IQ136" s="714"/>
      <c r="IR136" s="9" t="str">
        <f t="shared" si="821"/>
        <v/>
      </c>
      <c r="IS136" s="5" t="str">
        <f t="shared" si="822"/>
        <v/>
      </c>
      <c r="IT136" s="5" t="str">
        <f t="shared" si="823"/>
        <v/>
      </c>
      <c r="IU136" s="5" t="str">
        <f t="shared" si="824"/>
        <v/>
      </c>
      <c r="IV136" s="670" t="str">
        <f t="shared" si="825"/>
        <v/>
      </c>
      <c r="IW136" s="9" t="str">
        <f t="shared" si="826"/>
        <v/>
      </c>
      <c r="IX136" s="5" t="str">
        <f t="shared" si="827"/>
        <v/>
      </c>
      <c r="IY136" s="5" t="str">
        <f t="shared" si="828"/>
        <v/>
      </c>
      <c r="IZ136" s="5" t="str">
        <f t="shared" si="829"/>
        <v/>
      </c>
      <c r="JA136" s="705" t="str">
        <f t="shared" si="830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585" t="str">
        <f t="shared" ref="B137:B150" si="1000">IFERROR(Q292+($A137*-E137),"")</f>
        <v/>
      </c>
      <c r="C137" s="582" t="str">
        <f t="shared" ref="C137:C150" si="1001">IFERROR(R292+($A137*-F137),"")</f>
        <v/>
      </c>
      <c r="D137" s="583" t="str">
        <f t="shared" ref="D137:D150" si="1002">IFERROR(S292+($A137*-G137),"")</f>
        <v/>
      </c>
      <c r="E137" s="588" t="str">
        <f t="shared" ref="E137:E150" si="1003">T292</f>
        <v/>
      </c>
      <c r="F137" s="582" t="str">
        <f t="shared" ref="F137:F150" si="1004">U292</f>
        <v/>
      </c>
      <c r="G137" s="586" t="str">
        <f t="shared" ref="G137:G150" si="1005">V292</f>
        <v/>
      </c>
      <c r="H137" s="588" t="str">
        <f t="shared" ref="H137:H150" si="1006">W292</f>
        <v/>
      </c>
      <c r="I137" s="582" t="str">
        <f t="shared" ref="I137:I150" si="1007">X292</f>
        <v/>
      </c>
      <c r="J137" s="491" t="str">
        <f t="shared" ref="J137:J150" si="1008">IF(Y292=0,"",Y292)</f>
        <v/>
      </c>
      <c r="K137" s="807" t="str">
        <f t="shared" ref="K137:K150" si="1009">Z292</f>
        <v/>
      </c>
      <c r="L137" s="309"/>
      <c r="M137" s="492" t="str">
        <f t="shared" ref="M137:M150" si="1010">IF(J137="","",VALUE(J137))</f>
        <v/>
      </c>
      <c r="N137" s="581" t="str">
        <f t="shared" ref="N137:N150" si="1011">IF(M137="","",B137)</f>
        <v/>
      </c>
      <c r="O137" s="582" t="str">
        <f t="shared" ref="O137:O150" si="1012">IF(M137="","",C137)</f>
        <v/>
      </c>
      <c r="P137" s="583" t="str">
        <f t="shared" ref="P137:P150" si="1013">IF(M137="","",D137)</f>
        <v/>
      </c>
      <c r="Q137" s="536" t="str">
        <f t="shared" si="857"/>
        <v/>
      </c>
      <c r="R137" s="582" t="str">
        <f t="shared" si="858"/>
        <v/>
      </c>
      <c r="S137" s="584" t="str">
        <f t="shared" si="859"/>
        <v/>
      </c>
      <c r="T137" s="585" t="str">
        <f t="shared" si="860"/>
        <v/>
      </c>
      <c r="U137" s="582" t="str">
        <f t="shared" si="861"/>
        <v/>
      </c>
      <c r="V137" s="586" t="str">
        <f t="shared" si="862"/>
        <v/>
      </c>
      <c r="W137" s="536" t="str">
        <f t="shared" si="863"/>
        <v/>
      </c>
      <c r="X137" s="582" t="str">
        <f t="shared" si="864"/>
        <v/>
      </c>
      <c r="Y137" s="587" t="str">
        <f t="shared" si="865"/>
        <v/>
      </c>
      <c r="Z137" s="581" t="str">
        <f t="shared" ref="Z137:Z150" si="1014">IF(M137="","",-E137)</f>
        <v/>
      </c>
      <c r="AA137" s="582" t="str">
        <f t="shared" ref="AA137:AA150" si="1015">IF(M137="","",-F137)</f>
        <v/>
      </c>
      <c r="AB137" s="582" t="str">
        <f t="shared" ref="AB137:AB150" si="1016">IF(M137="","",-G137)</f>
        <v/>
      </c>
      <c r="AC137" s="586" t="str">
        <f t="shared" si="866"/>
        <v/>
      </c>
      <c r="AD137" s="588" t="str">
        <f t="shared" si="867"/>
        <v/>
      </c>
      <c r="AE137" s="582" t="str">
        <f t="shared" si="868"/>
        <v/>
      </c>
      <c r="AF137" s="583" t="str">
        <f t="shared" si="869"/>
        <v/>
      </c>
      <c r="AG137" s="547" t="str">
        <f t="shared" si="870"/>
        <v/>
      </c>
      <c r="AH137" s="548" t="str">
        <f t="shared" si="871"/>
        <v/>
      </c>
      <c r="AI137" s="536" t="str">
        <f t="shared" si="872"/>
        <v/>
      </c>
      <c r="AJ137" s="537" t="str">
        <f t="shared" si="873"/>
        <v/>
      </c>
      <c r="AK137" s="585" t="str">
        <f t="shared" si="874"/>
        <v/>
      </c>
      <c r="AL137" s="582" t="str">
        <f t="shared" si="875"/>
        <v/>
      </c>
      <c r="AM137" s="584" t="str">
        <f t="shared" si="876"/>
        <v/>
      </c>
      <c r="AN137" s="534" t="str">
        <f t="shared" si="877"/>
        <v/>
      </c>
      <c r="AO137" s="535" t="str">
        <f t="shared" si="856"/>
        <v/>
      </c>
      <c r="AP137" s="536" t="str">
        <f t="shared" si="878"/>
        <v/>
      </c>
      <c r="AQ137" s="537" t="str">
        <f t="shared" ref="AQ137:AQ150" si="1017">IF(M137="","",DEGREES(ATAN(($AS$5*SIN(RADIANS(90)))/(($X137*2*PI())-($AS$5*COS(RADIANS(90)))))))</f>
        <v/>
      </c>
      <c r="AS137" s="933" t="str">
        <f t="shared" si="853"/>
        <v/>
      </c>
      <c r="AT137" s="929" t="str">
        <f t="shared" ref="AT137:AT150" si="1018">IF(M137="","",Y137+(((AS137-$AS$9)*$AS$6)*-1))</f>
        <v/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9"/>
        <v/>
      </c>
      <c r="BA137" s="505" t="str">
        <f t="shared" si="880"/>
        <v/>
      </c>
      <c r="BB137" s="506" t="str">
        <f t="shared" si="611"/>
        <v/>
      </c>
      <c r="BC137" s="496"/>
      <c r="BD137" s="494" t="str">
        <f t="shared" si="881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2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3"/>
        <v/>
      </c>
      <c r="BP137" s="494" t="str">
        <f t="shared" si="735"/>
        <v/>
      </c>
      <c r="BQ137" s="494" t="str">
        <f t="shared" si="884"/>
        <v/>
      </c>
      <c r="BR137" s="497" t="str">
        <f t="shared" si="885"/>
        <v/>
      </c>
      <c r="BS137" s="498" t="str">
        <f t="shared" si="850"/>
        <v/>
      </c>
      <c r="BT137" s="494" t="str">
        <f t="shared" si="850"/>
        <v/>
      </c>
      <c r="BU137" s="495" t="str">
        <f t="shared" si="614"/>
        <v/>
      </c>
      <c r="BV137" s="496" t="str">
        <f t="shared" si="615"/>
        <v/>
      </c>
      <c r="BW137" s="494" t="str">
        <f t="shared" si="616"/>
        <v/>
      </c>
      <c r="BX137" s="499" t="str">
        <f t="shared" si="617"/>
        <v/>
      </c>
      <c r="BY137" s="502" t="str">
        <f t="shared" si="618"/>
        <v/>
      </c>
      <c r="BZ137" s="494" t="str">
        <f t="shared" si="619"/>
        <v/>
      </c>
      <c r="CA137" s="497" t="str">
        <f t="shared" si="620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1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4"/>
        <v/>
      </c>
      <c r="DC137" s="494" t="str">
        <f t="shared" si="854"/>
        <v/>
      </c>
      <c r="DD137" s="495" t="str">
        <f t="shared" si="659"/>
        <v/>
      </c>
      <c r="DE137" s="496" t="str">
        <f t="shared" si="855"/>
        <v/>
      </c>
      <c r="DF137" s="494" t="str">
        <f t="shared" si="855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5"/>
        <v/>
      </c>
      <c r="FB137" s="494" t="str">
        <f t="shared" si="776"/>
        <v/>
      </c>
      <c r="FC137" s="497" t="str">
        <f t="shared" si="777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9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2"/>
        <v/>
      </c>
      <c r="GV137" s="343" t="str">
        <f t="shared" si="991"/>
        <v/>
      </c>
      <c r="GW137" s="345" t="str">
        <f t="shared" si="793"/>
        <v/>
      </c>
      <c r="GX137" s="346" t="str">
        <f t="shared" si="794"/>
        <v/>
      </c>
      <c r="GY137" s="344" t="str">
        <f t="shared" si="992"/>
        <v/>
      </c>
      <c r="GZ137" s="345" t="str">
        <f t="shared" si="993"/>
        <v/>
      </c>
      <c r="HA137" s="342" t="str">
        <f t="shared" si="797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8"/>
        <v/>
      </c>
      <c r="HF137" s="5" t="str">
        <f t="shared" si="799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1"/>
        <v/>
      </c>
      <c r="HL137" s="348" t="str">
        <f t="shared" ref="HL137:HL150" si="1034">IF(ISNUMBER($HS137),INDEX(HI$9:HI$150,MATCH($HS137,$GJ$9:$GJ$150,0)),"")</f>
        <v/>
      </c>
      <c r="HM137" s="909" t="str">
        <f t="shared" ref="HM137:HM150" si="1035">IF(ISNUMBER($HL137),INDEX(GO$9:GO$150,MATCH($HL137,$AV$9:$AV$150,0)),"")</f>
        <v/>
      </c>
      <c r="HN137" s="910" t="str">
        <f t="shared" ref="HN137:HN150" si="1036">IF(ISNUMBER($HL137),INDEX(AO$9:AO$150,MATCH($HL137,$AV$9:$AV$150,0)),"")</f>
        <v/>
      </c>
      <c r="HO137" s="911"/>
      <c r="HP137" s="912"/>
      <c r="HQ137" s="910" t="str">
        <f t="shared" ref="HQ137:HQ150" si="1037">IF(ISNUMBER($HL137),INDEX(GQ$9:GQ$150,MATCH($HL137,$AV$9:$AV$150,0)),"")</f>
        <v/>
      </c>
      <c r="HR137" s="913" t="str">
        <f t="shared" ref="HR137:HR150" si="1038">IF(ISNUMBER($HL137),INDEX(GP$9:GP$150,MATCH($HL137,$AV$9:$AV$150,0)),"")</f>
        <v/>
      </c>
      <c r="HS137" s="865" t="str">
        <f t="shared" si="998"/>
        <v/>
      </c>
      <c r="HT137" s="875" t="str">
        <f t="shared" ref="HT137:HT150" si="1039">IF(ISNUMBER($HL137),INDEX(GL$9:GL$150,MATCH($HL137,$AV$9:$AV$150,0)),"")</f>
        <v/>
      </c>
      <c r="HU137" s="876" t="str">
        <f t="shared" ref="HU137:HU150" si="1040">IF(ISNUMBER($HL137),INDEX(GM$9:GM$150,MATCH($HL137,$AV$9:$AV$150,0)),"")</f>
        <v/>
      </c>
      <c r="HV137" s="872" t="str">
        <f t="shared" ref="HV137:HV150" si="1041">IF(ISNUMBER($HL137),INDEX(GN$9:GN$150,MATCH($HL137,$AV$9:$AV$150,0)),"")</f>
        <v/>
      </c>
      <c r="HW137" s="866" t="str">
        <f t="shared" ref="HW137:HW150" si="1042">IF(ISNUMBER($HL137),INDEX(GW$9:GW$150,MATCH($HL137,$AV$9:$AV$150,0)),"")</f>
        <v/>
      </c>
      <c r="HX137" s="867" t="str">
        <f t="shared" ref="HX137:HX150" si="1043">IF(ISNUMBER($HL137),INDEX(GX$9:GX$150,MATCH($HL137,$AV$9:$AV$150,0)),"")</f>
        <v/>
      </c>
      <c r="HY137" s="866" t="str">
        <f t="shared" ref="HY137:HY150" si="1044">IF(ISNUMBER($HL137),INDEX(GS$9:GS$150,MATCH($HL137,$AV$9:$AV$150,0)),"")</f>
        <v/>
      </c>
      <c r="HZ137" s="868" t="str">
        <f t="shared" ref="HZ137:HZ150" si="1045">IF(ISNUMBER($HL137),INDEX(GU$9:GU$150,MATCH($HL137,$AV$9:$AV$150,0)),"")</f>
        <v/>
      </c>
      <c r="IA137" s="869" t="str">
        <f t="shared" ref="IA137:IA150" si="1046">IF(ISNUMBER($HL137),INDEX(GY$9:GY$150,MATCH($HL137,$AV$9:$AV$150,0)),"")</f>
        <v/>
      </c>
      <c r="IB137" s="870" t="str">
        <f t="shared" ref="IB137:IB150" si="1047">IF(ISNUMBER($HL137),INDEX(GR$9:GR$150,MATCH($HL137,$AV$9:$AV$150,0)),"")</f>
        <v/>
      </c>
      <c r="IC137" s="841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43" t="str">
        <f t="shared" ref="IE137:IE150" si="1050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2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51">IF(ISNUMBER($IK137),INDEX($K$9:$K$150,MATCH($IK137,$M$9:$M$150,0)),$K137)</f>
        <v/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585" t="str">
        <f t="shared" si="1000"/>
        <v/>
      </c>
      <c r="C138" s="582" t="str">
        <f t="shared" si="1001"/>
        <v/>
      </c>
      <c r="D138" s="583" t="str">
        <f t="shared" si="1002"/>
        <v/>
      </c>
      <c r="E138" s="588" t="str">
        <f t="shared" si="1003"/>
        <v/>
      </c>
      <c r="F138" s="582" t="str">
        <f t="shared" si="1004"/>
        <v/>
      </c>
      <c r="G138" s="586" t="str">
        <f t="shared" si="1005"/>
        <v/>
      </c>
      <c r="H138" s="588" t="str">
        <f t="shared" si="1006"/>
        <v/>
      </c>
      <c r="I138" s="582" t="str">
        <f t="shared" si="1007"/>
        <v/>
      </c>
      <c r="J138" s="491" t="str">
        <f t="shared" si="1008"/>
        <v/>
      </c>
      <c r="K138" s="807" t="str">
        <f t="shared" si="1009"/>
        <v/>
      </c>
      <c r="L138" s="309"/>
      <c r="M138" s="492" t="str">
        <f t="shared" si="1010"/>
        <v/>
      </c>
      <c r="N138" s="581" t="str">
        <f t="shared" si="1011"/>
        <v/>
      </c>
      <c r="O138" s="582" t="str">
        <f t="shared" si="1012"/>
        <v/>
      </c>
      <c r="P138" s="583" t="str">
        <f t="shared" si="1013"/>
        <v/>
      </c>
      <c r="Q138" s="536" t="str">
        <f t="shared" si="857"/>
        <v/>
      </c>
      <c r="R138" s="582" t="str">
        <f t="shared" si="858"/>
        <v/>
      </c>
      <c r="S138" s="584" t="str">
        <f t="shared" si="859"/>
        <v/>
      </c>
      <c r="T138" s="585" t="str">
        <f t="shared" si="860"/>
        <v/>
      </c>
      <c r="U138" s="582" t="str">
        <f t="shared" si="861"/>
        <v/>
      </c>
      <c r="V138" s="586" t="str">
        <f t="shared" si="862"/>
        <v/>
      </c>
      <c r="W138" s="536" t="str">
        <f t="shared" si="863"/>
        <v/>
      </c>
      <c r="X138" s="582" t="str">
        <f t="shared" si="864"/>
        <v/>
      </c>
      <c r="Y138" s="587" t="str">
        <f t="shared" si="865"/>
        <v/>
      </c>
      <c r="Z138" s="581" t="str">
        <f t="shared" si="1014"/>
        <v/>
      </c>
      <c r="AA138" s="582" t="str">
        <f t="shared" si="1015"/>
        <v/>
      </c>
      <c r="AB138" s="582" t="str">
        <f t="shared" si="1016"/>
        <v/>
      </c>
      <c r="AC138" s="586" t="str">
        <f t="shared" si="866"/>
        <v/>
      </c>
      <c r="AD138" s="588" t="str">
        <f t="shared" si="867"/>
        <v/>
      </c>
      <c r="AE138" s="582" t="str">
        <f t="shared" si="868"/>
        <v/>
      </c>
      <c r="AF138" s="583" t="str">
        <f t="shared" si="869"/>
        <v/>
      </c>
      <c r="AG138" s="547" t="str">
        <f t="shared" si="870"/>
        <v/>
      </c>
      <c r="AH138" s="548" t="str">
        <f t="shared" si="871"/>
        <v/>
      </c>
      <c r="AI138" s="536" t="str">
        <f t="shared" si="872"/>
        <v/>
      </c>
      <c r="AJ138" s="537" t="str">
        <f t="shared" si="873"/>
        <v/>
      </c>
      <c r="AK138" s="585" t="str">
        <f t="shared" si="874"/>
        <v/>
      </c>
      <c r="AL138" s="582" t="str">
        <f t="shared" si="875"/>
        <v/>
      </c>
      <c r="AM138" s="584" t="str">
        <f t="shared" si="876"/>
        <v/>
      </c>
      <c r="AN138" s="534" t="str">
        <f t="shared" si="877"/>
        <v/>
      </c>
      <c r="AO138" s="535" t="str">
        <f t="shared" si="856"/>
        <v/>
      </c>
      <c r="AP138" s="536" t="str">
        <f t="shared" si="878"/>
        <v/>
      </c>
      <c r="AQ138" s="537" t="str">
        <f t="shared" si="1017"/>
        <v/>
      </c>
      <c r="AS138" s="933" t="str">
        <f t="shared" si="853"/>
        <v/>
      </c>
      <c r="AT138" s="929" t="str">
        <f t="shared" si="1018"/>
        <v/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9"/>
        <v/>
      </c>
      <c r="BA138" s="505" t="str">
        <f t="shared" si="880"/>
        <v/>
      </c>
      <c r="BB138" s="506" t="str">
        <f t="shared" si="611"/>
        <v/>
      </c>
      <c r="BC138" s="496"/>
      <c r="BD138" s="494" t="str">
        <f t="shared" si="881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2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3"/>
        <v/>
      </c>
      <c r="BP138" s="494" t="str">
        <f t="shared" si="735"/>
        <v/>
      </c>
      <c r="BQ138" s="494" t="str">
        <f t="shared" si="884"/>
        <v/>
      </c>
      <c r="BR138" s="497" t="str">
        <f t="shared" si="885"/>
        <v/>
      </c>
      <c r="BS138" s="498" t="str">
        <f t="shared" si="850"/>
        <v/>
      </c>
      <c r="BT138" s="494" t="str">
        <f t="shared" si="850"/>
        <v/>
      </c>
      <c r="BU138" s="495" t="str">
        <f t="shared" si="614"/>
        <v/>
      </c>
      <c r="BV138" s="496" t="str">
        <f t="shared" si="615"/>
        <v/>
      </c>
      <c r="BW138" s="494" t="str">
        <f t="shared" si="616"/>
        <v/>
      </c>
      <c r="BX138" s="499" t="str">
        <f t="shared" si="617"/>
        <v/>
      </c>
      <c r="BY138" s="502" t="str">
        <f t="shared" si="618"/>
        <v/>
      </c>
      <c r="BZ138" s="494" t="str">
        <f t="shared" si="619"/>
        <v/>
      </c>
      <c r="CA138" s="497" t="str">
        <f t="shared" si="620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1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4"/>
        <v/>
      </c>
      <c r="DC138" s="494" t="str">
        <f t="shared" si="854"/>
        <v/>
      </c>
      <c r="DD138" s="495" t="str">
        <f t="shared" si="659"/>
        <v/>
      </c>
      <c r="DE138" s="496" t="str">
        <f t="shared" si="855"/>
        <v/>
      </c>
      <c r="DF138" s="494" t="str">
        <f t="shared" si="855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5"/>
        <v/>
      </c>
      <c r="FB138" s="494" t="str">
        <f t="shared" si="776"/>
        <v/>
      </c>
      <c r="FC138" s="497" t="str">
        <f t="shared" si="777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9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2"/>
        <v/>
      </c>
      <c r="GV138" s="343" t="str">
        <f t="shared" si="991"/>
        <v/>
      </c>
      <c r="GW138" s="345" t="str">
        <f t="shared" si="793"/>
        <v/>
      </c>
      <c r="GX138" s="346" t="str">
        <f t="shared" si="794"/>
        <v/>
      </c>
      <c r="GY138" s="344" t="str">
        <f t="shared" si="992"/>
        <v/>
      </c>
      <c r="GZ138" s="345" t="str">
        <f t="shared" si="993"/>
        <v/>
      </c>
      <c r="HA138" s="342" t="str">
        <f t="shared" si="797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8"/>
        <v/>
      </c>
      <c r="HF138" s="5" t="str">
        <f t="shared" si="799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09" t="str">
        <f t="shared" si="1035"/>
        <v/>
      </c>
      <c r="HN138" s="910" t="str">
        <f t="shared" si="1036"/>
        <v/>
      </c>
      <c r="HO138" s="911"/>
      <c r="HP138" s="912"/>
      <c r="HQ138" s="910" t="str">
        <f t="shared" si="1037"/>
        <v/>
      </c>
      <c r="HR138" s="913" t="str">
        <f t="shared" si="1038"/>
        <v/>
      </c>
      <c r="HS138" s="865" t="str">
        <f t="shared" si="998"/>
        <v/>
      </c>
      <c r="HT138" s="875" t="str">
        <f t="shared" si="1039"/>
        <v/>
      </c>
      <c r="HU138" s="876" t="str">
        <f t="shared" si="1040"/>
        <v/>
      </c>
      <c r="HV138" s="872" t="str">
        <f t="shared" si="1041"/>
        <v/>
      </c>
      <c r="HW138" s="866" t="str">
        <f t="shared" si="1042"/>
        <v/>
      </c>
      <c r="HX138" s="867" t="str">
        <f t="shared" si="1043"/>
        <v/>
      </c>
      <c r="HY138" s="866" t="str">
        <f t="shared" si="1044"/>
        <v/>
      </c>
      <c r="HZ138" s="868" t="str">
        <f t="shared" si="1045"/>
        <v/>
      </c>
      <c r="IA138" s="869" t="str">
        <f t="shared" si="1046"/>
        <v/>
      </c>
      <c r="IB138" s="870" t="str">
        <f t="shared" si="1047"/>
        <v/>
      </c>
      <c r="IC138" s="841" t="str">
        <f t="shared" si="1048"/>
        <v/>
      </c>
      <c r="ID138" s="351" t="str">
        <f t="shared" si="1049"/>
        <v/>
      </c>
      <c r="IE138" s="843" t="str">
        <f t="shared" si="1050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2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51"/>
        <v/>
      </c>
      <c r="IM138" s="482" t="str">
        <f t="shared" si="733"/>
        <v/>
      </c>
      <c r="IN138" s="670" t="str">
        <f t="shared" si="1052"/>
        <v/>
      </c>
      <c r="IO138" s="702"/>
      <c r="IP138" s="5" t="str">
        <f t="shared" si="1053"/>
        <v/>
      </c>
      <c r="IQ138" s="714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70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705" t="str">
        <f t="shared" si="1063"/>
        <v/>
      </c>
    </row>
    <row r="139" spans="1:261" ht="15" customHeight="1" x14ac:dyDescent="0.25">
      <c r="A139" s="75" t="str">
        <f t="shared" si="999"/>
        <v/>
      </c>
      <c r="B139" s="585" t="str">
        <f t="shared" si="1000"/>
        <v/>
      </c>
      <c r="C139" s="582" t="str">
        <f t="shared" si="1001"/>
        <v/>
      </c>
      <c r="D139" s="583" t="str">
        <f t="shared" si="1002"/>
        <v/>
      </c>
      <c r="E139" s="588" t="str">
        <f t="shared" si="1003"/>
        <v/>
      </c>
      <c r="F139" s="582" t="str">
        <f t="shared" si="1004"/>
        <v/>
      </c>
      <c r="G139" s="586" t="str">
        <f t="shared" si="1005"/>
        <v/>
      </c>
      <c r="H139" s="588" t="str">
        <f t="shared" si="1006"/>
        <v/>
      </c>
      <c r="I139" s="582" t="str">
        <f t="shared" si="1007"/>
        <v/>
      </c>
      <c r="J139" s="491" t="str">
        <f t="shared" si="1008"/>
        <v/>
      </c>
      <c r="K139" s="807" t="str">
        <f t="shared" si="1009"/>
        <v/>
      </c>
      <c r="L139" s="309"/>
      <c r="M139" s="492" t="str">
        <f t="shared" si="1010"/>
        <v/>
      </c>
      <c r="N139" s="581" t="str">
        <f t="shared" si="1011"/>
        <v/>
      </c>
      <c r="O139" s="582" t="str">
        <f t="shared" si="1012"/>
        <v/>
      </c>
      <c r="P139" s="583" t="str">
        <f t="shared" si="1013"/>
        <v/>
      </c>
      <c r="Q139" s="536" t="str">
        <f t="shared" si="857"/>
        <v/>
      </c>
      <c r="R139" s="582" t="str">
        <f t="shared" si="858"/>
        <v/>
      </c>
      <c r="S139" s="584" t="str">
        <f t="shared" si="859"/>
        <v/>
      </c>
      <c r="T139" s="585" t="str">
        <f t="shared" si="860"/>
        <v/>
      </c>
      <c r="U139" s="582" t="str">
        <f t="shared" si="861"/>
        <v/>
      </c>
      <c r="V139" s="586" t="str">
        <f t="shared" si="862"/>
        <v/>
      </c>
      <c r="W139" s="536" t="str">
        <f t="shared" si="863"/>
        <v/>
      </c>
      <c r="X139" s="582" t="str">
        <f t="shared" si="864"/>
        <v/>
      </c>
      <c r="Y139" s="587" t="str">
        <f t="shared" si="865"/>
        <v/>
      </c>
      <c r="Z139" s="581" t="str">
        <f t="shared" si="1014"/>
        <v/>
      </c>
      <c r="AA139" s="582" t="str">
        <f t="shared" si="1015"/>
        <v/>
      </c>
      <c r="AB139" s="582" t="str">
        <f t="shared" si="1016"/>
        <v/>
      </c>
      <c r="AC139" s="586" t="str">
        <f t="shared" si="866"/>
        <v/>
      </c>
      <c r="AD139" s="588" t="str">
        <f t="shared" si="867"/>
        <v/>
      </c>
      <c r="AE139" s="582" t="str">
        <f t="shared" si="868"/>
        <v/>
      </c>
      <c r="AF139" s="583" t="str">
        <f t="shared" si="869"/>
        <v/>
      </c>
      <c r="AG139" s="547" t="str">
        <f t="shared" si="870"/>
        <v/>
      </c>
      <c r="AH139" s="548" t="str">
        <f t="shared" si="871"/>
        <v/>
      </c>
      <c r="AI139" s="536" t="str">
        <f t="shared" si="872"/>
        <v/>
      </c>
      <c r="AJ139" s="537" t="str">
        <f t="shared" si="873"/>
        <v/>
      </c>
      <c r="AK139" s="585" t="str">
        <f t="shared" si="874"/>
        <v/>
      </c>
      <c r="AL139" s="582" t="str">
        <f t="shared" si="875"/>
        <v/>
      </c>
      <c r="AM139" s="584" t="str">
        <f t="shared" si="876"/>
        <v/>
      </c>
      <c r="AN139" s="534" t="str">
        <f t="shared" si="877"/>
        <v/>
      </c>
      <c r="AO139" s="535" t="str">
        <f t="shared" si="856"/>
        <v/>
      </c>
      <c r="AP139" s="536" t="str">
        <f t="shared" si="878"/>
        <v/>
      </c>
      <c r="AQ139" s="537" t="str">
        <f t="shared" si="1017"/>
        <v/>
      </c>
      <c r="AS139" s="933" t="str">
        <f t="shared" ref="AS139:AS150" si="1065">IF(G139="","",IF(AND(W139&lt;(AS138+180),W139&gt;(AS138-180)),W139,IF(W139&gt;(AS138+180),W139-360,IF(W139&lt;(AS138-180),W139+360,"Error"))))</f>
        <v/>
      </c>
      <c r="AT139" s="929" t="str">
        <f t="shared" si="1018"/>
        <v/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9"/>
        <v/>
      </c>
      <c r="BA139" s="505" t="str">
        <f t="shared" si="880"/>
        <v/>
      </c>
      <c r="BB139" s="506" t="str">
        <f t="shared" si="611"/>
        <v/>
      </c>
      <c r="BC139" s="496"/>
      <c r="BD139" s="494" t="str">
        <f t="shared" si="881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2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3"/>
        <v/>
      </c>
      <c r="BP139" s="494" t="str">
        <f t="shared" si="735"/>
        <v/>
      </c>
      <c r="BQ139" s="494" t="str">
        <f t="shared" si="884"/>
        <v/>
      </c>
      <c r="BR139" s="497" t="str">
        <f t="shared" si="885"/>
        <v/>
      </c>
      <c r="BS139" s="498" t="str">
        <f t="shared" si="850"/>
        <v/>
      </c>
      <c r="BT139" s="494" t="str">
        <f t="shared" si="850"/>
        <v/>
      </c>
      <c r="BU139" s="495" t="str">
        <f t="shared" si="614"/>
        <v/>
      </c>
      <c r="BV139" s="496" t="str">
        <f t="shared" si="615"/>
        <v/>
      </c>
      <c r="BW139" s="494" t="str">
        <f t="shared" si="616"/>
        <v/>
      </c>
      <c r="BX139" s="499" t="str">
        <f t="shared" si="617"/>
        <v/>
      </c>
      <c r="BY139" s="502" t="str">
        <f t="shared" si="618"/>
        <v/>
      </c>
      <c r="BZ139" s="494" t="str">
        <f t="shared" si="619"/>
        <v/>
      </c>
      <c r="CA139" s="497" t="str">
        <f t="shared" si="620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1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4"/>
        <v/>
      </c>
      <c r="DC139" s="494" t="str">
        <f t="shared" si="854"/>
        <v/>
      </c>
      <c r="DD139" s="495" t="str">
        <f t="shared" si="659"/>
        <v/>
      </c>
      <c r="DE139" s="496" t="str">
        <f t="shared" si="855"/>
        <v/>
      </c>
      <c r="DF139" s="494" t="str">
        <f t="shared" si="855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5"/>
        <v/>
      </c>
      <c r="FB139" s="494" t="str">
        <f t="shared" si="776"/>
        <v/>
      </c>
      <c r="FC139" s="497" t="str">
        <f t="shared" si="777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9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2"/>
        <v/>
      </c>
      <c r="GV139" s="343" t="str">
        <f t="shared" si="991"/>
        <v/>
      </c>
      <c r="GW139" s="345" t="str">
        <f t="shared" si="793"/>
        <v/>
      </c>
      <c r="GX139" s="346" t="str">
        <f t="shared" si="794"/>
        <v/>
      </c>
      <c r="GY139" s="344" t="str">
        <f t="shared" si="992"/>
        <v/>
      </c>
      <c r="GZ139" s="345" t="str">
        <f t="shared" si="993"/>
        <v/>
      </c>
      <c r="HA139" s="342" t="str">
        <f t="shared" si="797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8"/>
        <v/>
      </c>
      <c r="HF139" s="5" t="str">
        <f t="shared" si="799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09" t="str">
        <f t="shared" si="1035"/>
        <v/>
      </c>
      <c r="HN139" s="910" t="str">
        <f t="shared" si="1036"/>
        <v/>
      </c>
      <c r="HO139" s="911"/>
      <c r="HP139" s="912"/>
      <c r="HQ139" s="910" t="str">
        <f t="shared" si="1037"/>
        <v/>
      </c>
      <c r="HR139" s="913" t="str">
        <f t="shared" si="1038"/>
        <v/>
      </c>
      <c r="HS139" s="865" t="str">
        <f t="shared" si="998"/>
        <v/>
      </c>
      <c r="HT139" s="875" t="str">
        <f t="shared" si="1039"/>
        <v/>
      </c>
      <c r="HU139" s="876" t="str">
        <f t="shared" si="1040"/>
        <v/>
      </c>
      <c r="HV139" s="872" t="str">
        <f t="shared" si="1041"/>
        <v/>
      </c>
      <c r="HW139" s="866" t="str">
        <f t="shared" si="1042"/>
        <v/>
      </c>
      <c r="HX139" s="867" t="str">
        <f t="shared" si="1043"/>
        <v/>
      </c>
      <c r="HY139" s="866" t="str">
        <f t="shared" si="1044"/>
        <v/>
      </c>
      <c r="HZ139" s="868" t="str">
        <f t="shared" si="1045"/>
        <v/>
      </c>
      <c r="IA139" s="869" t="str">
        <f t="shared" si="1046"/>
        <v/>
      </c>
      <c r="IB139" s="870" t="str">
        <f t="shared" si="1047"/>
        <v/>
      </c>
      <c r="IC139" s="841" t="str">
        <f t="shared" si="1048"/>
        <v/>
      </c>
      <c r="ID139" s="351" t="str">
        <f t="shared" si="1049"/>
        <v/>
      </c>
      <c r="IE139" s="843" t="str">
        <f t="shared" si="1050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66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51"/>
        <v/>
      </c>
      <c r="IM139" s="482" t="str">
        <f t="shared" ref="IM139:IM150" si="1067">IF(ISNUMBER($IK139),INDEX($K$9:$K$150,MATCH($II139,$M$9:$M$150,0)),"")</f>
        <v/>
      </c>
      <c r="IN139" s="670" t="str">
        <f t="shared" si="1052"/>
        <v/>
      </c>
      <c r="IO139" s="702"/>
      <c r="IP139" s="5" t="str">
        <f t="shared" si="1053"/>
        <v/>
      </c>
      <c r="IQ139" s="714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70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705" t="str">
        <f t="shared" si="1063"/>
        <v/>
      </c>
    </row>
    <row r="140" spans="1:261" ht="15" customHeight="1" x14ac:dyDescent="0.25">
      <c r="A140" s="75" t="str">
        <f t="shared" si="999"/>
        <v/>
      </c>
      <c r="B140" s="585" t="str">
        <f t="shared" si="1000"/>
        <v/>
      </c>
      <c r="C140" s="582" t="str">
        <f t="shared" si="1001"/>
        <v/>
      </c>
      <c r="D140" s="583" t="str">
        <f t="shared" si="1002"/>
        <v/>
      </c>
      <c r="E140" s="588" t="str">
        <f t="shared" si="1003"/>
        <v/>
      </c>
      <c r="F140" s="582" t="str">
        <f t="shared" si="1004"/>
        <v/>
      </c>
      <c r="G140" s="586" t="str">
        <f t="shared" si="1005"/>
        <v/>
      </c>
      <c r="H140" s="588" t="str">
        <f t="shared" si="1006"/>
        <v/>
      </c>
      <c r="I140" s="582" t="str">
        <f t="shared" si="1007"/>
        <v/>
      </c>
      <c r="J140" s="491" t="str">
        <f t="shared" si="1008"/>
        <v/>
      </c>
      <c r="K140" s="807" t="str">
        <f t="shared" si="1009"/>
        <v/>
      </c>
      <c r="L140" s="309"/>
      <c r="M140" s="492" t="str">
        <f t="shared" si="1010"/>
        <v/>
      </c>
      <c r="N140" s="581" t="str">
        <f t="shared" si="1011"/>
        <v/>
      </c>
      <c r="O140" s="582" t="str">
        <f t="shared" si="1012"/>
        <v/>
      </c>
      <c r="P140" s="583" t="str">
        <f t="shared" si="1013"/>
        <v/>
      </c>
      <c r="Q140" s="536" t="str">
        <f t="shared" si="857"/>
        <v/>
      </c>
      <c r="R140" s="582" t="str">
        <f t="shared" si="858"/>
        <v/>
      </c>
      <c r="S140" s="584" t="str">
        <f t="shared" si="859"/>
        <v/>
      </c>
      <c r="T140" s="585" t="str">
        <f t="shared" si="860"/>
        <v/>
      </c>
      <c r="U140" s="582" t="str">
        <f t="shared" si="861"/>
        <v/>
      </c>
      <c r="V140" s="586" t="str">
        <f t="shared" si="862"/>
        <v/>
      </c>
      <c r="W140" s="536" t="str">
        <f t="shared" si="863"/>
        <v/>
      </c>
      <c r="X140" s="582" t="str">
        <f t="shared" si="864"/>
        <v/>
      </c>
      <c r="Y140" s="587" t="str">
        <f t="shared" si="865"/>
        <v/>
      </c>
      <c r="Z140" s="581" t="str">
        <f t="shared" si="1014"/>
        <v/>
      </c>
      <c r="AA140" s="582" t="str">
        <f t="shared" si="1015"/>
        <v/>
      </c>
      <c r="AB140" s="582" t="str">
        <f t="shared" si="1016"/>
        <v/>
      </c>
      <c r="AC140" s="586" t="str">
        <f t="shared" si="866"/>
        <v/>
      </c>
      <c r="AD140" s="588" t="str">
        <f t="shared" si="867"/>
        <v/>
      </c>
      <c r="AE140" s="582" t="str">
        <f t="shared" si="868"/>
        <v/>
      </c>
      <c r="AF140" s="583" t="str">
        <f t="shared" si="869"/>
        <v/>
      </c>
      <c r="AG140" s="547" t="str">
        <f t="shared" si="870"/>
        <v/>
      </c>
      <c r="AH140" s="548" t="str">
        <f t="shared" si="871"/>
        <v/>
      </c>
      <c r="AI140" s="536" t="str">
        <f t="shared" si="872"/>
        <v/>
      </c>
      <c r="AJ140" s="537" t="str">
        <f t="shared" si="873"/>
        <v/>
      </c>
      <c r="AK140" s="585" t="str">
        <f t="shared" si="874"/>
        <v/>
      </c>
      <c r="AL140" s="582" t="str">
        <f t="shared" si="875"/>
        <v/>
      </c>
      <c r="AM140" s="584" t="str">
        <f t="shared" si="876"/>
        <v/>
      </c>
      <c r="AN140" s="534" t="str">
        <f t="shared" si="877"/>
        <v/>
      </c>
      <c r="AO140" s="535" t="str">
        <f t="shared" si="856"/>
        <v/>
      </c>
      <c r="AP140" s="536" t="str">
        <f t="shared" si="878"/>
        <v/>
      </c>
      <c r="AQ140" s="537" t="str">
        <f t="shared" si="1017"/>
        <v/>
      </c>
      <c r="AS140" s="933" t="str">
        <f t="shared" si="1065"/>
        <v/>
      </c>
      <c r="AT140" s="929" t="str">
        <f t="shared" si="1018"/>
        <v/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9"/>
        <v/>
      </c>
      <c r="BA140" s="505" t="str">
        <f t="shared" si="880"/>
        <v/>
      </c>
      <c r="BB140" s="506" t="str">
        <f t="shared" si="611"/>
        <v/>
      </c>
      <c r="BC140" s="496"/>
      <c r="BD140" s="494" t="str">
        <f t="shared" si="881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2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3"/>
        <v/>
      </c>
      <c r="BP140" s="494" t="str">
        <f t="shared" ref="BP140:BP150" si="1068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4"/>
        <v/>
      </c>
      <c r="BR140" s="497" t="str">
        <f t="shared" si="885"/>
        <v/>
      </c>
      <c r="BS140" s="498" t="str">
        <f t="shared" si="850"/>
        <v/>
      </c>
      <c r="BT140" s="494" t="str">
        <f t="shared" si="850"/>
        <v/>
      </c>
      <c r="BU140" s="495" t="str">
        <f t="shared" si="614"/>
        <v/>
      </c>
      <c r="BV140" s="496" t="str">
        <f t="shared" si="615"/>
        <v/>
      </c>
      <c r="BW140" s="494" t="str">
        <f t="shared" si="616"/>
        <v/>
      </c>
      <c r="BX140" s="499" t="str">
        <f t="shared" si="617"/>
        <v/>
      </c>
      <c r="BY140" s="502" t="str">
        <f t="shared" si="618"/>
        <v/>
      </c>
      <c r="BZ140" s="494" t="str">
        <f t="shared" si="619"/>
        <v/>
      </c>
      <c r="CA140" s="497" t="str">
        <f t="shared" si="620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1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4"/>
        <v/>
      </c>
      <c r="DC140" s="494" t="str">
        <f t="shared" si="854"/>
        <v/>
      </c>
      <c r="DD140" s="495" t="str">
        <f t="shared" si="659"/>
        <v/>
      </c>
      <c r="DE140" s="496" t="str">
        <f t="shared" si="855"/>
        <v/>
      </c>
      <c r="DF140" s="494" t="str">
        <f t="shared" si="855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5"/>
        <v/>
      </c>
      <c r="FB140" s="494" t="str">
        <f t="shared" si="776"/>
        <v/>
      </c>
      <c r="FC140" s="497" t="str">
        <f t="shared" si="777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9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2"/>
        <v/>
      </c>
      <c r="GV140" s="343" t="str">
        <f t="shared" si="991"/>
        <v/>
      </c>
      <c r="GW140" s="345" t="str">
        <f t="shared" si="793"/>
        <v/>
      </c>
      <c r="GX140" s="346" t="str">
        <f t="shared" si="794"/>
        <v/>
      </c>
      <c r="GY140" s="344" t="str">
        <f t="shared" si="992"/>
        <v/>
      </c>
      <c r="GZ140" s="345" t="str">
        <f t="shared" si="993"/>
        <v/>
      </c>
      <c r="HA140" s="342" t="str">
        <f t="shared" si="797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8"/>
        <v/>
      </c>
      <c r="HF140" s="5" t="str">
        <f t="shared" si="799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09" t="str">
        <f t="shared" si="1035"/>
        <v/>
      </c>
      <c r="HN140" s="910" t="str">
        <f t="shared" si="1036"/>
        <v/>
      </c>
      <c r="HO140" s="911"/>
      <c r="HP140" s="912"/>
      <c r="HQ140" s="910" t="str">
        <f t="shared" si="1037"/>
        <v/>
      </c>
      <c r="HR140" s="913" t="str">
        <f t="shared" si="1038"/>
        <v/>
      </c>
      <c r="HS140" s="865" t="str">
        <f t="shared" si="998"/>
        <v/>
      </c>
      <c r="HT140" s="875" t="str">
        <f t="shared" si="1039"/>
        <v/>
      </c>
      <c r="HU140" s="876" t="str">
        <f t="shared" si="1040"/>
        <v/>
      </c>
      <c r="HV140" s="872" t="str">
        <f t="shared" si="1041"/>
        <v/>
      </c>
      <c r="HW140" s="866" t="str">
        <f t="shared" si="1042"/>
        <v/>
      </c>
      <c r="HX140" s="867" t="str">
        <f t="shared" si="1043"/>
        <v/>
      </c>
      <c r="HY140" s="866" t="str">
        <f t="shared" si="1044"/>
        <v/>
      </c>
      <c r="HZ140" s="868" t="str">
        <f t="shared" si="1045"/>
        <v/>
      </c>
      <c r="IA140" s="869" t="str">
        <f t="shared" si="1046"/>
        <v/>
      </c>
      <c r="IB140" s="870" t="str">
        <f t="shared" si="1047"/>
        <v/>
      </c>
      <c r="IC140" s="841" t="str">
        <f t="shared" si="1048"/>
        <v/>
      </c>
      <c r="ID140" s="351" t="str">
        <f t="shared" si="1049"/>
        <v/>
      </c>
      <c r="IE140" s="843" t="str">
        <f t="shared" si="1050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66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51"/>
        <v/>
      </c>
      <c r="IM140" s="482" t="str">
        <f t="shared" si="1067"/>
        <v/>
      </c>
      <c r="IN140" s="670" t="str">
        <f t="shared" si="1052"/>
        <v/>
      </c>
      <c r="IO140" s="702"/>
      <c r="IP140" s="5" t="str">
        <f t="shared" si="1053"/>
        <v/>
      </c>
      <c r="IQ140" s="714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70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705" t="str">
        <f t="shared" si="1063"/>
        <v/>
      </c>
    </row>
    <row r="141" spans="1:261" ht="15" customHeight="1" x14ac:dyDescent="0.25">
      <c r="A141" s="75" t="str">
        <f t="shared" si="999"/>
        <v/>
      </c>
      <c r="B141" s="585" t="str">
        <f t="shared" si="1000"/>
        <v/>
      </c>
      <c r="C141" s="582" t="str">
        <f t="shared" si="1001"/>
        <v/>
      </c>
      <c r="D141" s="583" t="str">
        <f t="shared" si="1002"/>
        <v/>
      </c>
      <c r="E141" s="588" t="str">
        <f t="shared" si="1003"/>
        <v/>
      </c>
      <c r="F141" s="582" t="str">
        <f t="shared" si="1004"/>
        <v/>
      </c>
      <c r="G141" s="586" t="str">
        <f t="shared" si="1005"/>
        <v/>
      </c>
      <c r="H141" s="588" t="str">
        <f t="shared" si="1006"/>
        <v/>
      </c>
      <c r="I141" s="582" t="str">
        <f t="shared" si="1007"/>
        <v/>
      </c>
      <c r="J141" s="491" t="str">
        <f t="shared" si="1008"/>
        <v/>
      </c>
      <c r="K141" s="807" t="str">
        <f t="shared" si="1009"/>
        <v/>
      </c>
      <c r="L141" s="309"/>
      <c r="M141" s="492" t="str">
        <f t="shared" si="1010"/>
        <v/>
      </c>
      <c r="N141" s="581" t="str">
        <f t="shared" si="1011"/>
        <v/>
      </c>
      <c r="O141" s="582" t="str">
        <f t="shared" si="1012"/>
        <v/>
      </c>
      <c r="P141" s="583" t="str">
        <f t="shared" si="1013"/>
        <v/>
      </c>
      <c r="Q141" s="536" t="str">
        <f t="shared" si="857"/>
        <v/>
      </c>
      <c r="R141" s="582" t="str">
        <f t="shared" si="858"/>
        <v/>
      </c>
      <c r="S141" s="584" t="str">
        <f t="shared" si="859"/>
        <v/>
      </c>
      <c r="T141" s="585" t="str">
        <f t="shared" si="860"/>
        <v/>
      </c>
      <c r="U141" s="582" t="str">
        <f t="shared" si="861"/>
        <v/>
      </c>
      <c r="V141" s="586" t="str">
        <f t="shared" si="862"/>
        <v/>
      </c>
      <c r="W141" s="536" t="str">
        <f t="shared" si="863"/>
        <v/>
      </c>
      <c r="X141" s="582" t="str">
        <f t="shared" si="864"/>
        <v/>
      </c>
      <c r="Y141" s="587" t="str">
        <f t="shared" si="865"/>
        <v/>
      </c>
      <c r="Z141" s="581" t="str">
        <f t="shared" si="1014"/>
        <v/>
      </c>
      <c r="AA141" s="582" t="str">
        <f t="shared" si="1015"/>
        <v/>
      </c>
      <c r="AB141" s="582" t="str">
        <f t="shared" si="1016"/>
        <v/>
      </c>
      <c r="AC141" s="586" t="str">
        <f t="shared" si="866"/>
        <v/>
      </c>
      <c r="AD141" s="588" t="str">
        <f t="shared" si="867"/>
        <v/>
      </c>
      <c r="AE141" s="582" t="str">
        <f t="shared" si="868"/>
        <v/>
      </c>
      <c r="AF141" s="583" t="str">
        <f t="shared" si="869"/>
        <v/>
      </c>
      <c r="AG141" s="547" t="str">
        <f t="shared" si="870"/>
        <v/>
      </c>
      <c r="AH141" s="548" t="str">
        <f t="shared" si="871"/>
        <v/>
      </c>
      <c r="AI141" s="536" t="str">
        <f t="shared" si="872"/>
        <v/>
      </c>
      <c r="AJ141" s="537" t="str">
        <f t="shared" si="873"/>
        <v/>
      </c>
      <c r="AK141" s="585" t="str">
        <f t="shared" si="874"/>
        <v/>
      </c>
      <c r="AL141" s="582" t="str">
        <f t="shared" si="875"/>
        <v/>
      </c>
      <c r="AM141" s="584" t="str">
        <f t="shared" si="876"/>
        <v/>
      </c>
      <c r="AN141" s="534" t="str">
        <f t="shared" si="877"/>
        <v/>
      </c>
      <c r="AO141" s="535" t="str">
        <f t="shared" si="856"/>
        <v/>
      </c>
      <c r="AP141" s="536" t="str">
        <f t="shared" si="878"/>
        <v/>
      </c>
      <c r="AQ141" s="537" t="str">
        <f t="shared" si="1017"/>
        <v/>
      </c>
      <c r="AS141" s="933" t="str">
        <f t="shared" si="1065"/>
        <v/>
      </c>
      <c r="AT141" s="929" t="str">
        <f t="shared" si="1018"/>
        <v/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9"/>
        <v/>
      </c>
      <c r="BA141" s="505" t="str">
        <f t="shared" si="880"/>
        <v/>
      </c>
      <c r="BB141" s="506" t="str">
        <f t="shared" si="611"/>
        <v/>
      </c>
      <c r="BC141" s="496"/>
      <c r="BD141" s="494" t="str">
        <f t="shared" si="881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2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3"/>
        <v/>
      </c>
      <c r="BP141" s="494" t="str">
        <f t="shared" si="1068"/>
        <v/>
      </c>
      <c r="BQ141" s="494" t="str">
        <f t="shared" si="884"/>
        <v/>
      </c>
      <c r="BR141" s="497" t="str">
        <f t="shared" si="885"/>
        <v/>
      </c>
      <c r="BS141" s="498" t="str">
        <f t="shared" si="850"/>
        <v/>
      </c>
      <c r="BT141" s="494" t="str">
        <f t="shared" si="850"/>
        <v/>
      </c>
      <c r="BU141" s="495" t="str">
        <f t="shared" si="614"/>
        <v/>
      </c>
      <c r="BV141" s="496" t="str">
        <f t="shared" si="615"/>
        <v/>
      </c>
      <c r="BW141" s="494" t="str">
        <f t="shared" si="616"/>
        <v/>
      </c>
      <c r="BX141" s="499" t="str">
        <f t="shared" si="617"/>
        <v/>
      </c>
      <c r="BY141" s="502" t="str">
        <f t="shared" si="618"/>
        <v/>
      </c>
      <c r="BZ141" s="494" t="str">
        <f t="shared" si="619"/>
        <v/>
      </c>
      <c r="CA141" s="497" t="str">
        <f t="shared" si="620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1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4"/>
        <v/>
      </c>
      <c r="DC141" s="494" t="str">
        <f t="shared" si="854"/>
        <v/>
      </c>
      <c r="DD141" s="495" t="str">
        <f t="shared" si="659"/>
        <v/>
      </c>
      <c r="DE141" s="496" t="str">
        <f t="shared" si="855"/>
        <v/>
      </c>
      <c r="DF141" s="494" t="str">
        <f t="shared" si="855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5"/>
        <v/>
      </c>
      <c r="FB141" s="494" t="str">
        <f t="shared" si="776"/>
        <v/>
      </c>
      <c r="FC141" s="497" t="str">
        <f t="shared" si="777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9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2"/>
        <v/>
      </c>
      <c r="GV141" s="343" t="str">
        <f t="shared" si="991"/>
        <v/>
      </c>
      <c r="GW141" s="345" t="str">
        <f t="shared" si="793"/>
        <v/>
      </c>
      <c r="GX141" s="346" t="str">
        <f t="shared" si="794"/>
        <v/>
      </c>
      <c r="GY141" s="344" t="str">
        <f t="shared" si="992"/>
        <v/>
      </c>
      <c r="GZ141" s="345" t="str">
        <f t="shared" si="993"/>
        <v/>
      </c>
      <c r="HA141" s="342" t="str">
        <f t="shared" si="797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8"/>
        <v/>
      </c>
      <c r="HF141" s="5" t="str">
        <f t="shared" si="799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09" t="str">
        <f t="shared" si="1035"/>
        <v/>
      </c>
      <c r="HN141" s="910" t="str">
        <f t="shared" si="1036"/>
        <v/>
      </c>
      <c r="HO141" s="911"/>
      <c r="HP141" s="912"/>
      <c r="HQ141" s="910" t="str">
        <f t="shared" si="1037"/>
        <v/>
      </c>
      <c r="HR141" s="913" t="str">
        <f t="shared" si="1038"/>
        <v/>
      </c>
      <c r="HS141" s="865" t="str">
        <f t="shared" si="998"/>
        <v/>
      </c>
      <c r="HT141" s="875" t="str">
        <f t="shared" si="1039"/>
        <v/>
      </c>
      <c r="HU141" s="876" t="str">
        <f t="shared" si="1040"/>
        <v/>
      </c>
      <c r="HV141" s="872" t="str">
        <f t="shared" si="1041"/>
        <v/>
      </c>
      <c r="HW141" s="866" t="str">
        <f t="shared" si="1042"/>
        <v/>
      </c>
      <c r="HX141" s="867" t="str">
        <f t="shared" si="1043"/>
        <v/>
      </c>
      <c r="HY141" s="866" t="str">
        <f t="shared" si="1044"/>
        <v/>
      </c>
      <c r="HZ141" s="868" t="str">
        <f t="shared" si="1045"/>
        <v/>
      </c>
      <c r="IA141" s="869" t="str">
        <f t="shared" si="1046"/>
        <v/>
      </c>
      <c r="IB141" s="870" t="str">
        <f t="shared" si="1047"/>
        <v/>
      </c>
      <c r="IC141" s="841" t="str">
        <f t="shared" si="1048"/>
        <v/>
      </c>
      <c r="ID141" s="351" t="str">
        <f t="shared" si="1049"/>
        <v/>
      </c>
      <c r="IE141" s="843" t="str">
        <f t="shared" si="1050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66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51"/>
        <v/>
      </c>
      <c r="IM141" s="482" t="str">
        <f t="shared" si="1067"/>
        <v/>
      </c>
      <c r="IN141" s="670" t="str">
        <f t="shared" si="1052"/>
        <v/>
      </c>
      <c r="IO141" s="702"/>
      <c r="IP141" s="5" t="str">
        <f t="shared" si="1053"/>
        <v/>
      </c>
      <c r="IQ141" s="714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70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705" t="str">
        <f t="shared" si="1063"/>
        <v/>
      </c>
    </row>
    <row r="142" spans="1:261" ht="15" customHeight="1" x14ac:dyDescent="0.25">
      <c r="A142" s="75" t="str">
        <f t="shared" si="999"/>
        <v/>
      </c>
      <c r="B142" s="585" t="str">
        <f t="shared" si="1000"/>
        <v/>
      </c>
      <c r="C142" s="582" t="str">
        <f t="shared" si="1001"/>
        <v/>
      </c>
      <c r="D142" s="583" t="str">
        <f t="shared" si="1002"/>
        <v/>
      </c>
      <c r="E142" s="588" t="str">
        <f t="shared" si="1003"/>
        <v/>
      </c>
      <c r="F142" s="582" t="str">
        <f t="shared" si="1004"/>
        <v/>
      </c>
      <c r="G142" s="586" t="str">
        <f t="shared" si="1005"/>
        <v/>
      </c>
      <c r="H142" s="588" t="str">
        <f t="shared" si="1006"/>
        <v/>
      </c>
      <c r="I142" s="582" t="str">
        <f t="shared" si="1007"/>
        <v/>
      </c>
      <c r="J142" s="491" t="str">
        <f t="shared" si="1008"/>
        <v/>
      </c>
      <c r="K142" s="807" t="str">
        <f t="shared" si="1009"/>
        <v/>
      </c>
      <c r="L142" s="309"/>
      <c r="M142" s="492" t="str">
        <f t="shared" si="1010"/>
        <v/>
      </c>
      <c r="N142" s="581" t="str">
        <f t="shared" si="1011"/>
        <v/>
      </c>
      <c r="O142" s="582" t="str">
        <f t="shared" si="1012"/>
        <v/>
      </c>
      <c r="P142" s="583" t="str">
        <f t="shared" si="1013"/>
        <v/>
      </c>
      <c r="Q142" s="536" t="str">
        <f t="shared" si="857"/>
        <v/>
      </c>
      <c r="R142" s="582" t="str">
        <f t="shared" si="858"/>
        <v/>
      </c>
      <c r="S142" s="584" t="str">
        <f t="shared" si="859"/>
        <v/>
      </c>
      <c r="T142" s="585" t="str">
        <f t="shared" si="860"/>
        <v/>
      </c>
      <c r="U142" s="582" t="str">
        <f t="shared" si="861"/>
        <v/>
      </c>
      <c r="V142" s="586" t="str">
        <f t="shared" si="862"/>
        <v/>
      </c>
      <c r="W142" s="536" t="str">
        <f t="shared" si="863"/>
        <v/>
      </c>
      <c r="X142" s="582" t="str">
        <f t="shared" si="864"/>
        <v/>
      </c>
      <c r="Y142" s="587" t="str">
        <f t="shared" si="865"/>
        <v/>
      </c>
      <c r="Z142" s="581" t="str">
        <f t="shared" si="1014"/>
        <v/>
      </c>
      <c r="AA142" s="582" t="str">
        <f t="shared" si="1015"/>
        <v/>
      </c>
      <c r="AB142" s="582" t="str">
        <f t="shared" si="1016"/>
        <v/>
      </c>
      <c r="AC142" s="586" t="str">
        <f t="shared" si="866"/>
        <v/>
      </c>
      <c r="AD142" s="588" t="str">
        <f t="shared" si="867"/>
        <v/>
      </c>
      <c r="AE142" s="582" t="str">
        <f t="shared" si="868"/>
        <v/>
      </c>
      <c r="AF142" s="583" t="str">
        <f t="shared" si="869"/>
        <v/>
      </c>
      <c r="AG142" s="547" t="str">
        <f t="shared" si="870"/>
        <v/>
      </c>
      <c r="AH142" s="548" t="str">
        <f t="shared" si="871"/>
        <v/>
      </c>
      <c r="AI142" s="536" t="str">
        <f t="shared" si="872"/>
        <v/>
      </c>
      <c r="AJ142" s="537" t="str">
        <f t="shared" si="873"/>
        <v/>
      </c>
      <c r="AK142" s="585" t="str">
        <f t="shared" si="874"/>
        <v/>
      </c>
      <c r="AL142" s="582" t="str">
        <f t="shared" si="875"/>
        <v/>
      </c>
      <c r="AM142" s="584" t="str">
        <f t="shared" si="876"/>
        <v/>
      </c>
      <c r="AN142" s="534" t="str">
        <f t="shared" si="877"/>
        <v/>
      </c>
      <c r="AO142" s="535" t="str">
        <f t="shared" si="856"/>
        <v/>
      </c>
      <c r="AP142" s="536" t="str">
        <f t="shared" si="878"/>
        <v/>
      </c>
      <c r="AQ142" s="537" t="str">
        <f t="shared" si="1017"/>
        <v/>
      </c>
      <c r="AS142" s="933" t="str">
        <f t="shared" si="1065"/>
        <v/>
      </c>
      <c r="AT142" s="929" t="str">
        <f t="shared" si="1018"/>
        <v/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9"/>
        <v/>
      </c>
      <c r="BA142" s="505" t="str">
        <f t="shared" si="880"/>
        <v/>
      </c>
      <c r="BB142" s="506" t="str">
        <f t="shared" si="611"/>
        <v/>
      </c>
      <c r="BC142" s="496"/>
      <c r="BD142" s="494" t="str">
        <f t="shared" si="881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2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3"/>
        <v/>
      </c>
      <c r="BP142" s="494" t="str">
        <f t="shared" si="1068"/>
        <v/>
      </c>
      <c r="BQ142" s="494" t="str">
        <f t="shared" si="884"/>
        <v/>
      </c>
      <c r="BR142" s="497" t="str">
        <f t="shared" si="885"/>
        <v/>
      </c>
      <c r="BS142" s="498" t="str">
        <f t="shared" si="850"/>
        <v/>
      </c>
      <c r="BT142" s="494" t="str">
        <f t="shared" si="850"/>
        <v/>
      </c>
      <c r="BU142" s="495" t="str">
        <f t="shared" si="614"/>
        <v/>
      </c>
      <c r="BV142" s="496" t="str">
        <f t="shared" si="615"/>
        <v/>
      </c>
      <c r="BW142" s="494" t="str">
        <f t="shared" si="616"/>
        <v/>
      </c>
      <c r="BX142" s="499" t="str">
        <f t="shared" si="617"/>
        <v/>
      </c>
      <c r="BY142" s="502" t="str">
        <f t="shared" si="618"/>
        <v/>
      </c>
      <c r="BZ142" s="494" t="str">
        <f t="shared" si="619"/>
        <v/>
      </c>
      <c r="CA142" s="497" t="str">
        <f t="shared" si="620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1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4"/>
        <v/>
      </c>
      <c r="DC142" s="494" t="str">
        <f t="shared" si="854"/>
        <v/>
      </c>
      <c r="DD142" s="495" t="str">
        <f t="shared" si="659"/>
        <v/>
      </c>
      <c r="DE142" s="496" t="str">
        <f t="shared" si="855"/>
        <v/>
      </c>
      <c r="DF142" s="494" t="str">
        <f t="shared" si="855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5"/>
        <v/>
      </c>
      <c r="FB142" s="494" t="str">
        <f t="shared" si="776"/>
        <v/>
      </c>
      <c r="FC142" s="497" t="str">
        <f t="shared" si="777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9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2"/>
        <v/>
      </c>
      <c r="GV142" s="343" t="str">
        <f t="shared" si="991"/>
        <v/>
      </c>
      <c r="GW142" s="345" t="str">
        <f t="shared" si="793"/>
        <v/>
      </c>
      <c r="GX142" s="346" t="str">
        <f t="shared" si="794"/>
        <v/>
      </c>
      <c r="GY142" s="344" t="str">
        <f t="shared" si="992"/>
        <v/>
      </c>
      <c r="GZ142" s="345" t="str">
        <f t="shared" si="993"/>
        <v/>
      </c>
      <c r="HA142" s="342" t="str">
        <f t="shared" si="797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8"/>
        <v/>
      </c>
      <c r="HF142" s="5" t="str">
        <f t="shared" si="799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09" t="str">
        <f t="shared" si="1035"/>
        <v/>
      </c>
      <c r="HN142" s="910" t="str">
        <f t="shared" si="1036"/>
        <v/>
      </c>
      <c r="HO142" s="911"/>
      <c r="HP142" s="912"/>
      <c r="HQ142" s="910" t="str">
        <f t="shared" si="1037"/>
        <v/>
      </c>
      <c r="HR142" s="913" t="str">
        <f t="shared" si="1038"/>
        <v/>
      </c>
      <c r="HS142" s="865" t="str">
        <f t="shared" si="998"/>
        <v/>
      </c>
      <c r="HT142" s="875" t="str">
        <f t="shared" si="1039"/>
        <v/>
      </c>
      <c r="HU142" s="876" t="str">
        <f t="shared" si="1040"/>
        <v/>
      </c>
      <c r="HV142" s="872" t="str">
        <f t="shared" si="1041"/>
        <v/>
      </c>
      <c r="HW142" s="866" t="str">
        <f t="shared" si="1042"/>
        <v/>
      </c>
      <c r="HX142" s="867" t="str">
        <f t="shared" si="1043"/>
        <v/>
      </c>
      <c r="HY142" s="866" t="str">
        <f t="shared" si="1044"/>
        <v/>
      </c>
      <c r="HZ142" s="868" t="str">
        <f t="shared" si="1045"/>
        <v/>
      </c>
      <c r="IA142" s="869" t="str">
        <f t="shared" si="1046"/>
        <v/>
      </c>
      <c r="IB142" s="870" t="str">
        <f t="shared" si="1047"/>
        <v/>
      </c>
      <c r="IC142" s="841" t="str">
        <f t="shared" si="1048"/>
        <v/>
      </c>
      <c r="ID142" s="351" t="str">
        <f t="shared" si="1049"/>
        <v/>
      </c>
      <c r="IE142" s="843" t="str">
        <f t="shared" si="1050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66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51"/>
        <v/>
      </c>
      <c r="IM142" s="482" t="str">
        <f t="shared" si="1067"/>
        <v/>
      </c>
      <c r="IN142" s="670" t="str">
        <f t="shared" si="1052"/>
        <v/>
      </c>
      <c r="IO142" s="702"/>
      <c r="IP142" s="5" t="str">
        <f t="shared" si="1053"/>
        <v/>
      </c>
      <c r="IQ142" s="714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70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705" t="str">
        <f t="shared" si="1063"/>
        <v/>
      </c>
    </row>
    <row r="143" spans="1:261" ht="15" customHeight="1" x14ac:dyDescent="0.25">
      <c r="A143" s="75" t="str">
        <f t="shared" si="999"/>
        <v/>
      </c>
      <c r="B143" s="585" t="str">
        <f t="shared" si="1000"/>
        <v/>
      </c>
      <c r="C143" s="582" t="str">
        <f t="shared" si="1001"/>
        <v/>
      </c>
      <c r="D143" s="583" t="str">
        <f t="shared" si="1002"/>
        <v/>
      </c>
      <c r="E143" s="588" t="str">
        <f t="shared" si="1003"/>
        <v/>
      </c>
      <c r="F143" s="582" t="str">
        <f t="shared" si="1004"/>
        <v/>
      </c>
      <c r="G143" s="586" t="str">
        <f t="shared" si="1005"/>
        <v/>
      </c>
      <c r="H143" s="588" t="str">
        <f t="shared" si="1006"/>
        <v/>
      </c>
      <c r="I143" s="582" t="str">
        <f t="shared" si="1007"/>
        <v/>
      </c>
      <c r="J143" s="491" t="str">
        <f t="shared" si="1008"/>
        <v/>
      </c>
      <c r="K143" s="807" t="str">
        <f t="shared" si="1009"/>
        <v/>
      </c>
      <c r="L143" s="309"/>
      <c r="M143" s="492" t="str">
        <f t="shared" si="1010"/>
        <v/>
      </c>
      <c r="N143" s="581" t="str">
        <f t="shared" si="1011"/>
        <v/>
      </c>
      <c r="O143" s="582" t="str">
        <f t="shared" si="1012"/>
        <v/>
      </c>
      <c r="P143" s="583" t="str">
        <f t="shared" si="1013"/>
        <v/>
      </c>
      <c r="Q143" s="536" t="str">
        <f t="shared" si="857"/>
        <v/>
      </c>
      <c r="R143" s="582" t="str">
        <f t="shared" si="858"/>
        <v/>
      </c>
      <c r="S143" s="584" t="str">
        <f t="shared" si="859"/>
        <v/>
      </c>
      <c r="T143" s="585" t="str">
        <f t="shared" si="860"/>
        <v/>
      </c>
      <c r="U143" s="582" t="str">
        <f t="shared" si="861"/>
        <v/>
      </c>
      <c r="V143" s="586" t="str">
        <f t="shared" si="862"/>
        <v/>
      </c>
      <c r="W143" s="536" t="str">
        <f t="shared" si="863"/>
        <v/>
      </c>
      <c r="X143" s="582" t="str">
        <f t="shared" si="864"/>
        <v/>
      </c>
      <c r="Y143" s="587" t="str">
        <f t="shared" si="865"/>
        <v/>
      </c>
      <c r="Z143" s="581" t="str">
        <f t="shared" si="1014"/>
        <v/>
      </c>
      <c r="AA143" s="582" t="str">
        <f t="shared" si="1015"/>
        <v/>
      </c>
      <c r="AB143" s="582" t="str">
        <f t="shared" si="1016"/>
        <v/>
      </c>
      <c r="AC143" s="586" t="str">
        <f t="shared" si="866"/>
        <v/>
      </c>
      <c r="AD143" s="588" t="str">
        <f t="shared" si="867"/>
        <v/>
      </c>
      <c r="AE143" s="582" t="str">
        <f t="shared" si="868"/>
        <v/>
      </c>
      <c r="AF143" s="583" t="str">
        <f t="shared" si="869"/>
        <v/>
      </c>
      <c r="AG143" s="547" t="str">
        <f t="shared" si="870"/>
        <v/>
      </c>
      <c r="AH143" s="548" t="str">
        <f t="shared" si="871"/>
        <v/>
      </c>
      <c r="AI143" s="536" t="str">
        <f t="shared" si="872"/>
        <v/>
      </c>
      <c r="AJ143" s="537" t="str">
        <f t="shared" si="873"/>
        <v/>
      </c>
      <c r="AK143" s="585" t="str">
        <f t="shared" si="874"/>
        <v/>
      </c>
      <c r="AL143" s="582" t="str">
        <f t="shared" si="875"/>
        <v/>
      </c>
      <c r="AM143" s="584" t="str">
        <f t="shared" si="876"/>
        <v/>
      </c>
      <c r="AN143" s="534" t="str">
        <f t="shared" si="877"/>
        <v/>
      </c>
      <c r="AO143" s="535" t="str">
        <f t="shared" si="856"/>
        <v/>
      </c>
      <c r="AP143" s="536" t="str">
        <f t="shared" si="878"/>
        <v/>
      </c>
      <c r="AQ143" s="537" t="str">
        <f t="shared" si="1017"/>
        <v/>
      </c>
      <c r="AS143" s="933" t="str">
        <f t="shared" si="1065"/>
        <v/>
      </c>
      <c r="AT143" s="929" t="str">
        <f t="shared" si="1018"/>
        <v/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9"/>
        <v/>
      </c>
      <c r="BA143" s="505" t="str">
        <f t="shared" si="880"/>
        <v/>
      </c>
      <c r="BB143" s="506" t="str">
        <f t="shared" si="611"/>
        <v/>
      </c>
      <c r="BC143" s="496"/>
      <c r="BD143" s="494" t="str">
        <f t="shared" si="881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2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3"/>
        <v/>
      </c>
      <c r="BP143" s="494" t="str">
        <f t="shared" si="1068"/>
        <v/>
      </c>
      <c r="BQ143" s="494" t="str">
        <f t="shared" si="884"/>
        <v/>
      </c>
      <c r="BR143" s="497" t="str">
        <f t="shared" si="885"/>
        <v/>
      </c>
      <c r="BS143" s="498" t="str">
        <f t="shared" si="850"/>
        <v/>
      </c>
      <c r="BT143" s="494" t="str">
        <f t="shared" si="850"/>
        <v/>
      </c>
      <c r="BU143" s="495" t="str">
        <f t="shared" si="614"/>
        <v/>
      </c>
      <c r="BV143" s="496" t="str">
        <f t="shared" si="615"/>
        <v/>
      </c>
      <c r="BW143" s="494" t="str">
        <f t="shared" si="616"/>
        <v/>
      </c>
      <c r="BX143" s="499" t="str">
        <f t="shared" si="617"/>
        <v/>
      </c>
      <c r="BY143" s="502" t="str">
        <f t="shared" si="618"/>
        <v/>
      </c>
      <c r="BZ143" s="494" t="str">
        <f t="shared" si="619"/>
        <v/>
      </c>
      <c r="CA143" s="497" t="str">
        <f t="shared" si="620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1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4"/>
        <v/>
      </c>
      <c r="DC143" s="494" t="str">
        <f t="shared" si="854"/>
        <v/>
      </c>
      <c r="DD143" s="495" t="str">
        <f t="shared" si="659"/>
        <v/>
      </c>
      <c r="DE143" s="496" t="str">
        <f t="shared" si="855"/>
        <v/>
      </c>
      <c r="DF143" s="494" t="str">
        <f t="shared" si="855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5"/>
        <v/>
      </c>
      <c r="FB143" s="494" t="str">
        <f t="shared" si="776"/>
        <v/>
      </c>
      <c r="FC143" s="497" t="str">
        <f t="shared" si="777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9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2"/>
        <v/>
      </c>
      <c r="GV143" s="343" t="str">
        <f t="shared" si="991"/>
        <v/>
      </c>
      <c r="GW143" s="345" t="str">
        <f t="shared" si="793"/>
        <v/>
      </c>
      <c r="GX143" s="346" t="str">
        <f t="shared" si="794"/>
        <v/>
      </c>
      <c r="GY143" s="344" t="str">
        <f t="shared" si="992"/>
        <v/>
      </c>
      <c r="GZ143" s="345" t="str">
        <f t="shared" si="993"/>
        <v/>
      </c>
      <c r="HA143" s="342" t="str">
        <f t="shared" si="797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8"/>
        <v/>
      </c>
      <c r="HF143" s="5" t="str">
        <f t="shared" si="799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09" t="str">
        <f t="shared" si="1035"/>
        <v/>
      </c>
      <c r="HN143" s="910" t="str">
        <f t="shared" si="1036"/>
        <v/>
      </c>
      <c r="HO143" s="911"/>
      <c r="HP143" s="912"/>
      <c r="HQ143" s="910" t="str">
        <f t="shared" si="1037"/>
        <v/>
      </c>
      <c r="HR143" s="913" t="str">
        <f t="shared" si="1038"/>
        <v/>
      </c>
      <c r="HS143" s="865" t="str">
        <f t="shared" si="998"/>
        <v/>
      </c>
      <c r="HT143" s="875" t="str">
        <f t="shared" si="1039"/>
        <v/>
      </c>
      <c r="HU143" s="876" t="str">
        <f t="shared" si="1040"/>
        <v/>
      </c>
      <c r="HV143" s="872" t="str">
        <f t="shared" si="1041"/>
        <v/>
      </c>
      <c r="HW143" s="866" t="str">
        <f t="shared" si="1042"/>
        <v/>
      </c>
      <c r="HX143" s="867" t="str">
        <f t="shared" si="1043"/>
        <v/>
      </c>
      <c r="HY143" s="866" t="str">
        <f t="shared" si="1044"/>
        <v/>
      </c>
      <c r="HZ143" s="868" t="str">
        <f t="shared" si="1045"/>
        <v/>
      </c>
      <c r="IA143" s="869" t="str">
        <f t="shared" si="1046"/>
        <v/>
      </c>
      <c r="IB143" s="870" t="str">
        <f t="shared" si="1047"/>
        <v/>
      </c>
      <c r="IC143" s="841" t="str">
        <f t="shared" si="1048"/>
        <v/>
      </c>
      <c r="ID143" s="351" t="str">
        <f t="shared" si="1049"/>
        <v/>
      </c>
      <c r="IE143" s="843" t="str">
        <f t="shared" si="1050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66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51"/>
        <v/>
      </c>
      <c r="IM143" s="482" t="str">
        <f t="shared" si="1067"/>
        <v/>
      </c>
      <c r="IN143" s="670" t="str">
        <f t="shared" si="1052"/>
        <v/>
      </c>
      <c r="IO143" s="702"/>
      <c r="IP143" s="5" t="str">
        <f t="shared" si="1053"/>
        <v/>
      </c>
      <c r="IQ143" s="714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70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705" t="str">
        <f t="shared" si="1063"/>
        <v/>
      </c>
    </row>
    <row r="144" spans="1:261" ht="15" customHeight="1" x14ac:dyDescent="0.25">
      <c r="A144" s="75" t="str">
        <f t="shared" si="999"/>
        <v/>
      </c>
      <c r="B144" s="585" t="str">
        <f t="shared" si="1000"/>
        <v/>
      </c>
      <c r="C144" s="582" t="str">
        <f t="shared" si="1001"/>
        <v/>
      </c>
      <c r="D144" s="583" t="str">
        <f t="shared" si="1002"/>
        <v/>
      </c>
      <c r="E144" s="588" t="str">
        <f t="shared" si="1003"/>
        <v/>
      </c>
      <c r="F144" s="582" t="str">
        <f t="shared" si="1004"/>
        <v/>
      </c>
      <c r="G144" s="586" t="str">
        <f t="shared" si="1005"/>
        <v/>
      </c>
      <c r="H144" s="588" t="str">
        <f t="shared" si="1006"/>
        <v/>
      </c>
      <c r="I144" s="582" t="str">
        <f t="shared" si="1007"/>
        <v/>
      </c>
      <c r="J144" s="491" t="str">
        <f t="shared" si="1008"/>
        <v/>
      </c>
      <c r="K144" s="807" t="str">
        <f t="shared" si="1009"/>
        <v/>
      </c>
      <c r="L144" s="309"/>
      <c r="M144" s="492" t="str">
        <f t="shared" si="1010"/>
        <v/>
      </c>
      <c r="N144" s="581" t="str">
        <f t="shared" si="1011"/>
        <v/>
      </c>
      <c r="O144" s="582" t="str">
        <f t="shared" si="1012"/>
        <v/>
      </c>
      <c r="P144" s="583" t="str">
        <f t="shared" si="1013"/>
        <v/>
      </c>
      <c r="Q144" s="536" t="str">
        <f t="shared" si="857"/>
        <v/>
      </c>
      <c r="R144" s="582" t="str">
        <f t="shared" si="858"/>
        <v/>
      </c>
      <c r="S144" s="584" t="str">
        <f t="shared" si="859"/>
        <v/>
      </c>
      <c r="T144" s="585" t="str">
        <f t="shared" si="860"/>
        <v/>
      </c>
      <c r="U144" s="582" t="str">
        <f t="shared" si="861"/>
        <v/>
      </c>
      <c r="V144" s="586" t="str">
        <f t="shared" si="862"/>
        <v/>
      </c>
      <c r="W144" s="536" t="str">
        <f t="shared" si="863"/>
        <v/>
      </c>
      <c r="X144" s="582" t="str">
        <f t="shared" si="864"/>
        <v/>
      </c>
      <c r="Y144" s="587" t="str">
        <f t="shared" si="865"/>
        <v/>
      </c>
      <c r="Z144" s="581" t="str">
        <f t="shared" si="1014"/>
        <v/>
      </c>
      <c r="AA144" s="582" t="str">
        <f t="shared" si="1015"/>
        <v/>
      </c>
      <c r="AB144" s="582" t="str">
        <f t="shared" si="1016"/>
        <v/>
      </c>
      <c r="AC144" s="586" t="str">
        <f t="shared" si="866"/>
        <v/>
      </c>
      <c r="AD144" s="588" t="str">
        <f t="shared" si="867"/>
        <v/>
      </c>
      <c r="AE144" s="582" t="str">
        <f t="shared" si="868"/>
        <v/>
      </c>
      <c r="AF144" s="583" t="str">
        <f t="shared" si="869"/>
        <v/>
      </c>
      <c r="AG144" s="547" t="str">
        <f t="shared" si="870"/>
        <v/>
      </c>
      <c r="AH144" s="548" t="str">
        <f t="shared" si="871"/>
        <v/>
      </c>
      <c r="AI144" s="536" t="str">
        <f t="shared" si="872"/>
        <v/>
      </c>
      <c r="AJ144" s="537" t="str">
        <f t="shared" si="873"/>
        <v/>
      </c>
      <c r="AK144" s="585" t="str">
        <f t="shared" si="874"/>
        <v/>
      </c>
      <c r="AL144" s="582" t="str">
        <f t="shared" si="875"/>
        <v/>
      </c>
      <c r="AM144" s="584" t="str">
        <f t="shared" si="876"/>
        <v/>
      </c>
      <c r="AN144" s="534" t="str">
        <f t="shared" si="877"/>
        <v/>
      </c>
      <c r="AO144" s="535" t="str">
        <f t="shared" si="856"/>
        <v/>
      </c>
      <c r="AP144" s="536" t="str">
        <f t="shared" si="878"/>
        <v/>
      </c>
      <c r="AQ144" s="537" t="str">
        <f t="shared" si="1017"/>
        <v/>
      </c>
      <c r="AS144" s="933" t="str">
        <f t="shared" si="1065"/>
        <v/>
      </c>
      <c r="AT144" s="929" t="str">
        <f t="shared" si="1018"/>
        <v/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9"/>
        <v/>
      </c>
      <c r="BA144" s="505" t="str">
        <f t="shared" si="880"/>
        <v/>
      </c>
      <c r="BB144" s="506" t="str">
        <f t="shared" si="611"/>
        <v/>
      </c>
      <c r="BC144" s="496"/>
      <c r="BD144" s="494" t="str">
        <f t="shared" si="881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2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3"/>
        <v/>
      </c>
      <c r="BP144" s="494" t="str">
        <f t="shared" si="1068"/>
        <v/>
      </c>
      <c r="BQ144" s="494" t="str">
        <f t="shared" si="884"/>
        <v/>
      </c>
      <c r="BR144" s="497" t="str">
        <f t="shared" si="885"/>
        <v/>
      </c>
      <c r="BS144" s="498" t="str">
        <f t="shared" si="850"/>
        <v/>
      </c>
      <c r="BT144" s="494" t="str">
        <f t="shared" si="850"/>
        <v/>
      </c>
      <c r="BU144" s="495" t="str">
        <f t="shared" si="614"/>
        <v/>
      </c>
      <c r="BV144" s="496" t="str">
        <f t="shared" si="615"/>
        <v/>
      </c>
      <c r="BW144" s="494" t="str">
        <f t="shared" si="616"/>
        <v/>
      </c>
      <c r="BX144" s="499" t="str">
        <f t="shared" si="617"/>
        <v/>
      </c>
      <c r="BY144" s="502" t="str">
        <f t="shared" si="618"/>
        <v/>
      </c>
      <c r="BZ144" s="494" t="str">
        <f t="shared" si="619"/>
        <v/>
      </c>
      <c r="CA144" s="497" t="str">
        <f t="shared" si="620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1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4"/>
        <v/>
      </c>
      <c r="DC144" s="494" t="str">
        <f t="shared" si="854"/>
        <v/>
      </c>
      <c r="DD144" s="495" t="str">
        <f t="shared" si="659"/>
        <v/>
      </c>
      <c r="DE144" s="496" t="str">
        <f t="shared" si="855"/>
        <v/>
      </c>
      <c r="DF144" s="494" t="str">
        <f t="shared" si="855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5"/>
        <v/>
      </c>
      <c r="FB144" s="494" t="str">
        <f t="shared" si="776"/>
        <v/>
      </c>
      <c r="FC144" s="497" t="str">
        <f t="shared" si="777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9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2"/>
        <v/>
      </c>
      <c r="GV144" s="343" t="str">
        <f t="shared" si="991"/>
        <v/>
      </c>
      <c r="GW144" s="345" t="str">
        <f t="shared" si="793"/>
        <v/>
      </c>
      <c r="GX144" s="346" t="str">
        <f t="shared" si="794"/>
        <v/>
      </c>
      <c r="GY144" s="344" t="str">
        <f t="shared" si="992"/>
        <v/>
      </c>
      <c r="GZ144" s="345" t="str">
        <f t="shared" si="993"/>
        <v/>
      </c>
      <c r="HA144" s="342" t="str">
        <f t="shared" si="797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8"/>
        <v/>
      </c>
      <c r="HF144" s="5" t="str">
        <f t="shared" si="799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09" t="str">
        <f t="shared" si="1035"/>
        <v/>
      </c>
      <c r="HN144" s="910" t="str">
        <f t="shared" si="1036"/>
        <v/>
      </c>
      <c r="HO144" s="911"/>
      <c r="HP144" s="912"/>
      <c r="HQ144" s="910" t="str">
        <f t="shared" si="1037"/>
        <v/>
      </c>
      <c r="HR144" s="913" t="str">
        <f t="shared" si="1038"/>
        <v/>
      </c>
      <c r="HS144" s="865" t="str">
        <f t="shared" si="998"/>
        <v/>
      </c>
      <c r="HT144" s="875" t="str">
        <f t="shared" si="1039"/>
        <v/>
      </c>
      <c r="HU144" s="876" t="str">
        <f t="shared" si="1040"/>
        <v/>
      </c>
      <c r="HV144" s="872" t="str">
        <f t="shared" si="1041"/>
        <v/>
      </c>
      <c r="HW144" s="866" t="str">
        <f t="shared" si="1042"/>
        <v/>
      </c>
      <c r="HX144" s="867" t="str">
        <f t="shared" si="1043"/>
        <v/>
      </c>
      <c r="HY144" s="866" t="str">
        <f t="shared" si="1044"/>
        <v/>
      </c>
      <c r="HZ144" s="868" t="str">
        <f t="shared" si="1045"/>
        <v/>
      </c>
      <c r="IA144" s="869" t="str">
        <f t="shared" si="1046"/>
        <v/>
      </c>
      <c r="IB144" s="870" t="str">
        <f t="shared" si="1047"/>
        <v/>
      </c>
      <c r="IC144" s="841" t="str">
        <f t="shared" si="1048"/>
        <v/>
      </c>
      <c r="ID144" s="351" t="str">
        <f t="shared" si="1049"/>
        <v/>
      </c>
      <c r="IE144" s="843" t="str">
        <f t="shared" si="1050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66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51"/>
        <v/>
      </c>
      <c r="IM144" s="482" t="str">
        <f t="shared" si="1067"/>
        <v/>
      </c>
      <c r="IN144" s="670" t="str">
        <f t="shared" si="1052"/>
        <v/>
      </c>
      <c r="IO144" s="702"/>
      <c r="IP144" s="5" t="str">
        <f t="shared" si="1053"/>
        <v/>
      </c>
      <c r="IQ144" s="714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70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705" t="str">
        <f t="shared" si="1063"/>
        <v/>
      </c>
    </row>
    <row r="145" spans="1:261" ht="15" customHeight="1" x14ac:dyDescent="0.25">
      <c r="A145" s="75" t="str">
        <f t="shared" si="999"/>
        <v/>
      </c>
      <c r="B145" s="585" t="str">
        <f t="shared" si="1000"/>
        <v/>
      </c>
      <c r="C145" s="582" t="str">
        <f t="shared" si="1001"/>
        <v/>
      </c>
      <c r="D145" s="583" t="str">
        <f t="shared" si="1002"/>
        <v/>
      </c>
      <c r="E145" s="588" t="str">
        <f t="shared" si="1003"/>
        <v/>
      </c>
      <c r="F145" s="582" t="str">
        <f t="shared" si="1004"/>
        <v/>
      </c>
      <c r="G145" s="586" t="str">
        <f t="shared" si="1005"/>
        <v/>
      </c>
      <c r="H145" s="588" t="str">
        <f t="shared" si="1006"/>
        <v/>
      </c>
      <c r="I145" s="582" t="str">
        <f t="shared" si="1007"/>
        <v/>
      </c>
      <c r="J145" s="491" t="str">
        <f t="shared" si="1008"/>
        <v/>
      </c>
      <c r="K145" s="807" t="str">
        <f t="shared" si="1009"/>
        <v/>
      </c>
      <c r="L145" s="309"/>
      <c r="M145" s="492" t="str">
        <f t="shared" si="1010"/>
        <v/>
      </c>
      <c r="N145" s="581" t="str">
        <f t="shared" si="1011"/>
        <v/>
      </c>
      <c r="O145" s="582" t="str">
        <f t="shared" si="1012"/>
        <v/>
      </c>
      <c r="P145" s="583" t="str">
        <f t="shared" si="1013"/>
        <v/>
      </c>
      <c r="Q145" s="536" t="str">
        <f t="shared" si="857"/>
        <v/>
      </c>
      <c r="R145" s="582" t="str">
        <f t="shared" si="858"/>
        <v/>
      </c>
      <c r="S145" s="584" t="str">
        <f t="shared" si="859"/>
        <v/>
      </c>
      <c r="T145" s="585" t="str">
        <f t="shared" si="860"/>
        <v/>
      </c>
      <c r="U145" s="582" t="str">
        <f t="shared" si="861"/>
        <v/>
      </c>
      <c r="V145" s="586" t="str">
        <f t="shared" si="862"/>
        <v/>
      </c>
      <c r="W145" s="536" t="str">
        <f t="shared" si="863"/>
        <v/>
      </c>
      <c r="X145" s="582" t="str">
        <f t="shared" si="864"/>
        <v/>
      </c>
      <c r="Y145" s="587" t="str">
        <f t="shared" si="865"/>
        <v/>
      </c>
      <c r="Z145" s="581" t="str">
        <f t="shared" si="1014"/>
        <v/>
      </c>
      <c r="AA145" s="582" t="str">
        <f t="shared" si="1015"/>
        <v/>
      </c>
      <c r="AB145" s="582" t="str">
        <f t="shared" si="1016"/>
        <v/>
      </c>
      <c r="AC145" s="586" t="str">
        <f t="shared" si="866"/>
        <v/>
      </c>
      <c r="AD145" s="588" t="str">
        <f t="shared" si="867"/>
        <v/>
      </c>
      <c r="AE145" s="582" t="str">
        <f t="shared" si="868"/>
        <v/>
      </c>
      <c r="AF145" s="583" t="str">
        <f t="shared" si="869"/>
        <v/>
      </c>
      <c r="AG145" s="547" t="str">
        <f t="shared" si="870"/>
        <v/>
      </c>
      <c r="AH145" s="548" t="str">
        <f t="shared" si="871"/>
        <v/>
      </c>
      <c r="AI145" s="536" t="str">
        <f t="shared" si="872"/>
        <v/>
      </c>
      <c r="AJ145" s="537" t="str">
        <f t="shared" si="873"/>
        <v/>
      </c>
      <c r="AK145" s="585" t="str">
        <f t="shared" si="874"/>
        <v/>
      </c>
      <c r="AL145" s="582" t="str">
        <f t="shared" si="875"/>
        <v/>
      </c>
      <c r="AM145" s="584" t="str">
        <f t="shared" si="876"/>
        <v/>
      </c>
      <c r="AN145" s="534" t="str">
        <f t="shared" si="877"/>
        <v/>
      </c>
      <c r="AO145" s="535" t="str">
        <f t="shared" si="856"/>
        <v/>
      </c>
      <c r="AP145" s="536" t="str">
        <f t="shared" si="878"/>
        <v/>
      </c>
      <c r="AQ145" s="537" t="str">
        <f t="shared" si="1017"/>
        <v/>
      </c>
      <c r="AS145" s="933" t="str">
        <f t="shared" si="1065"/>
        <v/>
      </c>
      <c r="AT145" s="929" t="str">
        <f t="shared" si="1018"/>
        <v/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9"/>
        <v/>
      </c>
      <c r="BA145" s="505" t="str">
        <f t="shared" si="880"/>
        <v/>
      </c>
      <c r="BB145" s="506" t="str">
        <f t="shared" si="611"/>
        <v/>
      </c>
      <c r="BC145" s="496"/>
      <c r="BD145" s="494" t="str">
        <f t="shared" si="881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2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3"/>
        <v/>
      </c>
      <c r="BP145" s="494" t="str">
        <f t="shared" si="1068"/>
        <v/>
      </c>
      <c r="BQ145" s="494" t="str">
        <f t="shared" si="884"/>
        <v/>
      </c>
      <c r="BR145" s="497" t="str">
        <f t="shared" si="885"/>
        <v/>
      </c>
      <c r="BS145" s="498" t="str">
        <f t="shared" si="850"/>
        <v/>
      </c>
      <c r="BT145" s="494" t="str">
        <f t="shared" si="850"/>
        <v/>
      </c>
      <c r="BU145" s="495" t="str">
        <f t="shared" si="614"/>
        <v/>
      </c>
      <c r="BV145" s="496" t="str">
        <f t="shared" si="615"/>
        <v/>
      </c>
      <c r="BW145" s="494" t="str">
        <f t="shared" si="616"/>
        <v/>
      </c>
      <c r="BX145" s="499" t="str">
        <f t="shared" si="617"/>
        <v/>
      </c>
      <c r="BY145" s="502" t="str">
        <f t="shared" si="618"/>
        <v/>
      </c>
      <c r="BZ145" s="494" t="str">
        <f t="shared" si="619"/>
        <v/>
      </c>
      <c r="CA145" s="497" t="str">
        <f t="shared" si="620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1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4"/>
        <v/>
      </c>
      <c r="DC145" s="494" t="str">
        <f t="shared" si="854"/>
        <v/>
      </c>
      <c r="DD145" s="495" t="str">
        <f t="shared" si="659"/>
        <v/>
      </c>
      <c r="DE145" s="496" t="str">
        <f t="shared" si="855"/>
        <v/>
      </c>
      <c r="DF145" s="494" t="str">
        <f t="shared" si="855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5"/>
        <v/>
      </c>
      <c r="FB145" s="494" t="str">
        <f t="shared" si="776"/>
        <v/>
      </c>
      <c r="FC145" s="497" t="str">
        <f t="shared" si="777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9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2"/>
        <v/>
      </c>
      <c r="GV145" s="343" t="str">
        <f t="shared" si="991"/>
        <v/>
      </c>
      <c r="GW145" s="345" t="str">
        <f t="shared" si="793"/>
        <v/>
      </c>
      <c r="GX145" s="346" t="str">
        <f t="shared" si="794"/>
        <v/>
      </c>
      <c r="GY145" s="344" t="str">
        <f t="shared" si="992"/>
        <v/>
      </c>
      <c r="GZ145" s="345" t="str">
        <f t="shared" si="993"/>
        <v/>
      </c>
      <c r="HA145" s="342" t="str">
        <f t="shared" si="797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8"/>
        <v/>
      </c>
      <c r="HF145" s="5" t="str">
        <f t="shared" si="799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09" t="str">
        <f t="shared" si="1035"/>
        <v/>
      </c>
      <c r="HN145" s="910" t="str">
        <f t="shared" si="1036"/>
        <v/>
      </c>
      <c r="HO145" s="911"/>
      <c r="HP145" s="912"/>
      <c r="HQ145" s="910" t="str">
        <f t="shared" si="1037"/>
        <v/>
      </c>
      <c r="HR145" s="913" t="str">
        <f t="shared" si="1038"/>
        <v/>
      </c>
      <c r="HS145" s="865" t="str">
        <f t="shared" si="998"/>
        <v/>
      </c>
      <c r="HT145" s="875" t="str">
        <f t="shared" si="1039"/>
        <v/>
      </c>
      <c r="HU145" s="876" t="str">
        <f t="shared" si="1040"/>
        <v/>
      </c>
      <c r="HV145" s="872" t="str">
        <f t="shared" si="1041"/>
        <v/>
      </c>
      <c r="HW145" s="866" t="str">
        <f t="shared" si="1042"/>
        <v/>
      </c>
      <c r="HX145" s="867" t="str">
        <f t="shared" si="1043"/>
        <v/>
      </c>
      <c r="HY145" s="866" t="str">
        <f t="shared" si="1044"/>
        <v/>
      </c>
      <c r="HZ145" s="868" t="str">
        <f t="shared" si="1045"/>
        <v/>
      </c>
      <c r="IA145" s="869" t="str">
        <f t="shared" si="1046"/>
        <v/>
      </c>
      <c r="IB145" s="870" t="str">
        <f t="shared" si="1047"/>
        <v/>
      </c>
      <c r="IC145" s="841" t="str">
        <f t="shared" si="1048"/>
        <v/>
      </c>
      <c r="ID145" s="351" t="str">
        <f t="shared" si="1049"/>
        <v/>
      </c>
      <c r="IE145" s="843" t="str">
        <f t="shared" si="1050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66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51"/>
        <v/>
      </c>
      <c r="IM145" s="482" t="str">
        <f t="shared" si="1067"/>
        <v/>
      </c>
      <c r="IN145" s="670" t="str">
        <f t="shared" si="1052"/>
        <v/>
      </c>
      <c r="IO145" s="702"/>
      <c r="IP145" s="5" t="str">
        <f t="shared" si="1053"/>
        <v/>
      </c>
      <c r="IQ145" s="714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70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705" t="str">
        <f t="shared" si="1063"/>
        <v/>
      </c>
    </row>
    <row r="146" spans="1:261" ht="15" customHeight="1" x14ac:dyDescent="0.25">
      <c r="A146" s="75" t="str">
        <f t="shared" si="999"/>
        <v/>
      </c>
      <c r="B146" s="585" t="str">
        <f t="shared" si="1000"/>
        <v/>
      </c>
      <c r="C146" s="582" t="str">
        <f t="shared" si="1001"/>
        <v/>
      </c>
      <c r="D146" s="583" t="str">
        <f t="shared" si="1002"/>
        <v/>
      </c>
      <c r="E146" s="588" t="str">
        <f t="shared" si="1003"/>
        <v/>
      </c>
      <c r="F146" s="582" t="str">
        <f t="shared" si="1004"/>
        <v/>
      </c>
      <c r="G146" s="586" t="str">
        <f t="shared" si="1005"/>
        <v/>
      </c>
      <c r="H146" s="588" t="str">
        <f t="shared" si="1006"/>
        <v/>
      </c>
      <c r="I146" s="582" t="str">
        <f t="shared" si="1007"/>
        <v/>
      </c>
      <c r="J146" s="491" t="str">
        <f t="shared" si="1008"/>
        <v/>
      </c>
      <c r="K146" s="807" t="str">
        <f t="shared" si="1009"/>
        <v/>
      </c>
      <c r="L146" s="309"/>
      <c r="M146" s="492" t="str">
        <f t="shared" si="1010"/>
        <v/>
      </c>
      <c r="N146" s="581" t="str">
        <f t="shared" si="1011"/>
        <v/>
      </c>
      <c r="O146" s="582" t="str">
        <f t="shared" si="1012"/>
        <v/>
      </c>
      <c r="P146" s="583" t="str">
        <f t="shared" si="1013"/>
        <v/>
      </c>
      <c r="Q146" s="536" t="str">
        <f t="shared" si="857"/>
        <v/>
      </c>
      <c r="R146" s="582" t="str">
        <f t="shared" si="858"/>
        <v/>
      </c>
      <c r="S146" s="584" t="str">
        <f t="shared" si="859"/>
        <v/>
      </c>
      <c r="T146" s="585" t="str">
        <f t="shared" si="860"/>
        <v/>
      </c>
      <c r="U146" s="582" t="str">
        <f t="shared" si="861"/>
        <v/>
      </c>
      <c r="V146" s="586" t="str">
        <f t="shared" si="862"/>
        <v/>
      </c>
      <c r="W146" s="536" t="str">
        <f t="shared" si="863"/>
        <v/>
      </c>
      <c r="X146" s="582" t="str">
        <f t="shared" si="864"/>
        <v/>
      </c>
      <c r="Y146" s="587" t="str">
        <f t="shared" si="865"/>
        <v/>
      </c>
      <c r="Z146" s="581" t="str">
        <f t="shared" si="1014"/>
        <v/>
      </c>
      <c r="AA146" s="582" t="str">
        <f t="shared" si="1015"/>
        <v/>
      </c>
      <c r="AB146" s="582" t="str">
        <f t="shared" si="1016"/>
        <v/>
      </c>
      <c r="AC146" s="586" t="str">
        <f t="shared" si="866"/>
        <v/>
      </c>
      <c r="AD146" s="588" t="str">
        <f t="shared" si="867"/>
        <v/>
      </c>
      <c r="AE146" s="582" t="str">
        <f t="shared" si="868"/>
        <v/>
      </c>
      <c r="AF146" s="583" t="str">
        <f t="shared" si="869"/>
        <v/>
      </c>
      <c r="AG146" s="547" t="str">
        <f t="shared" si="870"/>
        <v/>
      </c>
      <c r="AH146" s="548" t="str">
        <f t="shared" si="871"/>
        <v/>
      </c>
      <c r="AI146" s="536" t="str">
        <f t="shared" si="872"/>
        <v/>
      </c>
      <c r="AJ146" s="537" t="str">
        <f t="shared" si="873"/>
        <v/>
      </c>
      <c r="AK146" s="585" t="str">
        <f t="shared" si="874"/>
        <v/>
      </c>
      <c r="AL146" s="582" t="str">
        <f t="shared" si="875"/>
        <v/>
      </c>
      <c r="AM146" s="584" t="str">
        <f t="shared" si="876"/>
        <v/>
      </c>
      <c r="AN146" s="534" t="str">
        <f t="shared" si="877"/>
        <v/>
      </c>
      <c r="AO146" s="535" t="str">
        <f t="shared" si="856"/>
        <v/>
      </c>
      <c r="AP146" s="536" t="str">
        <f t="shared" si="878"/>
        <v/>
      </c>
      <c r="AQ146" s="537" t="str">
        <f t="shared" si="1017"/>
        <v/>
      </c>
      <c r="AS146" s="933" t="str">
        <f t="shared" si="1065"/>
        <v/>
      </c>
      <c r="AT146" s="929" t="str">
        <f t="shared" si="1018"/>
        <v/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9"/>
        <v/>
      </c>
      <c r="BA146" s="505" t="str">
        <f t="shared" si="880"/>
        <v/>
      </c>
      <c r="BB146" s="506" t="str">
        <f t="shared" si="611"/>
        <v/>
      </c>
      <c r="BC146" s="496"/>
      <c r="BD146" s="494" t="str">
        <f t="shared" si="881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2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3"/>
        <v/>
      </c>
      <c r="BP146" s="494" t="str">
        <f t="shared" si="1068"/>
        <v/>
      </c>
      <c r="BQ146" s="494" t="str">
        <f t="shared" si="884"/>
        <v/>
      </c>
      <c r="BR146" s="497" t="str">
        <f t="shared" si="885"/>
        <v/>
      </c>
      <c r="BS146" s="498" t="str">
        <f t="shared" si="850"/>
        <v/>
      </c>
      <c r="BT146" s="494" t="str">
        <f t="shared" si="850"/>
        <v/>
      </c>
      <c r="BU146" s="495" t="str">
        <f t="shared" si="614"/>
        <v/>
      </c>
      <c r="BV146" s="496" t="str">
        <f t="shared" si="615"/>
        <v/>
      </c>
      <c r="BW146" s="494" t="str">
        <f t="shared" si="616"/>
        <v/>
      </c>
      <c r="BX146" s="499" t="str">
        <f t="shared" si="617"/>
        <v/>
      </c>
      <c r="BY146" s="502" t="str">
        <f t="shared" si="618"/>
        <v/>
      </c>
      <c r="BZ146" s="494" t="str">
        <f t="shared" si="619"/>
        <v/>
      </c>
      <c r="CA146" s="497" t="str">
        <f t="shared" si="620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1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4"/>
        <v/>
      </c>
      <c r="DC146" s="494" t="str">
        <f t="shared" si="854"/>
        <v/>
      </c>
      <c r="DD146" s="495" t="str">
        <f t="shared" si="659"/>
        <v/>
      </c>
      <c r="DE146" s="496" t="str">
        <f t="shared" si="855"/>
        <v/>
      </c>
      <c r="DF146" s="494" t="str">
        <f t="shared" si="855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5"/>
        <v/>
      </c>
      <c r="FB146" s="494" t="str">
        <f t="shared" si="776"/>
        <v/>
      </c>
      <c r="FC146" s="497" t="str">
        <f t="shared" si="777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9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2"/>
        <v/>
      </c>
      <c r="GV146" s="343" t="str">
        <f t="shared" si="991"/>
        <v/>
      </c>
      <c r="GW146" s="345" t="str">
        <f t="shared" si="793"/>
        <v/>
      </c>
      <c r="GX146" s="346" t="str">
        <f t="shared" si="794"/>
        <v/>
      </c>
      <c r="GY146" s="344" t="str">
        <f t="shared" si="992"/>
        <v/>
      </c>
      <c r="GZ146" s="345" t="str">
        <f t="shared" si="993"/>
        <v/>
      </c>
      <c r="HA146" s="342" t="str">
        <f t="shared" si="797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8"/>
        <v/>
      </c>
      <c r="HF146" s="5" t="str">
        <f t="shared" si="799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09" t="str">
        <f t="shared" si="1035"/>
        <v/>
      </c>
      <c r="HN146" s="910" t="str">
        <f t="shared" si="1036"/>
        <v/>
      </c>
      <c r="HO146" s="911"/>
      <c r="HP146" s="912"/>
      <c r="HQ146" s="910" t="str">
        <f t="shared" si="1037"/>
        <v/>
      </c>
      <c r="HR146" s="913" t="str">
        <f t="shared" si="1038"/>
        <v/>
      </c>
      <c r="HS146" s="865" t="str">
        <f t="shared" si="998"/>
        <v/>
      </c>
      <c r="HT146" s="875" t="str">
        <f t="shared" si="1039"/>
        <v/>
      </c>
      <c r="HU146" s="876" t="str">
        <f t="shared" si="1040"/>
        <v/>
      </c>
      <c r="HV146" s="872" t="str">
        <f t="shared" si="1041"/>
        <v/>
      </c>
      <c r="HW146" s="866" t="str">
        <f t="shared" si="1042"/>
        <v/>
      </c>
      <c r="HX146" s="867" t="str">
        <f t="shared" si="1043"/>
        <v/>
      </c>
      <c r="HY146" s="866" t="str">
        <f t="shared" si="1044"/>
        <v/>
      </c>
      <c r="HZ146" s="868" t="str">
        <f t="shared" si="1045"/>
        <v/>
      </c>
      <c r="IA146" s="869" t="str">
        <f t="shared" si="1046"/>
        <v/>
      </c>
      <c r="IB146" s="870" t="str">
        <f t="shared" si="1047"/>
        <v/>
      </c>
      <c r="IC146" s="841" t="str">
        <f t="shared" si="1048"/>
        <v/>
      </c>
      <c r="ID146" s="351" t="str">
        <f t="shared" si="1049"/>
        <v/>
      </c>
      <c r="IE146" s="843" t="str">
        <f t="shared" si="1050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66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51"/>
        <v/>
      </c>
      <c r="IM146" s="482" t="str">
        <f t="shared" si="1067"/>
        <v/>
      </c>
      <c r="IN146" s="670" t="str">
        <f t="shared" si="1052"/>
        <v/>
      </c>
      <c r="IO146" s="702"/>
      <c r="IP146" s="5" t="str">
        <f t="shared" si="1053"/>
        <v/>
      </c>
      <c r="IQ146" s="714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70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705" t="str">
        <f t="shared" si="1063"/>
        <v/>
      </c>
    </row>
    <row r="147" spans="1:261" ht="15" customHeight="1" x14ac:dyDescent="0.25">
      <c r="A147" s="75" t="str">
        <f t="shared" si="999"/>
        <v/>
      </c>
      <c r="B147" s="585" t="str">
        <f t="shared" si="1000"/>
        <v/>
      </c>
      <c r="C147" s="582" t="str">
        <f t="shared" si="1001"/>
        <v/>
      </c>
      <c r="D147" s="583" t="str">
        <f t="shared" si="1002"/>
        <v/>
      </c>
      <c r="E147" s="588" t="str">
        <f t="shared" si="1003"/>
        <v/>
      </c>
      <c r="F147" s="582" t="str">
        <f t="shared" si="1004"/>
        <v/>
      </c>
      <c r="G147" s="586" t="str">
        <f t="shared" si="1005"/>
        <v/>
      </c>
      <c r="H147" s="588" t="str">
        <f t="shared" si="1006"/>
        <v/>
      </c>
      <c r="I147" s="582" t="str">
        <f t="shared" si="1007"/>
        <v/>
      </c>
      <c r="J147" s="491" t="str">
        <f t="shared" si="1008"/>
        <v/>
      </c>
      <c r="K147" s="807" t="str">
        <f t="shared" si="1009"/>
        <v/>
      </c>
      <c r="L147" s="309"/>
      <c r="M147" s="492" t="str">
        <f t="shared" si="1010"/>
        <v/>
      </c>
      <c r="N147" s="581" t="str">
        <f t="shared" si="1011"/>
        <v/>
      </c>
      <c r="O147" s="582" t="str">
        <f t="shared" si="1012"/>
        <v/>
      </c>
      <c r="P147" s="583" t="str">
        <f t="shared" si="1013"/>
        <v/>
      </c>
      <c r="Q147" s="536" t="str">
        <f t="shared" si="857"/>
        <v/>
      </c>
      <c r="R147" s="582" t="str">
        <f t="shared" si="858"/>
        <v/>
      </c>
      <c r="S147" s="584" t="str">
        <f t="shared" si="859"/>
        <v/>
      </c>
      <c r="T147" s="585" t="str">
        <f t="shared" si="860"/>
        <v/>
      </c>
      <c r="U147" s="582" t="str">
        <f t="shared" si="861"/>
        <v/>
      </c>
      <c r="V147" s="586" t="str">
        <f t="shared" si="862"/>
        <v/>
      </c>
      <c r="W147" s="536" t="str">
        <f t="shared" si="863"/>
        <v/>
      </c>
      <c r="X147" s="582" t="str">
        <f t="shared" si="864"/>
        <v/>
      </c>
      <c r="Y147" s="587" t="str">
        <f t="shared" si="865"/>
        <v/>
      </c>
      <c r="Z147" s="581" t="str">
        <f t="shared" si="1014"/>
        <v/>
      </c>
      <c r="AA147" s="582" t="str">
        <f t="shared" si="1015"/>
        <v/>
      </c>
      <c r="AB147" s="582" t="str">
        <f t="shared" si="1016"/>
        <v/>
      </c>
      <c r="AC147" s="586" t="str">
        <f t="shared" si="866"/>
        <v/>
      </c>
      <c r="AD147" s="588" t="str">
        <f t="shared" si="867"/>
        <v/>
      </c>
      <c r="AE147" s="582" t="str">
        <f t="shared" si="868"/>
        <v/>
      </c>
      <c r="AF147" s="583" t="str">
        <f t="shared" si="869"/>
        <v/>
      </c>
      <c r="AG147" s="547" t="str">
        <f t="shared" si="870"/>
        <v/>
      </c>
      <c r="AH147" s="548" t="str">
        <f t="shared" si="871"/>
        <v/>
      </c>
      <c r="AI147" s="536" t="str">
        <f t="shared" si="872"/>
        <v/>
      </c>
      <c r="AJ147" s="537" t="str">
        <f t="shared" si="873"/>
        <v/>
      </c>
      <c r="AK147" s="585" t="str">
        <f t="shared" si="874"/>
        <v/>
      </c>
      <c r="AL147" s="582" t="str">
        <f t="shared" si="875"/>
        <v/>
      </c>
      <c r="AM147" s="584" t="str">
        <f t="shared" si="876"/>
        <v/>
      </c>
      <c r="AN147" s="534" t="str">
        <f t="shared" si="877"/>
        <v/>
      </c>
      <c r="AO147" s="535" t="str">
        <f t="shared" si="856"/>
        <v/>
      </c>
      <c r="AP147" s="536" t="str">
        <f t="shared" si="878"/>
        <v/>
      </c>
      <c r="AQ147" s="537" t="str">
        <f t="shared" si="1017"/>
        <v/>
      </c>
      <c r="AS147" s="933" t="str">
        <f t="shared" si="1065"/>
        <v/>
      </c>
      <c r="AT147" s="929" t="str">
        <f t="shared" si="1018"/>
        <v/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9"/>
        <v/>
      </c>
      <c r="BA147" s="505" t="str">
        <f t="shared" si="880"/>
        <v/>
      </c>
      <c r="BB147" s="506" t="str">
        <f t="shared" si="611"/>
        <v/>
      </c>
      <c r="BC147" s="496"/>
      <c r="BD147" s="494" t="str">
        <f t="shared" si="881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2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3"/>
        <v/>
      </c>
      <c r="BP147" s="494" t="str">
        <f t="shared" si="1068"/>
        <v/>
      </c>
      <c r="BQ147" s="494" t="str">
        <f t="shared" si="884"/>
        <v/>
      </c>
      <c r="BR147" s="497" t="str">
        <f t="shared" si="885"/>
        <v/>
      </c>
      <c r="BS147" s="498" t="str">
        <f t="shared" si="850"/>
        <v/>
      </c>
      <c r="BT147" s="494" t="str">
        <f t="shared" si="850"/>
        <v/>
      </c>
      <c r="BU147" s="495" t="str">
        <f t="shared" si="614"/>
        <v/>
      </c>
      <c r="BV147" s="496" t="str">
        <f t="shared" si="615"/>
        <v/>
      </c>
      <c r="BW147" s="494" t="str">
        <f t="shared" si="616"/>
        <v/>
      </c>
      <c r="BX147" s="499" t="str">
        <f t="shared" si="617"/>
        <v/>
      </c>
      <c r="BY147" s="502" t="str">
        <f t="shared" si="618"/>
        <v/>
      </c>
      <c r="BZ147" s="494" t="str">
        <f t="shared" si="619"/>
        <v/>
      </c>
      <c r="CA147" s="497" t="str">
        <f t="shared" si="620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1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4"/>
        <v/>
      </c>
      <c r="DC147" s="494" t="str">
        <f t="shared" si="854"/>
        <v/>
      </c>
      <c r="DD147" s="495" t="str">
        <f t="shared" si="659"/>
        <v/>
      </c>
      <c r="DE147" s="496" t="str">
        <f t="shared" si="855"/>
        <v/>
      </c>
      <c r="DF147" s="494" t="str">
        <f t="shared" si="855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5"/>
        <v/>
      </c>
      <c r="FB147" s="494" t="str">
        <f t="shared" si="776"/>
        <v/>
      </c>
      <c r="FC147" s="497" t="str">
        <f t="shared" si="777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9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2"/>
        <v/>
      </c>
      <c r="GV147" s="343" t="str">
        <f t="shared" si="991"/>
        <v/>
      </c>
      <c r="GW147" s="345" t="str">
        <f t="shared" si="793"/>
        <v/>
      </c>
      <c r="GX147" s="346" t="str">
        <f t="shared" si="794"/>
        <v/>
      </c>
      <c r="GY147" s="344" t="str">
        <f t="shared" si="992"/>
        <v/>
      </c>
      <c r="GZ147" s="345" t="str">
        <f t="shared" si="993"/>
        <v/>
      </c>
      <c r="HA147" s="342" t="str">
        <f t="shared" si="797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8"/>
        <v/>
      </c>
      <c r="HF147" s="5" t="str">
        <f t="shared" si="799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09" t="str">
        <f t="shared" si="1035"/>
        <v/>
      </c>
      <c r="HN147" s="910" t="str">
        <f t="shared" si="1036"/>
        <v/>
      </c>
      <c r="HO147" s="911"/>
      <c r="HP147" s="912"/>
      <c r="HQ147" s="910" t="str">
        <f t="shared" si="1037"/>
        <v/>
      </c>
      <c r="HR147" s="913" t="str">
        <f t="shared" si="1038"/>
        <v/>
      </c>
      <c r="HS147" s="865" t="str">
        <f t="shared" si="998"/>
        <v/>
      </c>
      <c r="HT147" s="875" t="str">
        <f t="shared" si="1039"/>
        <v/>
      </c>
      <c r="HU147" s="876" t="str">
        <f t="shared" si="1040"/>
        <v/>
      </c>
      <c r="HV147" s="872" t="str">
        <f t="shared" si="1041"/>
        <v/>
      </c>
      <c r="HW147" s="866" t="str">
        <f t="shared" si="1042"/>
        <v/>
      </c>
      <c r="HX147" s="867" t="str">
        <f t="shared" si="1043"/>
        <v/>
      </c>
      <c r="HY147" s="866" t="str">
        <f t="shared" si="1044"/>
        <v/>
      </c>
      <c r="HZ147" s="868" t="str">
        <f t="shared" si="1045"/>
        <v/>
      </c>
      <c r="IA147" s="869" t="str">
        <f t="shared" si="1046"/>
        <v/>
      </c>
      <c r="IB147" s="870" t="str">
        <f t="shared" si="1047"/>
        <v/>
      </c>
      <c r="IC147" s="841" t="str">
        <f t="shared" si="1048"/>
        <v/>
      </c>
      <c r="ID147" s="351" t="str">
        <f t="shared" si="1049"/>
        <v/>
      </c>
      <c r="IE147" s="843" t="str">
        <f t="shared" si="1050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66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51"/>
        <v/>
      </c>
      <c r="IM147" s="482" t="str">
        <f t="shared" si="1067"/>
        <v/>
      </c>
      <c r="IN147" s="670" t="str">
        <f t="shared" si="1052"/>
        <v/>
      </c>
      <c r="IO147" s="702"/>
      <c r="IP147" s="5" t="str">
        <f t="shared" si="1053"/>
        <v/>
      </c>
      <c r="IQ147" s="714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70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705" t="str">
        <f t="shared" si="1063"/>
        <v/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7"/>
        <v/>
      </c>
      <c r="R148" s="582" t="str">
        <f t="shared" si="858"/>
        <v/>
      </c>
      <c r="S148" s="584" t="str">
        <f t="shared" si="859"/>
        <v/>
      </c>
      <c r="T148" s="585" t="str">
        <f t="shared" si="860"/>
        <v/>
      </c>
      <c r="U148" s="582" t="str">
        <f t="shared" si="861"/>
        <v/>
      </c>
      <c r="V148" s="586" t="str">
        <f t="shared" si="862"/>
        <v/>
      </c>
      <c r="W148" s="536" t="str">
        <f t="shared" si="863"/>
        <v/>
      </c>
      <c r="X148" s="582" t="str">
        <f t="shared" si="864"/>
        <v/>
      </c>
      <c r="Y148" s="587" t="str">
        <f t="shared" si="865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6"/>
        <v/>
      </c>
      <c r="AD148" s="588" t="str">
        <f t="shared" si="867"/>
        <v/>
      </c>
      <c r="AE148" s="582" t="str">
        <f t="shared" si="868"/>
        <v/>
      </c>
      <c r="AF148" s="583" t="str">
        <f t="shared" si="869"/>
        <v/>
      </c>
      <c r="AG148" s="547" t="str">
        <f t="shared" si="870"/>
        <v/>
      </c>
      <c r="AH148" s="548" t="str">
        <f t="shared" si="871"/>
        <v/>
      </c>
      <c r="AI148" s="536" t="str">
        <f t="shared" si="872"/>
        <v/>
      </c>
      <c r="AJ148" s="537" t="str">
        <f t="shared" si="873"/>
        <v/>
      </c>
      <c r="AK148" s="585" t="str">
        <f t="shared" si="874"/>
        <v/>
      </c>
      <c r="AL148" s="582" t="str">
        <f t="shared" si="875"/>
        <v/>
      </c>
      <c r="AM148" s="584" t="str">
        <f t="shared" si="876"/>
        <v/>
      </c>
      <c r="AN148" s="534" t="str">
        <f t="shared" si="877"/>
        <v/>
      </c>
      <c r="AO148" s="535" t="str">
        <f t="shared" si="856"/>
        <v/>
      </c>
      <c r="AP148" s="536" t="str">
        <f t="shared" si="878"/>
        <v/>
      </c>
      <c r="AQ148" s="537" t="str">
        <f t="shared" si="1017"/>
        <v/>
      </c>
      <c r="AS148" s="933" t="str">
        <f t="shared" si="1065"/>
        <v/>
      </c>
      <c r="AT148" s="929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9"/>
        <v/>
      </c>
      <c r="BA148" s="505" t="str">
        <f t="shared" si="880"/>
        <v/>
      </c>
      <c r="BB148" s="506" t="str">
        <f t="shared" si="611"/>
        <v/>
      </c>
      <c r="BC148" s="496"/>
      <c r="BD148" s="494" t="str">
        <f t="shared" si="881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2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3"/>
        <v/>
      </c>
      <c r="BP148" s="494" t="str">
        <f t="shared" si="1068"/>
        <v/>
      </c>
      <c r="BQ148" s="494" t="str">
        <f t="shared" si="884"/>
        <v/>
      </c>
      <c r="BR148" s="497" t="str">
        <f t="shared" si="885"/>
        <v/>
      </c>
      <c r="BS148" s="498" t="str">
        <f t="shared" si="850"/>
        <v/>
      </c>
      <c r="BT148" s="494" t="str">
        <f t="shared" si="850"/>
        <v/>
      </c>
      <c r="BU148" s="495" t="str">
        <f t="shared" si="614"/>
        <v/>
      </c>
      <c r="BV148" s="496" t="str">
        <f t="shared" si="615"/>
        <v/>
      </c>
      <c r="BW148" s="494" t="str">
        <f t="shared" si="616"/>
        <v/>
      </c>
      <c r="BX148" s="499" t="str">
        <f t="shared" si="617"/>
        <v/>
      </c>
      <c r="BY148" s="502" t="str">
        <f t="shared" si="618"/>
        <v/>
      </c>
      <c r="BZ148" s="494" t="str">
        <f t="shared" si="619"/>
        <v/>
      </c>
      <c r="CA148" s="497" t="str">
        <f t="shared" si="620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1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4"/>
        <v/>
      </c>
      <c r="DC148" s="494" t="str">
        <f t="shared" si="854"/>
        <v/>
      </c>
      <c r="DD148" s="495" t="str">
        <f t="shared" si="659"/>
        <v/>
      </c>
      <c r="DE148" s="496" t="str">
        <f t="shared" si="855"/>
        <v/>
      </c>
      <c r="DF148" s="494" t="str">
        <f t="shared" si="855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5"/>
        <v/>
      </c>
      <c r="FB148" s="494" t="str">
        <f t="shared" si="776"/>
        <v/>
      </c>
      <c r="FC148" s="497" t="str">
        <f t="shared" si="777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9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2"/>
        <v/>
      </c>
      <c r="GV148" s="343" t="str">
        <f t="shared" si="991"/>
        <v/>
      </c>
      <c r="GW148" s="345" t="str">
        <f t="shared" si="793"/>
        <v/>
      </c>
      <c r="GX148" s="346" t="str">
        <f t="shared" si="794"/>
        <v/>
      </c>
      <c r="GY148" s="344" t="str">
        <f t="shared" si="992"/>
        <v/>
      </c>
      <c r="GZ148" s="345" t="str">
        <f t="shared" si="993"/>
        <v/>
      </c>
      <c r="HA148" s="342" t="str">
        <f t="shared" si="797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8"/>
        <v/>
      </c>
      <c r="HF148" s="5" t="str">
        <f t="shared" si="799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09" t="str">
        <f t="shared" si="1035"/>
        <v/>
      </c>
      <c r="HN148" s="910" t="str">
        <f t="shared" si="1036"/>
        <v/>
      </c>
      <c r="HO148" s="911"/>
      <c r="HP148" s="912"/>
      <c r="HQ148" s="910" t="str">
        <f t="shared" si="1037"/>
        <v/>
      </c>
      <c r="HR148" s="913" t="str">
        <f t="shared" si="1038"/>
        <v/>
      </c>
      <c r="HS148" s="865" t="str">
        <f t="shared" si="998"/>
        <v/>
      </c>
      <c r="HT148" s="875" t="str">
        <f t="shared" si="1039"/>
        <v/>
      </c>
      <c r="HU148" s="876" t="str">
        <f t="shared" si="1040"/>
        <v/>
      </c>
      <c r="HV148" s="872" t="str">
        <f t="shared" si="1041"/>
        <v/>
      </c>
      <c r="HW148" s="866" t="str">
        <f t="shared" si="1042"/>
        <v/>
      </c>
      <c r="HX148" s="867" t="str">
        <f t="shared" si="1043"/>
        <v/>
      </c>
      <c r="HY148" s="866" t="str">
        <f t="shared" si="1044"/>
        <v/>
      </c>
      <c r="HZ148" s="868" t="str">
        <f t="shared" si="1045"/>
        <v/>
      </c>
      <c r="IA148" s="869" t="str">
        <f t="shared" si="1046"/>
        <v/>
      </c>
      <c r="IB148" s="870" t="str">
        <f t="shared" si="1047"/>
        <v/>
      </c>
      <c r="IC148" s="841" t="str">
        <f t="shared" si="1048"/>
        <v/>
      </c>
      <c r="ID148" s="351" t="str">
        <f t="shared" si="1049"/>
        <v/>
      </c>
      <c r="IE148" s="843" t="str">
        <f t="shared" si="1050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7"/>
        <v/>
      </c>
      <c r="R149" s="582" t="str">
        <f t="shared" si="858"/>
        <v/>
      </c>
      <c r="S149" s="584" t="str">
        <f t="shared" si="859"/>
        <v/>
      </c>
      <c r="T149" s="585" t="str">
        <f t="shared" si="860"/>
        <v/>
      </c>
      <c r="U149" s="582" t="str">
        <f t="shared" si="861"/>
        <v/>
      </c>
      <c r="V149" s="586" t="str">
        <f t="shared" si="862"/>
        <v/>
      </c>
      <c r="W149" s="536" t="str">
        <f t="shared" si="863"/>
        <v/>
      </c>
      <c r="X149" s="582" t="str">
        <f t="shared" si="864"/>
        <v/>
      </c>
      <c r="Y149" s="587" t="str">
        <f t="shared" si="865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6"/>
        <v/>
      </c>
      <c r="AD149" s="588" t="str">
        <f t="shared" si="867"/>
        <v/>
      </c>
      <c r="AE149" s="582" t="str">
        <f t="shared" si="868"/>
        <v/>
      </c>
      <c r="AF149" s="583" t="str">
        <f t="shared" si="869"/>
        <v/>
      </c>
      <c r="AG149" s="547" t="str">
        <f t="shared" si="870"/>
        <v/>
      </c>
      <c r="AH149" s="548" t="str">
        <f t="shared" si="871"/>
        <v/>
      </c>
      <c r="AI149" s="536" t="str">
        <f t="shared" si="872"/>
        <v/>
      </c>
      <c r="AJ149" s="537" t="str">
        <f t="shared" si="873"/>
        <v/>
      </c>
      <c r="AK149" s="585" t="str">
        <f t="shared" si="874"/>
        <v/>
      </c>
      <c r="AL149" s="582" t="str">
        <f t="shared" si="875"/>
        <v/>
      </c>
      <c r="AM149" s="584" t="str">
        <f t="shared" si="876"/>
        <v/>
      </c>
      <c r="AN149" s="534" t="str">
        <f t="shared" si="877"/>
        <v/>
      </c>
      <c r="AO149" s="535" t="str">
        <f t="shared" si="856"/>
        <v/>
      </c>
      <c r="AP149" s="536" t="str">
        <f t="shared" si="878"/>
        <v/>
      </c>
      <c r="AQ149" s="537" t="str">
        <f t="shared" si="1017"/>
        <v/>
      </c>
      <c r="AS149" s="933" t="str">
        <f t="shared" si="1065"/>
        <v/>
      </c>
      <c r="AT149" s="929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9"/>
        <v/>
      </c>
      <c r="BA149" s="505" t="str">
        <f t="shared" si="880"/>
        <v/>
      </c>
      <c r="BB149" s="506" t="str">
        <f t="shared" si="611"/>
        <v/>
      </c>
      <c r="BC149" s="496"/>
      <c r="BD149" s="494" t="str">
        <f t="shared" si="881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2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3"/>
        <v/>
      </c>
      <c r="BP149" s="494" t="str">
        <f t="shared" si="1068"/>
        <v/>
      </c>
      <c r="BQ149" s="494" t="str">
        <f t="shared" si="884"/>
        <v/>
      </c>
      <c r="BR149" s="497" t="str">
        <f t="shared" si="885"/>
        <v/>
      </c>
      <c r="BS149" s="498" t="str">
        <f t="shared" si="850"/>
        <v/>
      </c>
      <c r="BT149" s="494" t="str">
        <f t="shared" si="850"/>
        <v/>
      </c>
      <c r="BU149" s="495" t="str">
        <f t="shared" si="614"/>
        <v/>
      </c>
      <c r="BV149" s="496" t="str">
        <f t="shared" si="615"/>
        <v/>
      </c>
      <c r="BW149" s="494" t="str">
        <f t="shared" si="616"/>
        <v/>
      </c>
      <c r="BX149" s="499" t="str">
        <f t="shared" si="617"/>
        <v/>
      </c>
      <c r="BY149" s="502" t="str">
        <f t="shared" si="618"/>
        <v/>
      </c>
      <c r="BZ149" s="494" t="str">
        <f t="shared" si="619"/>
        <v/>
      </c>
      <c r="CA149" s="497" t="str">
        <f t="shared" si="620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1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4"/>
        <v/>
      </c>
      <c r="DC149" s="494" t="str">
        <f t="shared" si="854"/>
        <v/>
      </c>
      <c r="DD149" s="495" t="str">
        <f t="shared" si="659"/>
        <v/>
      </c>
      <c r="DE149" s="496" t="str">
        <f t="shared" si="855"/>
        <v/>
      </c>
      <c r="DF149" s="494" t="str">
        <f t="shared" si="855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5"/>
        <v/>
      </c>
      <c r="FB149" s="494" t="str">
        <f t="shared" si="776"/>
        <v/>
      </c>
      <c r="FC149" s="497" t="str">
        <f t="shared" si="777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9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2"/>
        <v/>
      </c>
      <c r="GV149" s="343" t="str">
        <f t="shared" si="991"/>
        <v/>
      </c>
      <c r="GW149" s="345" t="str">
        <f t="shared" si="793"/>
        <v/>
      </c>
      <c r="GX149" s="346" t="str">
        <f t="shared" si="794"/>
        <v/>
      </c>
      <c r="GY149" s="344" t="str">
        <f t="shared" si="992"/>
        <v/>
      </c>
      <c r="GZ149" s="345" t="str">
        <f t="shared" si="993"/>
        <v/>
      </c>
      <c r="HA149" s="342" t="str">
        <f t="shared" si="797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8"/>
        <v/>
      </c>
      <c r="HF149" s="5" t="str">
        <f t="shared" si="799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09" t="str">
        <f t="shared" si="1035"/>
        <v/>
      </c>
      <c r="HN149" s="910" t="str">
        <f t="shared" si="1036"/>
        <v/>
      </c>
      <c r="HO149" s="911"/>
      <c r="HP149" s="912"/>
      <c r="HQ149" s="910" t="str">
        <f t="shared" si="1037"/>
        <v/>
      </c>
      <c r="HR149" s="913" t="str">
        <f t="shared" si="1038"/>
        <v/>
      </c>
      <c r="HS149" s="865" t="str">
        <f t="shared" si="998"/>
        <v/>
      </c>
      <c r="HT149" s="875" t="str">
        <f t="shared" si="1039"/>
        <v/>
      </c>
      <c r="HU149" s="876" t="str">
        <f t="shared" si="1040"/>
        <v/>
      </c>
      <c r="HV149" s="872" t="str">
        <f t="shared" si="1041"/>
        <v/>
      </c>
      <c r="HW149" s="866" t="str">
        <f t="shared" si="1042"/>
        <v/>
      </c>
      <c r="HX149" s="867" t="str">
        <f t="shared" si="1043"/>
        <v/>
      </c>
      <c r="HY149" s="866" t="str">
        <f t="shared" si="1044"/>
        <v/>
      </c>
      <c r="HZ149" s="868" t="str">
        <f t="shared" si="1045"/>
        <v/>
      </c>
      <c r="IA149" s="869" t="str">
        <f t="shared" si="1046"/>
        <v/>
      </c>
      <c r="IB149" s="870" t="str">
        <f t="shared" si="1047"/>
        <v/>
      </c>
      <c r="IC149" s="841" t="str">
        <f t="shared" si="1048"/>
        <v/>
      </c>
      <c r="ID149" s="351" t="str">
        <f t="shared" si="1049"/>
        <v/>
      </c>
      <c r="IE149" s="843" t="str">
        <f t="shared" si="1050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7"/>
        <v/>
      </c>
      <c r="R150" s="590" t="str">
        <f t="shared" si="858"/>
        <v/>
      </c>
      <c r="S150" s="592" t="str">
        <f t="shared" si="859"/>
        <v/>
      </c>
      <c r="T150" s="593" t="str">
        <f t="shared" si="860"/>
        <v/>
      </c>
      <c r="U150" s="590" t="str">
        <f t="shared" si="861"/>
        <v/>
      </c>
      <c r="V150" s="594" t="str">
        <f t="shared" si="862"/>
        <v/>
      </c>
      <c r="W150" s="540" t="str">
        <f t="shared" si="863"/>
        <v/>
      </c>
      <c r="X150" s="590" t="str">
        <f t="shared" si="864"/>
        <v/>
      </c>
      <c r="Y150" s="595" t="str">
        <f t="shared" si="865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6"/>
        <v/>
      </c>
      <c r="AD150" s="596" t="str">
        <f t="shared" si="867"/>
        <v/>
      </c>
      <c r="AE150" s="590" t="str">
        <f t="shared" si="868"/>
        <v/>
      </c>
      <c r="AF150" s="591" t="str">
        <f t="shared" si="869"/>
        <v/>
      </c>
      <c r="AG150" s="549" t="str">
        <f t="shared" si="870"/>
        <v/>
      </c>
      <c r="AH150" s="550" t="str">
        <f t="shared" si="871"/>
        <v/>
      </c>
      <c r="AI150" s="540" t="str">
        <f t="shared" si="872"/>
        <v/>
      </c>
      <c r="AJ150" s="541" t="str">
        <f t="shared" si="873"/>
        <v/>
      </c>
      <c r="AK150" s="593" t="str">
        <f t="shared" si="874"/>
        <v/>
      </c>
      <c r="AL150" s="590" t="str">
        <f t="shared" si="875"/>
        <v/>
      </c>
      <c r="AM150" s="592" t="str">
        <f t="shared" si="876"/>
        <v/>
      </c>
      <c r="AN150" s="538" t="str">
        <f t="shared" si="877"/>
        <v/>
      </c>
      <c r="AO150" s="539" t="str">
        <f t="shared" si="856"/>
        <v/>
      </c>
      <c r="AP150" s="540" t="str">
        <f t="shared" si="878"/>
        <v/>
      </c>
      <c r="AQ150" s="541" t="str">
        <f t="shared" si="1017"/>
        <v/>
      </c>
      <c r="AS150" s="934" t="str">
        <f t="shared" si="1065"/>
        <v/>
      </c>
      <c r="AT150" s="930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9"/>
        <v/>
      </c>
      <c r="BA150" s="298" t="str">
        <f t="shared" si="880"/>
        <v/>
      </c>
      <c r="BB150" s="372" t="str">
        <f t="shared" si="611"/>
        <v/>
      </c>
      <c r="BC150" s="17"/>
      <c r="BD150" s="13" t="str">
        <f t="shared" si="881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2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3"/>
        <v/>
      </c>
      <c r="BP150" s="13" t="str">
        <f t="shared" si="1068"/>
        <v/>
      </c>
      <c r="BQ150" s="13" t="str">
        <f t="shared" si="884"/>
        <v/>
      </c>
      <c r="BR150" s="14" t="str">
        <f t="shared" si="885"/>
        <v/>
      </c>
      <c r="BS150" s="12" t="str">
        <f t="shared" si="850"/>
        <v/>
      </c>
      <c r="BT150" s="13" t="str">
        <f t="shared" si="850"/>
        <v/>
      </c>
      <c r="BU150" s="18" t="str">
        <f t="shared" si="614"/>
        <v/>
      </c>
      <c r="BV150" s="17" t="str">
        <f t="shared" si="615"/>
        <v/>
      </c>
      <c r="BW150" s="13" t="str">
        <f t="shared" si="616"/>
        <v/>
      </c>
      <c r="BX150" s="16" t="str">
        <f t="shared" si="617"/>
        <v/>
      </c>
      <c r="BY150" s="214" t="str">
        <f t="shared" si="618"/>
        <v/>
      </c>
      <c r="BZ150" s="13" t="str">
        <f t="shared" si="619"/>
        <v/>
      </c>
      <c r="CA150" s="14" t="str">
        <f t="shared" si="620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1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4"/>
        <v/>
      </c>
      <c r="DC150" s="13" t="str">
        <f t="shared" si="854"/>
        <v/>
      </c>
      <c r="DD150" s="18" t="str">
        <f t="shared" si="659"/>
        <v/>
      </c>
      <c r="DE150" s="17" t="str">
        <f t="shared" si="855"/>
        <v/>
      </c>
      <c r="DF150" s="13" t="str">
        <f t="shared" si="855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5"/>
        <v/>
      </c>
      <c r="FB150" s="256" t="str">
        <f t="shared" si="776"/>
        <v/>
      </c>
      <c r="FC150" s="259" t="str">
        <f t="shared" si="777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9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2"/>
        <v/>
      </c>
      <c r="GV150" s="343" t="str">
        <f t="shared" si="991"/>
        <v/>
      </c>
      <c r="GW150" s="345" t="str">
        <f t="shared" si="793"/>
        <v/>
      </c>
      <c r="GX150" s="346" t="str">
        <f t="shared" si="794"/>
        <v/>
      </c>
      <c r="GY150" s="344" t="str">
        <f t="shared" si="992"/>
        <v/>
      </c>
      <c r="GZ150" s="345" t="str">
        <f t="shared" si="993"/>
        <v/>
      </c>
      <c r="HA150" s="342" t="str">
        <f t="shared" si="797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8"/>
        <v/>
      </c>
      <c r="HF150" s="5" t="str">
        <f t="shared" si="799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09" t="str">
        <f t="shared" si="1035"/>
        <v/>
      </c>
      <c r="HN150" s="910" t="str">
        <f t="shared" si="1036"/>
        <v/>
      </c>
      <c r="HO150" s="911"/>
      <c r="HP150" s="912"/>
      <c r="HQ150" s="910" t="str">
        <f t="shared" si="1037"/>
        <v/>
      </c>
      <c r="HR150" s="913" t="str">
        <f t="shared" si="1038"/>
        <v/>
      </c>
      <c r="HS150" s="865" t="str">
        <f t="shared" si="998"/>
        <v/>
      </c>
      <c r="HT150" s="875" t="str">
        <f t="shared" si="1039"/>
        <v/>
      </c>
      <c r="HU150" s="876" t="str">
        <f t="shared" si="1040"/>
        <v/>
      </c>
      <c r="HV150" s="872" t="str">
        <f t="shared" si="1041"/>
        <v/>
      </c>
      <c r="HW150" s="866" t="str">
        <f t="shared" si="1042"/>
        <v/>
      </c>
      <c r="HX150" s="867" t="str">
        <f t="shared" si="1043"/>
        <v/>
      </c>
      <c r="HY150" s="866" t="str">
        <f t="shared" si="1044"/>
        <v/>
      </c>
      <c r="HZ150" s="868" t="str">
        <f t="shared" si="1045"/>
        <v/>
      </c>
      <c r="IA150" s="869" t="str">
        <f t="shared" si="1046"/>
        <v/>
      </c>
      <c r="IB150" s="870" t="str">
        <f t="shared" si="1047"/>
        <v/>
      </c>
      <c r="IC150" s="841" t="str">
        <f t="shared" si="1048"/>
        <v/>
      </c>
      <c r="ID150" s="351" t="str">
        <f t="shared" si="1049"/>
        <v/>
      </c>
      <c r="IE150" s="843" t="str">
        <f t="shared" si="1050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19.134294990681433</v>
      </c>
      <c r="BA151" s="288">
        <f>SUM(BA9:BA150)</f>
        <v>1.0000000000000002</v>
      </c>
      <c r="BB151" s="189"/>
    </row>
    <row r="152" spans="1:261" x14ac:dyDescent="0.25">
      <c r="H152" s="68"/>
    </row>
    <row r="153" spans="1:261" x14ac:dyDescent="0.25">
      <c r="H153" s="68"/>
      <c r="L153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40" t="s">
        <v>42</v>
      </c>
      <c r="C157" s="1341"/>
      <c r="D157" s="1341"/>
      <c r="E157" s="1341"/>
      <c r="F157" s="1341"/>
      <c r="G157" s="1341"/>
      <c r="H157" s="1341"/>
      <c r="I157" s="1341"/>
      <c r="J157" s="1341"/>
      <c r="K157" s="1341"/>
      <c r="L157" s="1341"/>
      <c r="M157" s="1341"/>
      <c r="N157" s="1341"/>
      <c r="O157" s="1342"/>
      <c r="BC157" t="s">
        <v>101</v>
      </c>
      <c r="BD157" s="219">
        <v>0</v>
      </c>
    </row>
    <row r="158" spans="1:261" ht="15" customHeight="1" x14ac:dyDescent="0.25">
      <c r="B158" s="1343"/>
      <c r="C158" s="1344"/>
      <c r="D158" s="1344"/>
      <c r="E158" s="1344"/>
      <c r="F158" s="1344"/>
      <c r="G158" s="1344"/>
      <c r="H158" s="1344"/>
      <c r="I158" s="1344"/>
      <c r="J158" s="1344"/>
      <c r="K158" s="1344"/>
      <c r="L158" s="1344"/>
      <c r="M158" s="1344"/>
      <c r="N158" s="1344"/>
      <c r="O158" s="1345"/>
      <c r="BC158" t="s">
        <v>102</v>
      </c>
      <c r="BD158" s="219">
        <v>0.01</v>
      </c>
    </row>
    <row r="159" spans="1:261" ht="15" customHeight="1" x14ac:dyDescent="0.25">
      <c r="B159" s="1343"/>
      <c r="C159" s="1344"/>
      <c r="D159" s="1344"/>
      <c r="E159" s="1344"/>
      <c r="F159" s="1344"/>
      <c r="G159" s="1344"/>
      <c r="H159" s="1344"/>
      <c r="I159" s="1344"/>
      <c r="J159" s="1344"/>
      <c r="K159" s="1344"/>
      <c r="L159" s="1344"/>
      <c r="M159" s="1344"/>
      <c r="N159" s="1344"/>
      <c r="O159" s="1345"/>
      <c r="AJ159" s="31" t="s">
        <v>349</v>
      </c>
      <c r="AU159"/>
    </row>
    <row r="160" spans="1:261" ht="15" customHeight="1" x14ac:dyDescent="0.25">
      <c r="B160" s="1346" t="str">
        <f>CONCATENATE(B162," ; ",E162," ; ",H163)</f>
        <v>Absolute-Point ; Incremental-Vector Point ; Radius</v>
      </c>
      <c r="C160" s="1347"/>
      <c r="D160" s="1347"/>
      <c r="E160" s="1347"/>
      <c r="F160" s="1347"/>
      <c r="G160" s="1347"/>
      <c r="H160" s="1347"/>
      <c r="I160" s="1347"/>
      <c r="J160" s="1347"/>
      <c r="K160" s="1347"/>
      <c r="L160" s="1347"/>
      <c r="M160" s="1347"/>
      <c r="N160" s="1347"/>
      <c r="O160" s="1348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46"/>
      <c r="C161" s="1347"/>
      <c r="D161" s="1347"/>
      <c r="E161" s="1347"/>
      <c r="F161" s="1347"/>
      <c r="G161" s="1347"/>
      <c r="H161" s="1347"/>
      <c r="I161" s="1347"/>
      <c r="J161" s="1347"/>
      <c r="K161" s="1347"/>
      <c r="L161" s="1347"/>
      <c r="M161" s="1347"/>
      <c r="N161" s="1347"/>
      <c r="O161" s="1348"/>
      <c r="AJ161" s="952"/>
      <c r="AK161" s="952"/>
      <c r="AL161" s="953" t="s">
        <v>417</v>
      </c>
      <c r="AM161" s="952"/>
      <c r="AN161" s="952"/>
      <c r="AO161" s="952"/>
      <c r="AP161" s="952"/>
      <c r="AQ161" s="952"/>
      <c r="AR161" s="952"/>
      <c r="AS161" s="952"/>
      <c r="AT161" s="952"/>
      <c r="AU161" s="952"/>
      <c r="AV161" s="952"/>
      <c r="BC161" t="s">
        <v>151</v>
      </c>
      <c r="BD161" s="199">
        <v>0.433</v>
      </c>
      <c r="BE161" s="162">
        <f t="shared" ref="BE161:BE168" si="1069">BD161+$BD$157</f>
        <v>0.433</v>
      </c>
      <c r="BF161" s="162">
        <f t="shared" ref="BF161:BF168" si="1070">BD161+$BD$158</f>
        <v>0.443</v>
      </c>
    </row>
    <row r="162" spans="2:58" x14ac:dyDescent="0.25">
      <c r="B162" s="1075" t="s">
        <v>40</v>
      </c>
      <c r="C162" s="1076"/>
      <c r="D162" s="1077"/>
      <c r="E162" s="1078" t="s">
        <v>41</v>
      </c>
      <c r="F162" s="1076"/>
      <c r="G162" s="1079"/>
      <c r="H162" s="979" t="s">
        <v>305</v>
      </c>
      <c r="I162" s="977"/>
      <c r="J162" s="978"/>
      <c r="K162" s="979" t="s">
        <v>386</v>
      </c>
      <c r="L162" s="1144"/>
      <c r="M162" s="937"/>
      <c r="N162" s="1080" t="s">
        <v>398</v>
      </c>
      <c r="O162" s="1081"/>
      <c r="AF162" s="31" t="s">
        <v>87</v>
      </c>
      <c r="AG162" s="31" t="s">
        <v>37</v>
      </c>
      <c r="AH162" s="31" t="s">
        <v>415</v>
      </c>
      <c r="AI162" s="31" t="s">
        <v>413</v>
      </c>
      <c r="AJ162" s="952"/>
      <c r="AK162" s="952"/>
      <c r="AL162" s="953" t="s">
        <v>55</v>
      </c>
      <c r="AM162" s="953" t="s">
        <v>244</v>
      </c>
      <c r="AN162" s="953" t="s">
        <v>107</v>
      </c>
      <c r="AO162" s="953" t="s">
        <v>26</v>
      </c>
      <c r="AP162" s="953" t="s">
        <v>407</v>
      </c>
      <c r="AQ162" s="953" t="s">
        <v>30</v>
      </c>
      <c r="AR162" s="952"/>
      <c r="AS162" s="952"/>
      <c r="AT162" s="952"/>
      <c r="AU162" s="952"/>
      <c r="AV162" s="952"/>
      <c r="BC162" t="s">
        <v>152</v>
      </c>
      <c r="BD162" s="199">
        <v>0.48099999999999998</v>
      </c>
      <c r="BE162" s="162">
        <f t="shared" si="1069"/>
        <v>0.48099999999999998</v>
      </c>
      <c r="BF162" s="162">
        <f t="shared" si="1070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53" t="s">
        <v>410</v>
      </c>
      <c r="AK163" s="953" t="s">
        <v>408</v>
      </c>
      <c r="AL163" s="953" t="s">
        <v>8</v>
      </c>
      <c r="AM163" s="953" t="s">
        <v>9</v>
      </c>
      <c r="AN163" s="953" t="s">
        <v>10</v>
      </c>
      <c r="AO163" s="953" t="s">
        <v>404</v>
      </c>
      <c r="AP163" s="953" t="s">
        <v>405</v>
      </c>
      <c r="AQ163" s="953" t="s">
        <v>406</v>
      </c>
      <c r="AR163" s="954" t="s">
        <v>337</v>
      </c>
      <c r="AS163" s="955"/>
      <c r="AT163" s="955"/>
      <c r="AU163" s="955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9"/>
        <v>0.52900000000000003</v>
      </c>
      <c r="BF163" s="162">
        <f t="shared" si="1070"/>
        <v>0.53900000000000003</v>
      </c>
    </row>
    <row r="164" spans="2:58" ht="15.75" thickTop="1" x14ac:dyDescent="0.25">
      <c r="B164" s="645">
        <v>-1.7074049960401645E-17</v>
      </c>
      <c r="C164" s="646">
        <v>0.34210103177671197</v>
      </c>
      <c r="D164" s="647">
        <v>-0.5782017438564595</v>
      </c>
      <c r="E164" s="648">
        <v>-0.9271838753345083</v>
      </c>
      <c r="F164" s="646">
        <v>-5.8601365609243353E-2</v>
      </c>
      <c r="G164" s="649">
        <v>0.36999451518693494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1" t="s">
        <v>420</v>
      </c>
      <c r="M164" s="938"/>
      <c r="N164" s="939"/>
      <c r="O164" s="940"/>
      <c r="Q164" s="162">
        <f t="shared" ref="Q164:Q195" si="1071">IFERROR(INDEX(B$164:B$305,MATCH($Y164,$J$164:$J$305,0)),"")</f>
        <v>-1.7074049960401645E-17</v>
      </c>
      <c r="R164" s="162">
        <f t="shared" ref="R164:R195" si="1072">IFERROR(INDEX(C$164:C$305,MATCH($Y164,$J$164:$J$305,0)),"")</f>
        <v>0.34210103177671197</v>
      </c>
      <c r="S164" s="162">
        <f t="shared" ref="S164:S195" si="1073">IFERROR(INDEX(D$164:D$305,MATCH($Y164,$J$164:$J$305,0)),"")</f>
        <v>-0.5782017438564595</v>
      </c>
      <c r="T164" s="162">
        <f t="shared" ref="T164:T195" si="1074">IFERROR(IF($N164="Y",-1*INDEX(E$164:E$305,MATCH($Y164,$J$164:$J$305,0)),INDEX(E$164:E$305,MATCH($Y164,$J$164:$J$305,0))),"")</f>
        <v>-0.9271838753345083</v>
      </c>
      <c r="U164" s="162">
        <f t="shared" ref="U164:U195" si="1075">IFERROR(IF($N164="Y",-1*INDEX(F$164:F$305,MATCH($Y164,$J$164:$J$305,0)),INDEX(F$164:F$305,MATCH($Y164,$J$164:$J$305,0))),"")</f>
        <v>-5.8601365609243353E-2</v>
      </c>
      <c r="V164" s="162">
        <f t="shared" ref="V164:V195" si="1076">IFERROR(IF($N164="Y",-1*INDEX(G$164:G$305,MATCH($Y164,$J$164:$J$305,0)),INDEX(G$164:G$305,MATCH($Y164,$J$164:$J$305,0))),"")</f>
        <v>0.36999451518693494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77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78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6.242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1.0000000000582077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6.2421100000000003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-4.6871636932366263</v>
      </c>
      <c r="AN164" s="162" cm="1">
        <f t="array" ref="AN164:AN643">IF(_xlfn.ANCHORARRAY($AH$164)=1,INDEX($AT$9:$AT$150,MATCH(_xlfn.ANCHORARRAY($AE$164),$M$9:$M$150,0))+((_xlfn.ANCHORARRAY($AI$164)-1)*-AS5),0)</f>
        <v>-2.8318136001967535</v>
      </c>
      <c r="AO164" s="162" cm="1">
        <f t="array" ref="AO164:AO643">IF(_xlfn.ANCHORARRAY($AH$164)=1,-INDEX($AN$9:$AN$150,MATCH(_xlfn.ANCHORARRAY($AE$164),$M$9:$M$150,0)),IF(_xlfn.ANCHORARRAY($AH$164)=2,_xlfn.ANCHORARRAY($AY$164),0))</f>
        <v>85.029987723188711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1613.par</v>
      </c>
      <c r="AV164" s="82" t="str" cm="1">
        <f t="array" ref="AV164:AV643">INDEX(Settings!$C$3:$K$4,_xlfn.ANCHORARRAY(Assy.Model!$AG$164),_xlfn.ANCHORARRAY(Assy.Model!$AF$164))</f>
        <v>188,121,255</v>
      </c>
      <c r="AW164" s="951" cm="1">
        <f t="array" ref="AW164:AW643">-INDEX($M$164:$M$305,MATCH(_xlfn.ANCHORARRAY($AE$164),$J$164:$J$305,0))</f>
        <v>0</v>
      </c>
      <c r="AX164" s="951" cm="1">
        <f t="array" ref="AX164:AX643">-INDEX($AN$9:$AN$150,MATCH(_xlfn.ANCHORARRAY($AE$164),$M$9:$M$150,0))</f>
        <v>85.029987723188711</v>
      </c>
      <c r="AY164" s="951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69"/>
        <v>0.57699999999999996</v>
      </c>
      <c r="BF164" s="162">
        <f t="shared" si="1070"/>
        <v>0.58699999999999997</v>
      </c>
    </row>
    <row r="165" spans="2:58" x14ac:dyDescent="0.25">
      <c r="B165" s="650">
        <v>2.5611074940602468E-17</v>
      </c>
      <c r="C165" s="651">
        <v>1.0375031291094376</v>
      </c>
      <c r="D165" s="652">
        <v>-0.39180118167236389</v>
      </c>
      <c r="E165" s="653">
        <v>-0.96126170705176617</v>
      </c>
      <c r="F165" s="651">
        <v>-1.4425740483648615E-2</v>
      </c>
      <c r="G165" s="654">
        <v>0.27525956580548261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1" t="s">
        <v>420</v>
      </c>
      <c r="M165" s="942"/>
      <c r="N165" s="943"/>
      <c r="O165" s="944"/>
      <c r="Q165" s="162">
        <f t="shared" si="1071"/>
        <v>2.5611074940602468E-17</v>
      </c>
      <c r="R165" s="162">
        <f t="shared" si="1072"/>
        <v>1.0375031291094376</v>
      </c>
      <c r="S165" s="162">
        <f t="shared" si="1073"/>
        <v>-0.39180118167236389</v>
      </c>
      <c r="T165" s="162">
        <f t="shared" si="1074"/>
        <v>-0.96126170705176617</v>
      </c>
      <c r="U165" s="162">
        <f t="shared" si="1075"/>
        <v>-1.4425740483648615E-2</v>
      </c>
      <c r="V165" s="162">
        <f t="shared" si="1076"/>
        <v>0.27525956580548261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77"/>
        <v>0.52</v>
      </c>
      <c r="Y165" s="75">
        <v>1.1040000000000001</v>
      </c>
      <c r="Z165" s="917">
        <f t="shared" si="1078"/>
        <v>1613</v>
      </c>
      <c r="AA165" s="82"/>
      <c r="AB165" s="75"/>
      <c r="AC165" s="166">
        <v>6.1000099999999993</v>
      </c>
      <c r="AD165" s="166">
        <v>-25.5</v>
      </c>
      <c r="AE165" s="75">
        <v>6.2359999999999998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6.23611</v>
      </c>
      <c r="AK165" s="82" t="str">
        <v>Base</v>
      </c>
      <c r="AL165" s="162">
        <v>-26.25</v>
      </c>
      <c r="AM165" s="162">
        <v>-4.5852385809365135</v>
      </c>
      <c r="AN165" s="162">
        <v>-2.0280467822675097</v>
      </c>
      <c r="AO165" s="162">
        <v>76.29998898364461</v>
      </c>
      <c r="AP165" s="162">
        <v>0</v>
      </c>
      <c r="AQ165" s="162">
        <v>0</v>
      </c>
      <c r="AR165" s="710" t="str">
        <v>1613.par</v>
      </c>
      <c r="AV165" s="82" t="str">
        <v>188,121,255</v>
      </c>
      <c r="AW165" s="951">
        <v>0</v>
      </c>
      <c r="AX165" s="951">
        <v>76.29998898364461</v>
      </c>
      <c r="AY165" s="951">
        <v>0</v>
      </c>
      <c r="BC165" t="s">
        <v>155</v>
      </c>
      <c r="BD165" s="199">
        <v>0.625</v>
      </c>
      <c r="BE165" s="162">
        <f t="shared" si="1069"/>
        <v>0.625</v>
      </c>
      <c r="BF165" s="162">
        <f t="shared" si="1070"/>
        <v>0.63500000000000001</v>
      </c>
    </row>
    <row r="166" spans="2:58" x14ac:dyDescent="0.25">
      <c r="B166" s="650">
        <v>8.5370249802008226E-18</v>
      </c>
      <c r="C166" s="651">
        <v>1.7333052276485668</v>
      </c>
      <c r="D166" s="652">
        <v>-0.20640062250427751</v>
      </c>
      <c r="E166" s="653">
        <v>-0.96126170705176617</v>
      </c>
      <c r="F166" s="651">
        <v>0</v>
      </c>
      <c r="G166" s="654">
        <v>0.27563731705979949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1" t="s">
        <v>420</v>
      </c>
      <c r="M166" s="942"/>
      <c r="N166" s="943"/>
      <c r="O166" s="944"/>
      <c r="Q166" s="162">
        <f t="shared" si="1071"/>
        <v>8.5370249802008226E-18</v>
      </c>
      <c r="R166" s="162">
        <f t="shared" si="1072"/>
        <v>1.7333052276485668</v>
      </c>
      <c r="S166" s="162">
        <f t="shared" si="1073"/>
        <v>-0.20640062250427751</v>
      </c>
      <c r="T166" s="162">
        <f t="shared" si="1074"/>
        <v>-0.96126170705176617</v>
      </c>
      <c r="U166" s="162">
        <f t="shared" si="1075"/>
        <v>0</v>
      </c>
      <c r="V166" s="162">
        <f t="shared" si="1076"/>
        <v>0.27563731705979949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77"/>
        <v>0.52</v>
      </c>
      <c r="Y166" s="75">
        <v>1.107</v>
      </c>
      <c r="Z166" s="917">
        <f t="shared" si="1078"/>
        <v>1613</v>
      </c>
      <c r="AA166" s="82"/>
      <c r="AB166" s="75"/>
      <c r="AC166" s="166">
        <v>5.2000099999999998</v>
      </c>
      <c r="AD166" s="166">
        <v>-24.75</v>
      </c>
      <c r="AE166" s="75">
        <v>6.23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6.2301100000000007</v>
      </c>
      <c r="AK166" s="82" t="str">
        <v>Base</v>
      </c>
      <c r="AL166" s="162">
        <v>-26.25</v>
      </c>
      <c r="AM166" s="162">
        <v>-4.3374689425018378</v>
      </c>
      <c r="AN166" s="162">
        <v>-1.3192924714955878</v>
      </c>
      <c r="AO166" s="162">
        <v>59.509991407820316</v>
      </c>
      <c r="AP166" s="162">
        <v>0</v>
      </c>
      <c r="AQ166" s="162">
        <v>0</v>
      </c>
      <c r="AR166" s="710" t="str">
        <v>1313.par</v>
      </c>
      <c r="AV166" s="82" t="str">
        <v>188,121,255</v>
      </c>
      <c r="AW166" s="951">
        <v>0</v>
      </c>
      <c r="AX166" s="951">
        <v>59.509991407820316</v>
      </c>
      <c r="AY166" s="951">
        <v>0</v>
      </c>
      <c r="BC166" t="s">
        <v>156</v>
      </c>
      <c r="BD166" s="199">
        <v>0.66500000000000004</v>
      </c>
      <c r="BE166" s="162">
        <f t="shared" si="1069"/>
        <v>0.66500000000000004</v>
      </c>
      <c r="BF166" s="162">
        <f t="shared" si="1070"/>
        <v>0.67500000000000004</v>
      </c>
    </row>
    <row r="167" spans="2:58" x14ac:dyDescent="0.25">
      <c r="B167" s="650">
        <v>3.8619693509931146E-3</v>
      </c>
      <c r="C167" s="651">
        <v>2.4586043819761429</v>
      </c>
      <c r="D167" s="652">
        <v>-0.15630047140222181</v>
      </c>
      <c r="E167" s="653">
        <v>-0.96118533672950102</v>
      </c>
      <c r="F167" s="651">
        <v>4.9373797433927807E-2</v>
      </c>
      <c r="G167" s="654">
        <v>0.2714497680661182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1" t="s">
        <v>420</v>
      </c>
      <c r="M167" s="942"/>
      <c r="N167" s="943"/>
      <c r="O167" s="944"/>
      <c r="Q167" s="162">
        <f t="shared" si="1071"/>
        <v>3.8619693509931146E-3</v>
      </c>
      <c r="R167" s="162">
        <f t="shared" si="1072"/>
        <v>2.4586043819761429</v>
      </c>
      <c r="S167" s="162">
        <f t="shared" si="1073"/>
        <v>-0.15630047140222181</v>
      </c>
      <c r="T167" s="162">
        <f t="shared" si="1074"/>
        <v>-0.96118533672950102</v>
      </c>
      <c r="U167" s="162">
        <f t="shared" si="1075"/>
        <v>4.9373797433927807E-2</v>
      </c>
      <c r="V167" s="162">
        <f t="shared" si="1076"/>
        <v>0.2714497680661182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77"/>
        <v>0.52</v>
      </c>
      <c r="Y167" s="75">
        <v>1.111</v>
      </c>
      <c r="Z167" s="917">
        <f t="shared" si="1078"/>
        <v>1613</v>
      </c>
      <c r="AA167" s="82"/>
      <c r="AB167" s="75"/>
      <c r="AC167" s="166">
        <v>5.1000099999999993</v>
      </c>
      <c r="AD167" s="166">
        <v>-24</v>
      </c>
      <c r="AE167" s="75">
        <v>6.2240000000000002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6.2241100000000005</v>
      </c>
      <c r="AK167" s="82" t="str">
        <v>Base</v>
      </c>
      <c r="AL167" s="162">
        <v>-26.25</v>
      </c>
      <c r="AM167" s="162">
        <v>-3.9125499819631724</v>
      </c>
      <c r="AN167" s="162">
        <v>-0.68947706297366107</v>
      </c>
      <c r="AO167" s="162">
        <v>42.499993863760089</v>
      </c>
      <c r="AP167" s="162">
        <v>-25.479996321143663</v>
      </c>
      <c r="AQ167" s="162">
        <v>0</v>
      </c>
      <c r="AR167" s="710" t="str">
        <v>1313.par</v>
      </c>
      <c r="AV167" s="82" t="str">
        <v>188,121,255</v>
      </c>
      <c r="AW167" s="951">
        <v>0</v>
      </c>
      <c r="AX167" s="951">
        <v>42.499993863760089</v>
      </c>
      <c r="AY167" s="951">
        <v>0</v>
      </c>
      <c r="BC167" t="s">
        <v>157</v>
      </c>
      <c r="BD167" s="199">
        <v>0.70799999999999996</v>
      </c>
      <c r="BE167" s="162">
        <f t="shared" si="1069"/>
        <v>0.70799999999999996</v>
      </c>
      <c r="BF167" s="162">
        <f t="shared" si="1070"/>
        <v>0.71799999999999997</v>
      </c>
    </row>
    <row r="168" spans="2:58" x14ac:dyDescent="0.25">
      <c r="B168" s="650">
        <v>3.994881211120991E-2</v>
      </c>
      <c r="C168" s="651">
        <v>3.1788585791383084</v>
      </c>
      <c r="D168" s="652">
        <v>-0.35160106042879813</v>
      </c>
      <c r="E168" s="653">
        <v>-0.95693248660989516</v>
      </c>
      <c r="F168" s="651">
        <v>0.13248962296670794</v>
      </c>
      <c r="G168" s="654">
        <v>0.2583151483686979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1" t="s">
        <v>420</v>
      </c>
      <c r="M168" s="942"/>
      <c r="N168" s="943"/>
      <c r="O168" s="944"/>
      <c r="Q168" s="162">
        <f t="shared" si="1071"/>
        <v>3.994881211120991E-2</v>
      </c>
      <c r="R168" s="162">
        <f t="shared" si="1072"/>
        <v>3.1788585791383084</v>
      </c>
      <c r="S168" s="162">
        <f t="shared" si="1073"/>
        <v>-0.35160106042879813</v>
      </c>
      <c r="T168" s="162">
        <f t="shared" si="1074"/>
        <v>-0.95693248660989516</v>
      </c>
      <c r="U168" s="162">
        <f t="shared" si="1075"/>
        <v>0.13248962296670794</v>
      </c>
      <c r="V168" s="162">
        <f t="shared" si="1076"/>
        <v>0.2583151483686979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77"/>
        <v>0.52</v>
      </c>
      <c r="Y168" s="75">
        <v>1.117</v>
      </c>
      <c r="Z168" s="917">
        <f t="shared" si="1078"/>
        <v>1613</v>
      </c>
      <c r="AA168" s="82"/>
      <c r="AB168" s="75"/>
      <c r="AC168" s="166">
        <v>4.2000099999999998</v>
      </c>
      <c r="AD168" s="166">
        <v>-23.25</v>
      </c>
      <c r="AE168" s="75">
        <v>6.218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6.2181100000000002</v>
      </c>
      <c r="AK168" s="82" t="str">
        <v>Base</v>
      </c>
      <c r="AL168" s="162">
        <v>-26.25</v>
      </c>
      <c r="AM168" s="162">
        <v>-3.3074933656265726</v>
      </c>
      <c r="AN168" s="162">
        <v>-0.23640641698821174</v>
      </c>
      <c r="AO168" s="162">
        <v>27.499996029491825</v>
      </c>
      <c r="AP168" s="162">
        <v>-22.11999680626759</v>
      </c>
      <c r="AQ168" s="162">
        <v>0</v>
      </c>
      <c r="AR168" s="710" t="str">
        <v>1313.par</v>
      </c>
      <c r="AV168" s="82" t="str">
        <v>188,121,255</v>
      </c>
      <c r="AW168" s="951">
        <v>0</v>
      </c>
      <c r="AX168" s="951">
        <v>27.499996029491825</v>
      </c>
      <c r="AY168" s="951">
        <v>0</v>
      </c>
      <c r="BC168" t="s">
        <v>158</v>
      </c>
      <c r="BD168" s="199">
        <v>0.75</v>
      </c>
      <c r="BE168" s="162">
        <f t="shared" si="1069"/>
        <v>0.75</v>
      </c>
      <c r="BF168" s="162">
        <f t="shared" si="1070"/>
        <v>0.76</v>
      </c>
    </row>
    <row r="169" spans="2:58" x14ac:dyDescent="0.25">
      <c r="B169" s="650">
        <v>0.10010933595469798</v>
      </c>
      <c r="C169" s="651">
        <v>3.7976922173198</v>
      </c>
      <c r="D169" s="652">
        <v>-0.76830231719978814</v>
      </c>
      <c r="E169" s="653">
        <v>-0.93407175922206021</v>
      </c>
      <c r="F169" s="651">
        <v>0.24370140695218173</v>
      </c>
      <c r="G169" s="654">
        <v>0.26099726602654799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1" t="s">
        <v>420</v>
      </c>
      <c r="M169" s="942"/>
      <c r="N169" s="943"/>
      <c r="O169" s="944"/>
      <c r="Q169" s="162">
        <f t="shared" si="1071"/>
        <v>0.10010933595469798</v>
      </c>
      <c r="R169" s="162">
        <f t="shared" si="1072"/>
        <v>3.7976922173198</v>
      </c>
      <c r="S169" s="162">
        <f t="shared" si="1073"/>
        <v>-0.76830231719978814</v>
      </c>
      <c r="T169" s="162">
        <f t="shared" si="1074"/>
        <v>-0.93407175922206021</v>
      </c>
      <c r="U169" s="162">
        <f t="shared" si="1075"/>
        <v>0.24370140695218173</v>
      </c>
      <c r="V169" s="162">
        <f t="shared" si="1076"/>
        <v>0.26099726602654799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77"/>
        <v>0.52</v>
      </c>
      <c r="Y169" s="75">
        <v>1.123</v>
      </c>
      <c r="Z169" s="917">
        <f t="shared" si="1078"/>
        <v>1613</v>
      </c>
      <c r="AA169" s="82"/>
      <c r="AB169" s="75"/>
      <c r="AC169" s="166">
        <v>4.1000099999999993</v>
      </c>
      <c r="AD169" s="166">
        <v>-22.5</v>
      </c>
      <c r="AE169" s="75">
        <v>6.1420000000000003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6.1421100000000006</v>
      </c>
      <c r="AK169" s="82" t="str">
        <v>Base</v>
      </c>
      <c r="AL169" s="162">
        <v>-25.5</v>
      </c>
      <c r="AM169" s="162">
        <v>-4.6915141496066735</v>
      </c>
      <c r="AN169" s="162">
        <v>-2.824493201436634</v>
      </c>
      <c r="AO169" s="162">
        <v>84.999987727520164</v>
      </c>
      <c r="AP169" s="162">
        <v>-29.99999566853651</v>
      </c>
      <c r="AQ169" s="162">
        <v>0</v>
      </c>
      <c r="AR169" s="710" t="str">
        <v>1613.par</v>
      </c>
      <c r="AV169" s="82" t="str">
        <v>127,0,255</v>
      </c>
      <c r="AW169" s="951">
        <v>0</v>
      </c>
      <c r="AX169" s="951">
        <v>84.999987727520164</v>
      </c>
      <c r="AY169" s="951">
        <v>0</v>
      </c>
    </row>
    <row r="170" spans="2:58" x14ac:dyDescent="0.25">
      <c r="B170" s="650">
        <v>0.16450687213988019</v>
      </c>
      <c r="C170" s="651">
        <v>4.2628398121922872</v>
      </c>
      <c r="D170" s="652">
        <v>-1.351904077342698</v>
      </c>
      <c r="E170" s="653">
        <v>-0.90541669478886366</v>
      </c>
      <c r="F170" s="651">
        <v>0.35893103158796652</v>
      </c>
      <c r="G170" s="654">
        <v>0.22669169230655117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1" t="s">
        <v>420</v>
      </c>
      <c r="M170" s="942"/>
      <c r="N170" s="943"/>
      <c r="O170" s="944"/>
      <c r="Q170" s="162">
        <f t="shared" si="1071"/>
        <v>0.16450687213988019</v>
      </c>
      <c r="R170" s="162">
        <f t="shared" si="1072"/>
        <v>4.2628398121922872</v>
      </c>
      <c r="S170" s="162">
        <f t="shared" si="1073"/>
        <v>-1.351904077342698</v>
      </c>
      <c r="T170" s="162">
        <f t="shared" si="1074"/>
        <v>-0.90541669478886366</v>
      </c>
      <c r="U170" s="162">
        <f t="shared" si="1075"/>
        <v>0.35893103158796652</v>
      </c>
      <c r="V170" s="162">
        <f t="shared" si="1076"/>
        <v>0.22669169230655117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77"/>
        <v>0.52</v>
      </c>
      <c r="Y170" s="75">
        <v>1.129</v>
      </c>
      <c r="Z170" s="917">
        <f t="shared" si="1078"/>
        <v>1613</v>
      </c>
      <c r="AA170" s="82"/>
      <c r="AB170" s="75"/>
      <c r="AC170" s="166">
        <v>3.2000100000000002</v>
      </c>
      <c r="AD170" s="166">
        <v>-21.75</v>
      </c>
      <c r="AE170" s="75">
        <v>6.1360000000000001</v>
      </c>
      <c r="AF170" s="82">
        <v>6</v>
      </c>
      <c r="AG170" s="82">
        <v>1</v>
      </c>
      <c r="AH170" s="82">
        <v>1</v>
      </c>
      <c r="AI170" s="82">
        <v>1.0000000000582077</v>
      </c>
      <c r="AJ170" s="166">
        <v>6.1361100000000004</v>
      </c>
      <c r="AK170" s="82" t="str">
        <v>Base</v>
      </c>
      <c r="AL170" s="162">
        <v>-25.5</v>
      </c>
      <c r="AM170" s="162">
        <v>-4.5816138181472752</v>
      </c>
      <c r="AN170" s="162">
        <v>-2.0226741162202426</v>
      </c>
      <c r="AO170" s="162">
        <v>72.499989532296652</v>
      </c>
      <c r="AP170" s="162">
        <v>-27.199996072806407</v>
      </c>
      <c r="AQ170" s="162">
        <v>0</v>
      </c>
      <c r="AR170" s="710" t="str">
        <v>1613.par</v>
      </c>
      <c r="AV170" s="82" t="str">
        <v>127,0,255</v>
      </c>
      <c r="AW170" s="951">
        <v>0</v>
      </c>
      <c r="AX170" s="951">
        <v>72.499989532296652</v>
      </c>
      <c r="AY170" s="951">
        <v>0</v>
      </c>
    </row>
    <row r="171" spans="2:58" x14ac:dyDescent="0.25">
      <c r="B171" s="650">
        <v>0.21127331434382071</v>
      </c>
      <c r="C171" s="651">
        <v>4.5475085878385482</v>
      </c>
      <c r="D171" s="652">
        <v>-2.0427061608017816</v>
      </c>
      <c r="E171" s="653">
        <v>-0.87332424896505534</v>
      </c>
      <c r="F171" s="651">
        <v>0.4623706832904198</v>
      </c>
      <c r="G171" s="654">
        <v>0.15335614563222574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1" t="s">
        <v>420</v>
      </c>
      <c r="M171" s="942"/>
      <c r="N171" s="943"/>
      <c r="O171" s="944"/>
      <c r="Q171" s="162">
        <f t="shared" si="1071"/>
        <v>0.21127331434382071</v>
      </c>
      <c r="R171" s="162">
        <f t="shared" si="1072"/>
        <v>4.5475085878385482</v>
      </c>
      <c r="S171" s="162">
        <f t="shared" si="1073"/>
        <v>-2.0427061608017816</v>
      </c>
      <c r="T171" s="162">
        <f t="shared" si="1074"/>
        <v>-0.87332424896505534</v>
      </c>
      <c r="U171" s="162">
        <f t="shared" si="1075"/>
        <v>0.4623706832904198</v>
      </c>
      <c r="V171" s="162">
        <f t="shared" si="1076"/>
        <v>0.15335614563222574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77"/>
        <v>0.52</v>
      </c>
      <c r="Y171" s="75">
        <v>1.135</v>
      </c>
      <c r="Z171" s="917">
        <f t="shared" si="1078"/>
        <v>1613</v>
      </c>
      <c r="AA171" s="82"/>
      <c r="AB171" s="75"/>
      <c r="AC171" s="166">
        <v>3.1000100000000002</v>
      </c>
      <c r="AD171" s="166">
        <v>-21</v>
      </c>
      <c r="AE171" s="75">
        <v>6.13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6.1301100000000002</v>
      </c>
      <c r="AK171" s="82" t="str">
        <v>Base</v>
      </c>
      <c r="AL171" s="162">
        <v>-25.5</v>
      </c>
      <c r="AM171" s="162">
        <v>-4.3267130493665569</v>
      </c>
      <c r="AN171" s="162">
        <v>-1.3198618107411308</v>
      </c>
      <c r="AO171" s="162">
        <v>57.499991698028374</v>
      </c>
      <c r="AP171" s="162">
        <v>-23.839996557930323</v>
      </c>
      <c r="AQ171" s="162">
        <v>0</v>
      </c>
      <c r="AR171" s="710" t="str">
        <v>1613.par</v>
      </c>
      <c r="AV171" s="82" t="str">
        <v>127,0,255</v>
      </c>
      <c r="AW171" s="951">
        <v>0</v>
      </c>
      <c r="AX171" s="951">
        <v>57.499991698028374</v>
      </c>
      <c r="AY171" s="951">
        <v>0</v>
      </c>
    </row>
    <row r="172" spans="2:58" x14ac:dyDescent="0.25">
      <c r="B172" s="650">
        <v>0.23653968143848556</v>
      </c>
      <c r="C172" s="651">
        <v>4.6855473527715654</v>
      </c>
      <c r="D172" s="652">
        <v>-2.8411085687834436</v>
      </c>
      <c r="E172" s="653">
        <v>-0.83981062807658513</v>
      </c>
      <c r="F172" s="651">
        <v>0.54112759058728155</v>
      </c>
      <c r="G172" s="654">
        <v>4.3577972357774906E-2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1" t="s">
        <v>420</v>
      </c>
      <c r="M172" s="942"/>
      <c r="N172" s="943"/>
      <c r="O172" s="944"/>
      <c r="Q172" s="162">
        <f t="shared" si="1071"/>
        <v>0.23653968143848556</v>
      </c>
      <c r="R172" s="162">
        <f t="shared" si="1072"/>
        <v>4.6855473527715654</v>
      </c>
      <c r="S172" s="162">
        <f t="shared" si="1073"/>
        <v>-2.8411085687834436</v>
      </c>
      <c r="T172" s="162">
        <f t="shared" si="1074"/>
        <v>-0.83981062807658513</v>
      </c>
      <c r="U172" s="162">
        <f t="shared" si="1075"/>
        <v>0.54112759058728155</v>
      </c>
      <c r="V172" s="162">
        <f t="shared" si="1076"/>
        <v>4.3577972357774906E-2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77"/>
        <v>0.52</v>
      </c>
      <c r="Y172" s="75">
        <v>1.141</v>
      </c>
      <c r="Z172" s="917">
        <f t="shared" si="1078"/>
        <v>1613</v>
      </c>
      <c r="AA172" s="82"/>
      <c r="AB172" s="75"/>
      <c r="AC172" s="166">
        <v>2.2000100000000002</v>
      </c>
      <c r="AD172" s="166">
        <v>-20.25</v>
      </c>
      <c r="AE172" s="75">
        <v>6.1239999999999997</v>
      </c>
      <c r="AF172" s="82">
        <v>6</v>
      </c>
      <c r="AG172" s="82">
        <v>1</v>
      </c>
      <c r="AH172" s="82">
        <v>1</v>
      </c>
      <c r="AI172" s="82">
        <v>0.99999999998544808</v>
      </c>
      <c r="AJ172" s="166">
        <v>6.1241099999999999</v>
      </c>
      <c r="AK172" s="82" t="str">
        <v>Base</v>
      </c>
      <c r="AL172" s="162">
        <v>-25.5</v>
      </c>
      <c r="AM172" s="162">
        <v>-3.888511727751371</v>
      </c>
      <c r="AN172" s="162">
        <v>-0.71456553975746073</v>
      </c>
      <c r="AO172" s="162">
        <v>42.499993863760125</v>
      </c>
      <c r="AP172" s="162">
        <v>-20.47999704305424</v>
      </c>
      <c r="AQ172" s="162">
        <v>0</v>
      </c>
      <c r="AR172" s="710" t="str">
        <v>1613.par</v>
      </c>
      <c r="AV172" s="82" t="str">
        <v>127,0,255</v>
      </c>
      <c r="AW172" s="951">
        <v>0</v>
      </c>
      <c r="AX172" s="951">
        <v>42.499993863760125</v>
      </c>
      <c r="AY172" s="951">
        <v>0</v>
      </c>
    </row>
    <row r="173" spans="2:58" x14ac:dyDescent="0.25">
      <c r="B173" s="650">
        <v>0.83820903951970804</v>
      </c>
      <c r="C173" s="651">
        <v>2.3177960175382584</v>
      </c>
      <c r="D173" s="652">
        <v>-0.13271261756748581</v>
      </c>
      <c r="E173" s="653">
        <v>-0.85677068856444305</v>
      </c>
      <c r="F173" s="651">
        <v>0.37601728523267292</v>
      </c>
      <c r="G173" s="654">
        <v>0.35292348805805063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1" t="s">
        <v>421</v>
      </c>
      <c r="M173" s="942"/>
      <c r="N173" s="943"/>
      <c r="O173" s="944"/>
      <c r="Q173" s="162">
        <f t="shared" si="1071"/>
        <v>0.83820903951970804</v>
      </c>
      <c r="R173" s="162">
        <f t="shared" si="1072"/>
        <v>2.3177960175382584</v>
      </c>
      <c r="S173" s="162">
        <f t="shared" si="1073"/>
        <v>-0.13271261756748581</v>
      </c>
      <c r="T173" s="162">
        <f t="shared" si="1074"/>
        <v>-0.85677068856444305</v>
      </c>
      <c r="U173" s="162">
        <f t="shared" si="1075"/>
        <v>0.37601728523267292</v>
      </c>
      <c r="V173" s="162">
        <f t="shared" si="1076"/>
        <v>0.35292348805805063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77"/>
        <v>0.39400000000000002</v>
      </c>
      <c r="Y173" s="75">
        <v>1.2110000000000001</v>
      </c>
      <c r="Z173" s="917">
        <f t="shared" si="1078"/>
        <v>1310</v>
      </c>
      <c r="AA173" s="82"/>
      <c r="AB173" s="75"/>
      <c r="AC173" s="166">
        <v>2.1000100000000002</v>
      </c>
      <c r="AD173" s="166">
        <v>-19.5</v>
      </c>
      <c r="AE173" s="75">
        <v>6.1180000000000003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6.1181100000000006</v>
      </c>
      <c r="AK173" s="82" t="str">
        <v>Base</v>
      </c>
      <c r="AL173" s="162">
        <v>-25.5</v>
      </c>
      <c r="AM173" s="162">
        <v>-3.2912099262891377</v>
      </c>
      <c r="AN173" s="162">
        <v>-0.2663299274758405</v>
      </c>
      <c r="AO173" s="162">
        <v>27.499996029491861</v>
      </c>
      <c r="AP173" s="162">
        <v>-17.119997528178182</v>
      </c>
      <c r="AQ173" s="162">
        <v>0</v>
      </c>
      <c r="AR173" s="710" t="str">
        <v>1613.par</v>
      </c>
      <c r="AV173" s="82" t="str">
        <v>127,0,255</v>
      </c>
      <c r="AW173" s="951">
        <v>0</v>
      </c>
      <c r="AX173" s="951">
        <v>27.499996029491861</v>
      </c>
      <c r="AY173" s="951">
        <v>0</v>
      </c>
    </row>
    <row r="174" spans="2:58" x14ac:dyDescent="0.25">
      <c r="B174" s="650">
        <v>0.87506634331155442</v>
      </c>
      <c r="C174" s="651">
        <v>3.0717724989311681</v>
      </c>
      <c r="D174" s="652">
        <v>-0.32813875431451983</v>
      </c>
      <c r="E174" s="653">
        <v>-0.85189912166076331</v>
      </c>
      <c r="F174" s="651">
        <v>0.40416385387118903</v>
      </c>
      <c r="G174" s="654">
        <v>0.33304574120923458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1" t="s">
        <v>421</v>
      </c>
      <c r="M174" s="942"/>
      <c r="N174" s="943"/>
      <c r="O174" s="944"/>
      <c r="Q174" s="162">
        <f t="shared" si="1071"/>
        <v>0.87506634331155442</v>
      </c>
      <c r="R174" s="162">
        <f t="shared" si="1072"/>
        <v>3.0717724989311681</v>
      </c>
      <c r="S174" s="162">
        <f t="shared" si="1073"/>
        <v>-0.32813875431451983</v>
      </c>
      <c r="T174" s="162">
        <f t="shared" si="1074"/>
        <v>-0.85189912166076331</v>
      </c>
      <c r="U174" s="162">
        <f t="shared" si="1075"/>
        <v>0.40416385387118903</v>
      </c>
      <c r="V174" s="162">
        <f t="shared" si="1076"/>
        <v>0.33304574120923458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77"/>
        <v>0.52</v>
      </c>
      <c r="Y174" s="75">
        <v>1.2170000000000001</v>
      </c>
      <c r="Z174" s="917">
        <f t="shared" si="1078"/>
        <v>1313</v>
      </c>
      <c r="AA174" s="82"/>
      <c r="AB174" s="75"/>
      <c r="AC174" s="166">
        <v>1.20001</v>
      </c>
      <c r="AD174" s="166">
        <v>-18.75</v>
      </c>
      <c r="AE174" s="75">
        <v>6.1120000000000001</v>
      </c>
      <c r="AF174" s="82">
        <v>6</v>
      </c>
      <c r="AG174" s="82">
        <v>1</v>
      </c>
      <c r="AH174" s="82">
        <v>1</v>
      </c>
      <c r="AI174" s="82">
        <v>1.0000000000582077</v>
      </c>
      <c r="AJ174" s="166">
        <v>6.1121100000000004</v>
      </c>
      <c r="AK174" s="82" t="str">
        <v>Base</v>
      </c>
      <c r="AL174" s="162">
        <v>-25.5</v>
      </c>
      <c r="AM174" s="162">
        <v>-2.5826077891450923</v>
      </c>
      <c r="AN174" s="162">
        <v>-3.1344032578261523E-2</v>
      </c>
      <c r="AO174" s="162">
        <v>12.49999819522351</v>
      </c>
      <c r="AP174" s="162">
        <v>-15.999997689886111</v>
      </c>
      <c r="AQ174" s="162">
        <v>0</v>
      </c>
      <c r="AR174" s="710" t="str">
        <v>1613.par</v>
      </c>
      <c r="AV174" s="82" t="str">
        <v>127,0,255</v>
      </c>
      <c r="AW174" s="951">
        <v>0</v>
      </c>
      <c r="AX174" s="951">
        <v>12.49999819522351</v>
      </c>
      <c r="AY174" s="951">
        <v>0</v>
      </c>
    </row>
    <row r="175" spans="2:58" x14ac:dyDescent="0.25">
      <c r="B175" s="650">
        <v>0.93548137612266236</v>
      </c>
      <c r="C175" s="651">
        <v>3.7055993981046584</v>
      </c>
      <c r="D175" s="652">
        <v>-0.74810826541159559</v>
      </c>
      <c r="E175" s="653">
        <v>-0.8130160498221789</v>
      </c>
      <c r="F175" s="651">
        <v>0.48458376601522896</v>
      </c>
      <c r="G175" s="654">
        <v>0.32277465273165151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1" t="s">
        <v>421</v>
      </c>
      <c r="M175" s="942"/>
      <c r="N175" s="943"/>
      <c r="O175" s="944"/>
      <c r="Q175" s="162">
        <f t="shared" si="1071"/>
        <v>0.93548137612266236</v>
      </c>
      <c r="R175" s="162">
        <f t="shared" si="1072"/>
        <v>3.7055993981046584</v>
      </c>
      <c r="S175" s="162">
        <f t="shared" si="1073"/>
        <v>-0.74810826541159559</v>
      </c>
      <c r="T175" s="162">
        <f t="shared" si="1074"/>
        <v>-0.8130160498221789</v>
      </c>
      <c r="U175" s="162">
        <f t="shared" si="1075"/>
        <v>0.48458376601522896</v>
      </c>
      <c r="V175" s="162">
        <f t="shared" si="1076"/>
        <v>0.32277465273165151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77"/>
        <v>0.52</v>
      </c>
      <c r="Y175" s="75">
        <v>1.2230000000000001</v>
      </c>
      <c r="Z175" s="917">
        <f t="shared" si="1078"/>
        <v>1313</v>
      </c>
      <c r="AA175" s="82"/>
      <c r="AB175" s="75"/>
      <c r="AC175" s="166">
        <v>1.1000100000000002</v>
      </c>
      <c r="AD175" s="166">
        <v>-18</v>
      </c>
      <c r="AE175" s="75">
        <v>5.2430000000000003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5.2431100000000006</v>
      </c>
      <c r="AK175" s="82" t="str">
        <v>Base</v>
      </c>
      <c r="AL175" s="162">
        <v>-24.75</v>
      </c>
      <c r="AM175" s="162">
        <v>-4.6871636932366263</v>
      </c>
      <c r="AN175" s="162">
        <v>-2.9860780980137709</v>
      </c>
      <c r="AO175" s="162">
        <v>85.029987723188711</v>
      </c>
      <c r="AP175" s="162">
        <v>0</v>
      </c>
      <c r="AQ175" s="162">
        <v>0</v>
      </c>
      <c r="AR175" s="710" t="str">
        <v>1613.par</v>
      </c>
      <c r="AV175" s="82" t="str">
        <v>121,188,255</v>
      </c>
      <c r="AW175" s="951">
        <v>0</v>
      </c>
      <c r="AX175" s="951">
        <v>85.029987723188711</v>
      </c>
      <c r="AY175" s="951">
        <v>0</v>
      </c>
    </row>
    <row r="176" spans="2:58" x14ac:dyDescent="0.25">
      <c r="B176" s="650">
        <v>1.4022608688270897</v>
      </c>
      <c r="C176" s="651">
        <v>4.0412351458789111</v>
      </c>
      <c r="D176" s="652">
        <v>-1.3578913381564921</v>
      </c>
      <c r="E176" s="653">
        <v>0.27402104596718652</v>
      </c>
      <c r="F176" s="651">
        <v>0.78971288887163849</v>
      </c>
      <c r="G176" s="654">
        <v>0.54887705318865387</v>
      </c>
      <c r="H176" s="653">
        <v>0.25700000000000001</v>
      </c>
      <c r="I176" s="920">
        <v>0.41499999999999992</v>
      </c>
      <c r="J176" s="924">
        <v>1.2290000000000001</v>
      </c>
      <c r="K176" s="790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41" t="s">
        <v>421</v>
      </c>
      <c r="M176" s="942"/>
      <c r="N176" s="943"/>
      <c r="O176" s="944"/>
      <c r="Q176" s="162">
        <f t="shared" si="1071"/>
        <v>1.4022608688270897</v>
      </c>
      <c r="R176" s="162">
        <f t="shared" si="1072"/>
        <v>4.0412351458789111</v>
      </c>
      <c r="S176" s="162">
        <f t="shared" si="1073"/>
        <v>-1.3578913381564921</v>
      </c>
      <c r="T176" s="162">
        <f t="shared" si="1074"/>
        <v>0.27402104596718652</v>
      </c>
      <c r="U176" s="162">
        <f t="shared" si="1075"/>
        <v>0.78971288887163849</v>
      </c>
      <c r="V176" s="162">
        <f t="shared" si="1076"/>
        <v>0.54887705318865387</v>
      </c>
      <c r="W176" s="162">
        <f>IFERROR(IF(ISNUMBER(MATCH($Z176,Settings!$AK$28:$AK$36,0)),INDEX(Settings!$AO$14:$AO$36,MATCH($Z176,Settings!$AK$14:$AK$36,0))/2,INDEX(Settings!$AM$14:$AM$36,MATCH($Z176,Settings!$AK$14:$AK$36,0))/2),"")</f>
        <v>0.255</v>
      </c>
      <c r="X176" s="162">
        <f t="shared" si="1077"/>
        <v>0.41499999999999992</v>
      </c>
      <c r="Y176" s="75">
        <v>1.2290000000000001</v>
      </c>
      <c r="Z176" s="917" t="str">
        <f t="shared" si="1078"/>
        <v>CPS-32193r1</v>
      </c>
      <c r="AA176" s="82"/>
      <c r="AB176" s="75"/>
      <c r="AC176" s="166">
        <v>6.2000200000000003</v>
      </c>
      <c r="AD176" s="166">
        <v>-17.25</v>
      </c>
      <c r="AE176" s="75">
        <v>5.2370000000000001</v>
      </c>
      <c r="AF176" s="82">
        <v>5</v>
      </c>
      <c r="AG176" s="82">
        <v>2</v>
      </c>
      <c r="AH176" s="82">
        <v>1</v>
      </c>
      <c r="AI176" s="82">
        <v>1.0000000000582077</v>
      </c>
      <c r="AJ176" s="166">
        <v>5.2371100000000004</v>
      </c>
      <c r="AK176" s="82" t="str">
        <v>Base</v>
      </c>
      <c r="AL176" s="162">
        <v>-24.75</v>
      </c>
      <c r="AM176" s="162">
        <v>-4.6075561823203888</v>
      </c>
      <c r="AN176" s="162">
        <v>-2.1805325977339143</v>
      </c>
      <c r="AO176" s="162">
        <v>79.129988575043214</v>
      </c>
      <c r="AP176" s="162">
        <v>0</v>
      </c>
      <c r="AQ176" s="162">
        <v>0</v>
      </c>
      <c r="AR176" s="710" t="str">
        <v>1613.par</v>
      </c>
      <c r="AV176" s="82" t="str">
        <v>121,188,255</v>
      </c>
      <c r="AW176" s="951">
        <v>0</v>
      </c>
      <c r="AX176" s="951">
        <v>79.129988575043214</v>
      </c>
      <c r="AY176" s="951">
        <v>0</v>
      </c>
    </row>
    <row r="177" spans="2:51" x14ac:dyDescent="0.25">
      <c r="B177" s="650">
        <v>1.5661556311680518</v>
      </c>
      <c r="C177" s="651">
        <v>4.279893990108941</v>
      </c>
      <c r="D177" s="652">
        <v>-2.0554064436676369</v>
      </c>
      <c r="E177" s="653">
        <v>0.3294448120639964</v>
      </c>
      <c r="F177" s="651">
        <v>0.90028656358607584</v>
      </c>
      <c r="G177" s="654">
        <v>0.28451752007651976</v>
      </c>
      <c r="H177" s="653">
        <v>0.25700000000000001</v>
      </c>
      <c r="I177" s="920">
        <v>0.41499999999999992</v>
      </c>
      <c r="J177" s="924">
        <v>1.2350000000000001</v>
      </c>
      <c r="K177" s="790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41" t="s">
        <v>420</v>
      </c>
      <c r="M177" s="942"/>
      <c r="N177" s="943"/>
      <c r="O177" s="944"/>
      <c r="Q177" s="162">
        <f t="shared" si="1071"/>
        <v>1.5661556311680518</v>
      </c>
      <c r="R177" s="162">
        <f t="shared" si="1072"/>
        <v>4.279893990108941</v>
      </c>
      <c r="S177" s="162">
        <f t="shared" si="1073"/>
        <v>-2.0554064436676369</v>
      </c>
      <c r="T177" s="162">
        <f t="shared" si="1074"/>
        <v>0.3294448120639964</v>
      </c>
      <c r="U177" s="162">
        <f t="shared" si="1075"/>
        <v>0.90028656358607584</v>
      </c>
      <c r="V177" s="162">
        <f t="shared" si="1076"/>
        <v>0.28451752007651976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77"/>
        <v>0.41499999999999992</v>
      </c>
      <c r="Y177" s="75">
        <v>1.2350000000000001</v>
      </c>
      <c r="Z177" s="917" t="str">
        <f t="shared" si="1078"/>
        <v>CPS-32193r1</v>
      </c>
      <c r="AA177" s="82"/>
      <c r="AB177" s="75"/>
      <c r="AC177" s="166">
        <v>6.1000199999999998</v>
      </c>
      <c r="AD177" s="166">
        <v>-16.5</v>
      </c>
      <c r="AE177" s="75">
        <v>5.2309999999999999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5.2311100000000001</v>
      </c>
      <c r="AK177" s="82" t="str">
        <v>Base</v>
      </c>
      <c r="AL177" s="162">
        <v>-24.75</v>
      </c>
      <c r="AM177" s="162">
        <v>-4.392122330503164</v>
      </c>
      <c r="AN177" s="162">
        <v>-1.4615278645766256</v>
      </c>
      <c r="AO177" s="162">
        <v>62.299991004994205</v>
      </c>
      <c r="AP177" s="162">
        <v>0</v>
      </c>
      <c r="AQ177" s="162">
        <v>0</v>
      </c>
      <c r="AR177" s="710" t="str">
        <v>1313.par</v>
      </c>
      <c r="AV177" s="82" t="str">
        <v>121,188,255</v>
      </c>
      <c r="AW177" s="951">
        <v>0</v>
      </c>
      <c r="AX177" s="951">
        <v>62.299991004994205</v>
      </c>
      <c r="AY177" s="951">
        <v>0</v>
      </c>
    </row>
    <row r="178" spans="2:51" x14ac:dyDescent="0.25">
      <c r="B178" s="650">
        <v>1.707536935486879</v>
      </c>
      <c r="C178" s="651">
        <v>4.3650682813838868</v>
      </c>
      <c r="D178" s="652">
        <v>-2.8568846942489663</v>
      </c>
      <c r="E178" s="653">
        <v>0.36293097728600632</v>
      </c>
      <c r="F178" s="651">
        <v>0.92777992929979325</v>
      </c>
      <c r="G178" s="654">
        <v>8.66343379653534E-2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1" t="s">
        <v>420</v>
      </c>
      <c r="M178" s="942"/>
      <c r="N178" s="943"/>
      <c r="O178" s="944"/>
      <c r="Q178" s="162">
        <f t="shared" si="1071"/>
        <v>1.707536935486879</v>
      </c>
      <c r="R178" s="162">
        <f t="shared" si="1072"/>
        <v>4.3650682813838868</v>
      </c>
      <c r="S178" s="162">
        <f t="shared" si="1073"/>
        <v>-2.8568846942489663</v>
      </c>
      <c r="T178" s="162">
        <f t="shared" si="1074"/>
        <v>0.36293097728600632</v>
      </c>
      <c r="U178" s="162">
        <f t="shared" si="1075"/>
        <v>0.92777992929979325</v>
      </c>
      <c r="V178" s="162">
        <f t="shared" si="1076"/>
        <v>8.66343379653534E-2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77"/>
        <v>0.41499999999999992</v>
      </c>
      <c r="Y178" s="75">
        <v>1.2410000000000001</v>
      </c>
      <c r="Z178" s="917" t="str">
        <f t="shared" si="1078"/>
        <v>CPS-32193r1</v>
      </c>
      <c r="AA178" s="82"/>
      <c r="AB178" s="75"/>
      <c r="AC178" s="166">
        <v>5.2000200000000003</v>
      </c>
      <c r="AD178" s="166">
        <v>-15.75</v>
      </c>
      <c r="AE178" s="75">
        <v>5.2249999999999996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5.2251099999999999</v>
      </c>
      <c r="AK178" s="82" t="str">
        <v>Base</v>
      </c>
      <c r="AL178" s="162">
        <v>-24.75</v>
      </c>
      <c r="AM178" s="162">
        <v>-3.9986957972740775</v>
      </c>
      <c r="AN178" s="162">
        <v>-0.81131292318500947</v>
      </c>
      <c r="AO178" s="162">
        <v>44.999993502804806</v>
      </c>
      <c r="AP178" s="162">
        <v>-26.039996240289703</v>
      </c>
      <c r="AQ178" s="162">
        <v>0</v>
      </c>
      <c r="AR178" s="710" t="str">
        <v>1313.par</v>
      </c>
      <c r="AV178" s="82" t="str">
        <v>121,188,255</v>
      </c>
      <c r="AW178" s="951">
        <v>0</v>
      </c>
      <c r="AX178" s="951">
        <v>44.999993502804806</v>
      </c>
      <c r="AY178" s="951">
        <v>0</v>
      </c>
    </row>
    <row r="179" spans="2:51" x14ac:dyDescent="0.25">
      <c r="B179" s="650">
        <v>0.82512641648020102</v>
      </c>
      <c r="C179" s="651">
        <v>4.6795251342285704</v>
      </c>
      <c r="D179" s="652">
        <v>-8.1463245693149027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1" t="s">
        <v>420</v>
      </c>
      <c r="M179" s="942"/>
      <c r="N179" s="943"/>
      <c r="O179" s="944" t="s">
        <v>9</v>
      </c>
      <c r="Q179" s="162">
        <f t="shared" si="1071"/>
        <v>2.080177271552091</v>
      </c>
      <c r="R179" s="162">
        <f t="shared" si="1072"/>
        <v>1.0580726880008247</v>
      </c>
      <c r="S179" s="162">
        <f t="shared" si="1073"/>
        <v>-0.14790044606774536</v>
      </c>
      <c r="T179" s="162">
        <f t="shared" si="1074"/>
        <v>-0.40373705515361075</v>
      </c>
      <c r="U179" s="162">
        <f t="shared" si="1075"/>
        <v>0.87310644705908014</v>
      </c>
      <c r="V179" s="162">
        <f t="shared" si="1076"/>
        <v>0.27327920228176877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77"/>
        <v>0.52</v>
      </c>
      <c r="Y179" s="75">
        <v>2.11</v>
      </c>
      <c r="Z179" s="917">
        <f t="shared" si="1078"/>
        <v>1613</v>
      </c>
      <c r="AA179" s="82"/>
      <c r="AB179" s="75"/>
      <c r="AC179" s="166">
        <v>5.1000199999999998</v>
      </c>
      <c r="AD179" s="166">
        <v>-15</v>
      </c>
      <c r="AE179" s="75">
        <v>5.2190000000000003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5.2191100000000006</v>
      </c>
      <c r="AK179" s="82" t="str">
        <v>Base</v>
      </c>
      <c r="AL179" s="162">
        <v>-24.75</v>
      </c>
      <c r="AM179" s="162">
        <v>-3.4177756005728321</v>
      </c>
      <c r="AN179" s="162">
        <v>-0.32745162112865434</v>
      </c>
      <c r="AO179" s="162">
        <v>29.999995668536492</v>
      </c>
      <c r="AP179" s="162">
        <v>-22.679996725413609</v>
      </c>
      <c r="AQ179" s="162">
        <v>0</v>
      </c>
      <c r="AR179" s="710" t="str">
        <v>1313.par</v>
      </c>
      <c r="AV179" s="82" t="str">
        <v>121,188,255</v>
      </c>
      <c r="AW179" s="951">
        <v>0</v>
      </c>
      <c r="AX179" s="951">
        <v>29.999995668536492</v>
      </c>
      <c r="AY179" s="951">
        <v>0</v>
      </c>
    </row>
    <row r="180" spans="2:51" x14ac:dyDescent="0.25">
      <c r="B180" s="650">
        <v>2.080177271552091</v>
      </c>
      <c r="C180" s="651">
        <v>1.0580726880008247</v>
      </c>
      <c r="D180" s="652">
        <v>-0.14790044606774536</v>
      </c>
      <c r="E180" s="653">
        <v>-0.40373705515361075</v>
      </c>
      <c r="F180" s="651">
        <v>0.87310644705908014</v>
      </c>
      <c r="G180" s="654">
        <v>0.27327920228176877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1" t="s">
        <v>420</v>
      </c>
      <c r="M180" s="942"/>
      <c r="N180" s="943"/>
      <c r="O180" s="944"/>
      <c r="Q180" s="162">
        <f t="shared" si="1071"/>
        <v>2.7444114365110708</v>
      </c>
      <c r="R180" s="162">
        <f t="shared" si="1072"/>
        <v>1.3629321860575463</v>
      </c>
      <c r="S180" s="162">
        <f t="shared" si="1073"/>
        <v>-0.30240091204115122</v>
      </c>
      <c r="T180" s="162">
        <f t="shared" si="1074"/>
        <v>-0.3330872423298718</v>
      </c>
      <c r="U180" s="162">
        <f t="shared" si="1075"/>
        <v>0.90785647148740534</v>
      </c>
      <c r="V180" s="162">
        <f t="shared" si="1076"/>
        <v>0.25465568160855789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77"/>
        <v>0.52</v>
      </c>
      <c r="Y180" s="75">
        <v>2.1160000000000001</v>
      </c>
      <c r="Z180" s="917">
        <f t="shared" si="1078"/>
        <v>1613</v>
      </c>
      <c r="AA180" s="82"/>
      <c r="AB180" s="75"/>
      <c r="AC180" s="166">
        <v>4.2000200000000003</v>
      </c>
      <c r="AD180" s="166">
        <v>-14.25</v>
      </c>
      <c r="AE180" s="75">
        <v>5.2130000000000001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5.2131100000000004</v>
      </c>
      <c r="AK180" s="82" t="str">
        <v>Base</v>
      </c>
      <c r="AL180" s="162">
        <v>-24.75</v>
      </c>
      <c r="AM180" s="162">
        <v>-2.7146971007579759</v>
      </c>
      <c r="AN180" s="162">
        <v>-5.0708028906330131E-2</v>
      </c>
      <c r="AO180" s="162">
        <v>14.999997834268259</v>
      </c>
      <c r="AP180" s="162">
        <v>-20.999996967975559</v>
      </c>
      <c r="AQ180" s="162">
        <v>0</v>
      </c>
      <c r="AR180" s="710" t="str">
        <v>1313.par</v>
      </c>
      <c r="AV180" s="82" t="str">
        <v>121,188,255</v>
      </c>
      <c r="AW180" s="951">
        <v>0</v>
      </c>
      <c r="AX180" s="951">
        <v>14.999997834268259</v>
      </c>
      <c r="AY180" s="951">
        <v>0</v>
      </c>
    </row>
    <row r="181" spans="2:51" x14ac:dyDescent="0.25">
      <c r="B181" s="650">
        <v>2.7444114365110708</v>
      </c>
      <c r="C181" s="651">
        <v>1.3629321860575463</v>
      </c>
      <c r="D181" s="652">
        <v>-0.30240091204115122</v>
      </c>
      <c r="E181" s="653">
        <v>-0.3330872423298718</v>
      </c>
      <c r="F181" s="651">
        <v>0.90785647148740534</v>
      </c>
      <c r="G181" s="654">
        <v>0.25465568160855789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1" t="s">
        <v>420</v>
      </c>
      <c r="M181" s="942"/>
      <c r="N181" s="943"/>
      <c r="O181" s="944"/>
      <c r="Q181" s="162">
        <f t="shared" si="1071"/>
        <v>3.3410122695616802</v>
      </c>
      <c r="R181" s="162">
        <f t="shared" si="1072"/>
        <v>1.602175995275626</v>
      </c>
      <c r="S181" s="162">
        <f t="shared" si="1073"/>
        <v>-0.68570206807743761</v>
      </c>
      <c r="T181" s="162">
        <f t="shared" si="1074"/>
        <v>-0.22598475645896027</v>
      </c>
      <c r="U181" s="162">
        <f t="shared" si="1075"/>
        <v>0.93795661052965396</v>
      </c>
      <c r="V181" s="162">
        <f t="shared" si="1076"/>
        <v>0.26299864374537668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77"/>
        <v>0.52</v>
      </c>
      <c r="Y181" s="75">
        <v>2.1219999999999999</v>
      </c>
      <c r="Z181" s="917">
        <f t="shared" si="1078"/>
        <v>1613</v>
      </c>
      <c r="AA181" s="82"/>
      <c r="AB181" s="75"/>
      <c r="AC181" s="166">
        <v>4.1000199999999998</v>
      </c>
      <c r="AD181" s="166">
        <v>-13.5</v>
      </c>
      <c r="AE181" s="75">
        <v>5.1429999999999998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5.1431100000000001</v>
      </c>
      <c r="AK181" s="82" t="str">
        <v>Base</v>
      </c>
      <c r="AL181" s="162">
        <v>-24</v>
      </c>
      <c r="AM181" s="162">
        <v>-4.6915141496066752</v>
      </c>
      <c r="AN181" s="162">
        <v>-2.978660240881168</v>
      </c>
      <c r="AO181" s="162">
        <v>84.999987727520178</v>
      </c>
      <c r="AP181" s="162">
        <v>-29.99999566853651</v>
      </c>
      <c r="AQ181" s="162">
        <v>0</v>
      </c>
      <c r="AR181" s="710" t="str">
        <v>1613.par</v>
      </c>
      <c r="AV181" s="82" t="str">
        <v>0,102,204</v>
      </c>
      <c r="AW181" s="951">
        <v>0</v>
      </c>
      <c r="AX181" s="951">
        <v>84.999987727520178</v>
      </c>
      <c r="AY181" s="951">
        <v>0</v>
      </c>
    </row>
    <row r="182" spans="2:51" x14ac:dyDescent="0.25">
      <c r="B182" s="650">
        <v>3.3410122695616802</v>
      </c>
      <c r="C182" s="651">
        <v>1.602175995275626</v>
      </c>
      <c r="D182" s="652">
        <v>-0.68570206807743761</v>
      </c>
      <c r="E182" s="653">
        <v>-0.22598475645896027</v>
      </c>
      <c r="F182" s="651">
        <v>0.93795661052965396</v>
      </c>
      <c r="G182" s="654">
        <v>0.26299864374537668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1" t="s">
        <v>420</v>
      </c>
      <c r="M182" s="942"/>
      <c r="N182" s="943"/>
      <c r="O182" s="944"/>
      <c r="Q182" s="162">
        <f t="shared" si="1071"/>
        <v>3.8097790732987264</v>
      </c>
      <c r="R182" s="162">
        <f t="shared" si="1072"/>
        <v>1.7684371257555414</v>
      </c>
      <c r="S182" s="162">
        <f t="shared" si="1073"/>
        <v>-1.2456037567409304</v>
      </c>
      <c r="T182" s="162">
        <f t="shared" si="1074"/>
        <v>-0.11043202006308134</v>
      </c>
      <c r="U182" s="162">
        <f t="shared" si="1075"/>
        <v>0.9656723068006825</v>
      </c>
      <c r="V182" s="162">
        <f t="shared" si="1076"/>
        <v>0.23512074519921866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77"/>
        <v>0.52</v>
      </c>
      <c r="Y182" s="75">
        <v>2.1280000000000001</v>
      </c>
      <c r="Z182" s="917">
        <f t="shared" si="1078"/>
        <v>1613</v>
      </c>
      <c r="AA182" s="82"/>
      <c r="AB182" s="75"/>
      <c r="AC182" s="75">
        <v>3.2000200000000003</v>
      </c>
      <c r="AD182" s="166">
        <v>-12.75</v>
      </c>
      <c r="AE182" s="75">
        <v>5.1369999999999996</v>
      </c>
      <c r="AF182" s="82">
        <v>5</v>
      </c>
      <c r="AG182" s="82">
        <v>1</v>
      </c>
      <c r="AH182" s="82">
        <v>1</v>
      </c>
      <c r="AI182" s="82">
        <v>0.99999999998544808</v>
      </c>
      <c r="AJ182" s="166">
        <v>5.1371099999999998</v>
      </c>
      <c r="AK182" s="82" t="str">
        <v>Base</v>
      </c>
      <c r="AL182" s="162">
        <v>-24</v>
      </c>
      <c r="AM182" s="162">
        <v>-4.6054138899282924</v>
      </c>
      <c r="AN182" s="162">
        <v>-2.1745272598410703</v>
      </c>
      <c r="AO182" s="162">
        <v>74.999989171341326</v>
      </c>
      <c r="AP182" s="162">
        <v>-27.759995991952422</v>
      </c>
      <c r="AQ182" s="162">
        <v>0</v>
      </c>
      <c r="AR182" s="710" t="str">
        <v>1613.par</v>
      </c>
      <c r="AV182" s="82" t="str">
        <v>0,102,204</v>
      </c>
      <c r="AW182" s="951">
        <v>0</v>
      </c>
      <c r="AX182" s="951">
        <v>74.999989171341326</v>
      </c>
      <c r="AY182" s="951">
        <v>0</v>
      </c>
    </row>
    <row r="183" spans="2:51" x14ac:dyDescent="0.25">
      <c r="B183" s="650">
        <v>3.8097790732987264</v>
      </c>
      <c r="C183" s="651">
        <v>1.7684371257555414</v>
      </c>
      <c r="D183" s="652">
        <v>-1.2456037567409304</v>
      </c>
      <c r="E183" s="653">
        <v>-0.11043202006308134</v>
      </c>
      <c r="F183" s="651">
        <v>0.9656723068006825</v>
      </c>
      <c r="G183" s="654">
        <v>0.23512074519921866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1" t="s">
        <v>420</v>
      </c>
      <c r="M183" s="942"/>
      <c r="N183" s="943"/>
      <c r="O183" s="944"/>
      <c r="Q183" s="162">
        <f t="shared" si="1071"/>
        <v>4.1143004360907565</v>
      </c>
      <c r="R183" s="162">
        <f t="shared" si="1072"/>
        <v>1.866325769628115</v>
      </c>
      <c r="S183" s="162">
        <f t="shared" si="1073"/>
        <v>-1.9225057982774874</v>
      </c>
      <c r="T183" s="162">
        <f t="shared" si="1074"/>
        <v>-1.1576103097582779E-3</v>
      </c>
      <c r="U183" s="162">
        <f t="shared" si="1075"/>
        <v>0.98574580949226143</v>
      </c>
      <c r="V183" s="162">
        <f t="shared" si="1076"/>
        <v>0.16823750772885682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77"/>
        <v>0.52</v>
      </c>
      <c r="Y183" s="75">
        <v>2.1339999999999999</v>
      </c>
      <c r="Z183" s="917">
        <f t="shared" si="1078"/>
        <v>1613</v>
      </c>
      <c r="AA183" s="82"/>
      <c r="AB183" s="75"/>
      <c r="AC183" s="75">
        <v>3.1000200000000002</v>
      </c>
      <c r="AD183" s="166">
        <v>-12</v>
      </c>
      <c r="AE183" s="75">
        <v>5.1310000000000002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5.1311100000000005</v>
      </c>
      <c r="AK183" s="82" t="str">
        <v>Base</v>
      </c>
      <c r="AL183" s="162">
        <v>-24</v>
      </c>
      <c r="AM183" s="162">
        <v>-4.3823132170566632</v>
      </c>
      <c r="AN183" s="162">
        <v>-1.4608871440395457</v>
      </c>
      <c r="AO183" s="162">
        <v>59.999991337073098</v>
      </c>
      <c r="AP183" s="162">
        <v>-24.399996477076375</v>
      </c>
      <c r="AQ183" s="162">
        <v>0</v>
      </c>
      <c r="AR183" s="710" t="str">
        <v>1613.par</v>
      </c>
      <c r="AV183" s="82" t="str">
        <v>0,102,204</v>
      </c>
      <c r="AW183" s="951">
        <v>0</v>
      </c>
      <c r="AX183" s="951">
        <v>59.999991337073098</v>
      </c>
      <c r="AY183" s="951">
        <v>0</v>
      </c>
    </row>
    <row r="184" spans="2:51" x14ac:dyDescent="0.25">
      <c r="B184" s="650">
        <v>4.1143004360907565</v>
      </c>
      <c r="C184" s="651">
        <v>1.866325769628115</v>
      </c>
      <c r="D184" s="652">
        <v>-1.9225057982774874</v>
      </c>
      <c r="E184" s="653">
        <v>-1.1576103097582779E-3</v>
      </c>
      <c r="F184" s="651">
        <v>0.98574580949226143</v>
      </c>
      <c r="G184" s="654">
        <v>0.16823750772885682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1" t="s">
        <v>420</v>
      </c>
      <c r="M184" s="942"/>
      <c r="N184" s="943"/>
      <c r="O184" s="944"/>
      <c r="Q184" s="162">
        <f t="shared" si="1071"/>
        <v>4.2365970753616011</v>
      </c>
      <c r="R184" s="162">
        <f t="shared" si="1072"/>
        <v>1.9031097431805575</v>
      </c>
      <c r="S184" s="162">
        <f t="shared" si="1073"/>
        <v>-2.6596080213777928</v>
      </c>
      <c r="T184" s="162">
        <f t="shared" si="1074"/>
        <v>8.7666547929955374E-2</v>
      </c>
      <c r="U184" s="162">
        <f t="shared" si="1075"/>
        <v>0.9940818268599253</v>
      </c>
      <c r="V184" s="162">
        <f t="shared" si="1076"/>
        <v>6.4155263859471207E-2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77"/>
        <v>0.52</v>
      </c>
      <c r="Y184" s="75">
        <v>2.14</v>
      </c>
      <c r="Z184" s="917">
        <f t="shared" si="1078"/>
        <v>1613</v>
      </c>
      <c r="AA184" s="82"/>
      <c r="AB184" s="75"/>
      <c r="AC184" s="75">
        <v>2.2000200000000003</v>
      </c>
      <c r="AD184" s="166">
        <v>-11.25</v>
      </c>
      <c r="AE184" s="75">
        <v>5.125</v>
      </c>
      <c r="AF184" s="82">
        <v>5</v>
      </c>
      <c r="AG184" s="82">
        <v>1</v>
      </c>
      <c r="AH184" s="82">
        <v>1</v>
      </c>
      <c r="AI184" s="82">
        <v>1.0000000000582077</v>
      </c>
      <c r="AJ184" s="166">
        <v>5.1251100000000003</v>
      </c>
      <c r="AK184" s="82" t="str">
        <v>Base</v>
      </c>
      <c r="AL184" s="162">
        <v>-24</v>
      </c>
      <c r="AM184" s="162">
        <v>-3.9735119841121449</v>
      </c>
      <c r="AN184" s="162">
        <v>-0.8353769232456083</v>
      </c>
      <c r="AO184" s="162">
        <v>44.999993502804777</v>
      </c>
      <c r="AP184" s="162">
        <v>-21.039996962200266</v>
      </c>
      <c r="AQ184" s="162">
        <v>0</v>
      </c>
      <c r="AR184" s="710" t="str">
        <v>1613.par</v>
      </c>
      <c r="AV184" s="82" t="str">
        <v>0,102,204</v>
      </c>
      <c r="AW184" s="951">
        <v>0</v>
      </c>
      <c r="AX184" s="951">
        <v>44.999993502804777</v>
      </c>
      <c r="AY184" s="951">
        <v>0</v>
      </c>
    </row>
    <row r="185" spans="2:51" x14ac:dyDescent="0.25">
      <c r="B185" s="650">
        <v>4.2365970753616011</v>
      </c>
      <c r="C185" s="651">
        <v>1.9031097431805575</v>
      </c>
      <c r="D185" s="652">
        <v>-2.6596080213777928</v>
      </c>
      <c r="E185" s="653">
        <v>8.7666547929955374E-2</v>
      </c>
      <c r="F185" s="651">
        <v>0.9940818268599253</v>
      </c>
      <c r="G185" s="654">
        <v>6.4155263859471207E-2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1" t="s">
        <v>420</v>
      </c>
      <c r="M185" s="942"/>
      <c r="N185" s="943"/>
      <c r="O185" s="944"/>
      <c r="Q185" s="162">
        <f t="shared" si="1071"/>
        <v>4.2822414632010677</v>
      </c>
      <c r="R185" s="162">
        <f t="shared" si="1072"/>
        <v>1.9164323799187972</v>
      </c>
      <c r="S185" s="162">
        <f t="shared" si="1073"/>
        <v>-3.4661104537891285</v>
      </c>
      <c r="T185" s="162">
        <f t="shared" si="1074"/>
        <v>0.10088291079485943</v>
      </c>
      <c r="U185" s="162">
        <f t="shared" si="1075"/>
        <v>0.99394345846971677</v>
      </c>
      <c r="V185" s="162">
        <f t="shared" si="1076"/>
        <v>4.357797235777483E-2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77"/>
        <v>0.52</v>
      </c>
      <c r="Y185" s="75">
        <v>2.1459999999999999</v>
      </c>
      <c r="Z185" s="917">
        <f t="shared" si="1078"/>
        <v>1613</v>
      </c>
      <c r="AA185" s="82"/>
      <c r="AB185" s="75"/>
      <c r="AC185" s="75">
        <v>2.1000200000000002</v>
      </c>
      <c r="AD185" s="166">
        <v>-10.5</v>
      </c>
      <c r="AE185" s="75">
        <v>5.1189999999999998</v>
      </c>
      <c r="AF185" s="82">
        <v>5</v>
      </c>
      <c r="AG185" s="82">
        <v>1</v>
      </c>
      <c r="AH185" s="82">
        <v>1</v>
      </c>
      <c r="AI185" s="82">
        <v>0.99999999998544808</v>
      </c>
      <c r="AJ185" s="166">
        <v>5.11911</v>
      </c>
      <c r="AK185" s="82" t="str">
        <v>Base</v>
      </c>
      <c r="AL185" s="162">
        <v>-24</v>
      </c>
      <c r="AM185" s="162">
        <v>-3.4001102547325295</v>
      </c>
      <c r="AN185" s="162">
        <v>-0.35673658962409788</v>
      </c>
      <c r="AO185" s="162">
        <v>29.999995668536499</v>
      </c>
      <c r="AP185" s="162">
        <v>-17.679997447324173</v>
      </c>
      <c r="AQ185" s="162">
        <v>0</v>
      </c>
      <c r="AR185" s="710" t="str">
        <v>1613.par</v>
      </c>
      <c r="AV185" s="82" t="str">
        <v>0,102,204</v>
      </c>
      <c r="AW185" s="951">
        <v>0</v>
      </c>
      <c r="AX185" s="951">
        <v>29.999995668536499</v>
      </c>
      <c r="AY185" s="951">
        <v>0</v>
      </c>
    </row>
    <row r="186" spans="2:51" x14ac:dyDescent="0.25">
      <c r="B186" s="650">
        <v>4.2822414632010677</v>
      </c>
      <c r="C186" s="651">
        <v>1.9164323799187972</v>
      </c>
      <c r="D186" s="652">
        <v>-3.4661104537891285</v>
      </c>
      <c r="E186" s="653">
        <v>0.10088291079485943</v>
      </c>
      <c r="F186" s="651">
        <v>0.99394345846971677</v>
      </c>
      <c r="G186" s="654">
        <v>4.357797235777483E-2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1" t="s">
        <v>420</v>
      </c>
      <c r="M186" s="942"/>
      <c r="N186" s="943"/>
      <c r="O186" s="944"/>
      <c r="Q186" s="162">
        <f t="shared" si="1071"/>
        <v>3.0246799291879767</v>
      </c>
      <c r="R186" s="162">
        <f t="shared" si="1072"/>
        <v>0.56853150491763527</v>
      </c>
      <c r="S186" s="162">
        <f t="shared" si="1073"/>
        <v>-0.2787152019784056</v>
      </c>
      <c r="T186" s="162">
        <f t="shared" si="1074"/>
        <v>-3.7678428316270426E-2</v>
      </c>
      <c r="U186" s="162">
        <f t="shared" si="1075"/>
        <v>0.94284704939988606</v>
      </c>
      <c r="V186" s="162">
        <f t="shared" si="1076"/>
        <v>0.33108877582537355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77"/>
        <v>0.52</v>
      </c>
      <c r="Y186" s="75">
        <v>2.2160000000000002</v>
      </c>
      <c r="Z186" s="917">
        <f t="shared" si="1078"/>
        <v>1313</v>
      </c>
      <c r="AA186" s="82"/>
      <c r="AB186" s="75"/>
      <c r="AC186" s="75">
        <v>1.2000199999999999</v>
      </c>
      <c r="AD186" s="166">
        <v>-9.75</v>
      </c>
      <c r="AE186" s="75">
        <v>5.1130000000000004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5.1131100000000007</v>
      </c>
      <c r="AK186" s="82" t="str">
        <v>Base</v>
      </c>
      <c r="AL186" s="162">
        <v>-24</v>
      </c>
      <c r="AM186" s="162">
        <v>-2.7056081601142119</v>
      </c>
      <c r="AN186" s="162">
        <v>-8.2969096233337244E-2</v>
      </c>
      <c r="AO186" s="162">
        <v>14.999997834268246</v>
      </c>
      <c r="AP186" s="162">
        <v>-15.999997689886136</v>
      </c>
      <c r="AQ186" s="162">
        <v>0</v>
      </c>
      <c r="AR186" s="710" t="str">
        <v>1613.par</v>
      </c>
      <c r="AV186" s="82" t="str">
        <v>0,102,204</v>
      </c>
      <c r="AW186" s="951">
        <v>0</v>
      </c>
      <c r="AX186" s="951">
        <v>14.999997834268246</v>
      </c>
      <c r="AY186" s="951">
        <v>0</v>
      </c>
    </row>
    <row r="187" spans="2:51" x14ac:dyDescent="0.25">
      <c r="B187" s="650">
        <v>3.0246799291879767</v>
      </c>
      <c r="C187" s="651">
        <v>0.56853150491763527</v>
      </c>
      <c r="D187" s="652">
        <v>-0.2787152019784056</v>
      </c>
      <c r="E187" s="653">
        <v>-3.7678428316270426E-2</v>
      </c>
      <c r="F187" s="651">
        <v>0.94284704939988606</v>
      </c>
      <c r="G187" s="654">
        <v>0.33108877582537355</v>
      </c>
      <c r="H187" s="653">
        <v>0.26600000000000001</v>
      </c>
      <c r="I187" s="920">
        <v>0.52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41" t="s">
        <v>421</v>
      </c>
      <c r="M187" s="942"/>
      <c r="N187" s="943"/>
      <c r="O187" s="944"/>
      <c r="Q187" s="162">
        <f t="shared" si="1071"/>
        <v>3.6366523576669509</v>
      </c>
      <c r="R187" s="162">
        <f t="shared" si="1072"/>
        <v>0.81528795331125947</v>
      </c>
      <c r="S187" s="162">
        <f t="shared" si="1073"/>
        <v>-0.66475385066216885</v>
      </c>
      <c r="T187" s="162">
        <f t="shared" si="1074"/>
        <v>4.5732236628048567E-2</v>
      </c>
      <c r="U187" s="162">
        <f t="shared" si="1075"/>
        <v>0.94383628934575825</v>
      </c>
      <c r="V187" s="162">
        <f t="shared" si="1076"/>
        <v>0.32723328291453829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77"/>
        <v>0.52</v>
      </c>
      <c r="Y187" s="75">
        <v>2.222</v>
      </c>
      <c r="Z187" s="917">
        <f t="shared" si="1078"/>
        <v>1313</v>
      </c>
      <c r="AA187" s="82"/>
      <c r="AB187" s="75"/>
      <c r="AC187" s="75">
        <v>1.10002</v>
      </c>
      <c r="AD187" s="166">
        <v>-9</v>
      </c>
      <c r="AE187" s="75">
        <v>5.1079999999999997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5.1081099999999999</v>
      </c>
      <c r="AK187" s="82" t="str">
        <v>Base</v>
      </c>
      <c r="AL187" s="162">
        <v>-24</v>
      </c>
      <c r="AM187" s="162">
        <v>-1.9695059400299149</v>
      </c>
      <c r="AN187" s="162">
        <v>-5.2789375189125846E-2</v>
      </c>
      <c r="AO187" s="162">
        <v>2.4999996390447317</v>
      </c>
      <c r="AP187" s="162">
        <v>-15.99999768988615</v>
      </c>
      <c r="AQ187" s="162">
        <v>0</v>
      </c>
      <c r="AR187" s="710" t="str">
        <v>1613.par</v>
      </c>
      <c r="AV187" s="82" t="str">
        <v>0,102,204</v>
      </c>
      <c r="AW187" s="951">
        <v>0</v>
      </c>
      <c r="AX187" s="951">
        <v>2.4999996390447317</v>
      </c>
      <c r="AY187" s="951">
        <v>0</v>
      </c>
    </row>
    <row r="188" spans="2:51" x14ac:dyDescent="0.25">
      <c r="B188" s="650">
        <v>3.6366523576669509</v>
      </c>
      <c r="C188" s="651">
        <v>0.81528795331125947</v>
      </c>
      <c r="D188" s="652">
        <v>-0.66475385066216885</v>
      </c>
      <c r="E188" s="653">
        <v>4.5732236628048567E-2</v>
      </c>
      <c r="F188" s="651">
        <v>0.94383628934575825</v>
      </c>
      <c r="G188" s="654">
        <v>0.32723328291453829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1" t="s">
        <v>421</v>
      </c>
      <c r="M188" s="942"/>
      <c r="N188" s="943"/>
      <c r="O188" s="944"/>
      <c r="Q188" s="162">
        <f t="shared" si="1071"/>
        <v>4.11224118357958</v>
      </c>
      <c r="R188" s="162">
        <f t="shared" si="1072"/>
        <v>0.98482966689805473</v>
      </c>
      <c r="S188" s="162">
        <f t="shared" si="1073"/>
        <v>-1.2302306696102083</v>
      </c>
      <c r="T188" s="162">
        <f t="shared" si="1074"/>
        <v>0.15270918129512168</v>
      </c>
      <c r="U188" s="162">
        <f t="shared" si="1075"/>
        <v>0.94683520014975875</v>
      </c>
      <c r="V188" s="162">
        <f t="shared" si="1076"/>
        <v>0.28316604617351299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77"/>
        <v>0.52</v>
      </c>
      <c r="Y188" s="75">
        <v>2.2280000000000002</v>
      </c>
      <c r="Z188" s="917">
        <f t="shared" si="1078"/>
        <v>1313</v>
      </c>
      <c r="AA188" s="82"/>
      <c r="AB188" s="75"/>
      <c r="AC188" s="75">
        <v>6.2000299999999999</v>
      </c>
      <c r="AD188" s="166">
        <v>-8.25</v>
      </c>
      <c r="AE188" s="75">
        <v>5.1050000000000004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5.1051100000000007</v>
      </c>
      <c r="AK188" s="82" t="str">
        <v>Base</v>
      </c>
      <c r="AL188" s="162">
        <v>-24</v>
      </c>
      <c r="AM188" s="162">
        <v>-1.2694038285219469</v>
      </c>
      <c r="AN188" s="162">
        <v>-0.21858987525556073</v>
      </c>
      <c r="AO188" s="162">
        <v>-1.9999997112357779</v>
      </c>
      <c r="AP188" s="162">
        <v>-15.999997689886136</v>
      </c>
      <c r="AQ188" s="162">
        <v>0</v>
      </c>
      <c r="AR188" s="710" t="str">
        <v>1613.par</v>
      </c>
      <c r="AV188" s="82" t="str">
        <v>0,102,204</v>
      </c>
      <c r="AW188" s="951">
        <v>0</v>
      </c>
      <c r="AX188" s="951">
        <v>-1.9999997112357779</v>
      </c>
      <c r="AY188" s="951">
        <v>0</v>
      </c>
    </row>
    <row r="189" spans="2:51" x14ac:dyDescent="0.25">
      <c r="B189" s="650">
        <v>4.11224118357958</v>
      </c>
      <c r="C189" s="651">
        <v>0.98482966689805473</v>
      </c>
      <c r="D189" s="652">
        <v>-1.2302306696102083</v>
      </c>
      <c r="E189" s="653">
        <v>0.15270918129512168</v>
      </c>
      <c r="F189" s="651">
        <v>0.94683520014975875</v>
      </c>
      <c r="G189" s="654">
        <v>0.28316604617351299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1" t="s">
        <v>421</v>
      </c>
      <c r="M189" s="942"/>
      <c r="N189" s="943"/>
      <c r="O189" s="944"/>
      <c r="Q189" s="162">
        <f t="shared" si="1071"/>
        <v>4.4895467672037581</v>
      </c>
      <c r="R189" s="162">
        <f t="shared" si="1072"/>
        <v>0.55871218893340668</v>
      </c>
      <c r="S189" s="162">
        <f t="shared" si="1073"/>
        <v>-1.9342912665509235</v>
      </c>
      <c r="T189" s="162">
        <f t="shared" si="1074"/>
        <v>0.9363471072921401</v>
      </c>
      <c r="U189" s="162">
        <f t="shared" si="1075"/>
        <v>0.11652591431684536</v>
      </c>
      <c r="V189" s="162">
        <f t="shared" si="1076"/>
        <v>0.33117337749019737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77"/>
        <v>0.41499999999999992</v>
      </c>
      <c r="Y189" s="75">
        <v>2.234</v>
      </c>
      <c r="Z189" s="917" t="str">
        <f t="shared" si="1078"/>
        <v>CPS-32193r1</v>
      </c>
      <c r="AA189" s="82"/>
      <c r="AB189" s="75"/>
      <c r="AC189" s="75">
        <v>6.1000299999999994</v>
      </c>
      <c r="AD189" s="166">
        <v>-7.5</v>
      </c>
      <c r="AE189" s="75">
        <v>5.1020000000000003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5.1021100000000006</v>
      </c>
      <c r="AK189" s="82" t="str">
        <v>Base</v>
      </c>
      <c r="AL189" s="162">
        <v>-24</v>
      </c>
      <c r="AM189" s="162">
        <v>-0.57390173088762031</v>
      </c>
      <c r="AN189" s="162">
        <v>-0.40489043713805511</v>
      </c>
      <c r="AO189" s="162">
        <v>-5.9999991337073002</v>
      </c>
      <c r="AP189" s="162">
        <v>-18.999997256739807</v>
      </c>
      <c r="AQ189" s="162">
        <v>0</v>
      </c>
      <c r="AR189" s="710" t="str">
        <v>1613.par</v>
      </c>
      <c r="AV189" s="82" t="str">
        <v>0,102,204</v>
      </c>
      <c r="AW189" s="951">
        <v>0</v>
      </c>
      <c r="AX189" s="951">
        <v>-5.9999991337073002</v>
      </c>
      <c r="AY189" s="951">
        <v>0</v>
      </c>
    </row>
    <row r="190" spans="2:51" x14ac:dyDescent="0.25">
      <c r="B190" s="650">
        <v>4.4895467672037581</v>
      </c>
      <c r="C190" s="651">
        <v>0.55871218893340668</v>
      </c>
      <c r="D190" s="652">
        <v>-1.9342912665509235</v>
      </c>
      <c r="E190" s="653">
        <v>0.9363471072921401</v>
      </c>
      <c r="F190" s="651">
        <v>0.11652591431684536</v>
      </c>
      <c r="G190" s="654">
        <v>0.33117337749019737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1" t="s">
        <v>421</v>
      </c>
      <c r="M190" s="942"/>
      <c r="N190" s="943"/>
      <c r="O190" s="944"/>
      <c r="Q190" s="162">
        <f t="shared" si="1071"/>
        <v>4.6181022051453864</v>
      </c>
      <c r="R190" s="162">
        <f t="shared" si="1072"/>
        <v>0.46798610153046005</v>
      </c>
      <c r="S190" s="162">
        <f t="shared" si="1073"/>
        <v>-2.6752945430610588</v>
      </c>
      <c r="T190" s="162">
        <f t="shared" si="1074"/>
        <v>0.9911639204057382</v>
      </c>
      <c r="U190" s="162">
        <f t="shared" si="1075"/>
        <v>0.10044189549800688</v>
      </c>
      <c r="V190" s="162">
        <f t="shared" si="1076"/>
        <v>8.6634337965353261E-2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77"/>
        <v>0.41499999999999992</v>
      </c>
      <c r="Y190" s="75">
        <v>2.2400000000000002</v>
      </c>
      <c r="Z190" s="917" t="str">
        <f t="shared" si="1078"/>
        <v>CPS-32193r1</v>
      </c>
      <c r="AA190" s="82"/>
      <c r="AB190" s="75"/>
      <c r="AC190" s="75">
        <v>5.2000299999999999</v>
      </c>
      <c r="AD190" s="166">
        <v>-6.75</v>
      </c>
      <c r="AE190" s="75">
        <v>4.2439999999999998</v>
      </c>
      <c r="AF190" s="82">
        <v>4</v>
      </c>
      <c r="AG190" s="82">
        <v>2</v>
      </c>
      <c r="AH190" s="82">
        <v>1</v>
      </c>
      <c r="AI190" s="82">
        <v>0.99999999998544808</v>
      </c>
      <c r="AJ190" s="166">
        <v>4.24411</v>
      </c>
      <c r="AK190" s="82" t="str">
        <v>Base</v>
      </c>
      <c r="AL190" s="162">
        <v>-23.25</v>
      </c>
      <c r="AM190" s="162">
        <v>-4.6871636932366254</v>
      </c>
      <c r="AN190" s="162">
        <v>-3.1357131212229277</v>
      </c>
      <c r="AO190" s="162">
        <v>85.029987723188711</v>
      </c>
      <c r="AP190" s="162">
        <v>0</v>
      </c>
      <c r="AQ190" s="162">
        <v>0</v>
      </c>
      <c r="AR190" s="710" t="str">
        <v>1613.par</v>
      </c>
      <c r="AV190" s="82" t="str">
        <v>91,255,255</v>
      </c>
      <c r="AW190" s="951">
        <v>0</v>
      </c>
      <c r="AX190" s="951">
        <v>85.029987723188711</v>
      </c>
      <c r="AY190" s="951">
        <v>0</v>
      </c>
    </row>
    <row r="191" spans="2:51" x14ac:dyDescent="0.25">
      <c r="B191" s="650">
        <v>4.6181022051453864</v>
      </c>
      <c r="C191" s="651">
        <v>0.46798610153046005</v>
      </c>
      <c r="D191" s="652">
        <v>-2.6752945430610588</v>
      </c>
      <c r="E191" s="653">
        <v>0.9911639204057382</v>
      </c>
      <c r="F191" s="651">
        <v>0.10044189549800688</v>
      </c>
      <c r="G191" s="654">
        <v>8.6634337965353261E-2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1" t="s">
        <v>420</v>
      </c>
      <c r="M191" s="942"/>
      <c r="N191" s="943"/>
      <c r="O191" s="944"/>
      <c r="Q191" s="162">
        <f t="shared" si="1071"/>
        <v>4.6781998590493687</v>
      </c>
      <c r="R191" s="162">
        <f t="shared" si="1072"/>
        <v>0.35320121000658039</v>
      </c>
      <c r="S191" s="162">
        <f t="shared" si="1073"/>
        <v>-3.482604133156721</v>
      </c>
      <c r="T191" s="162">
        <f t="shared" si="1074"/>
        <v>0.99336752703920039</v>
      </c>
      <c r="U191" s="162">
        <f t="shared" si="1075"/>
        <v>7.4998636890811696E-2</v>
      </c>
      <c r="V191" s="162">
        <f t="shared" si="1076"/>
        <v>8.7155956127759074E-2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77"/>
        <v>0.41499999999999992</v>
      </c>
      <c r="Y191" s="75">
        <v>2.246</v>
      </c>
      <c r="Z191" s="917" t="str">
        <f t="shared" si="1078"/>
        <v>CPS-32193r1</v>
      </c>
      <c r="AA191" s="82"/>
      <c r="AB191" s="75"/>
      <c r="AC191" s="75">
        <v>5.1000299999999994</v>
      </c>
      <c r="AD191" s="166">
        <v>-6</v>
      </c>
      <c r="AE191" s="75">
        <v>4.2380000000000004</v>
      </c>
      <c r="AF191" s="82">
        <v>4</v>
      </c>
      <c r="AG191" s="82">
        <v>2</v>
      </c>
      <c r="AH191" s="82">
        <v>1</v>
      </c>
      <c r="AI191" s="82">
        <v>1.0000000000582077</v>
      </c>
      <c r="AJ191" s="166">
        <v>4.2381100000000007</v>
      </c>
      <c r="AK191" s="82" t="str">
        <v>Base</v>
      </c>
      <c r="AL191" s="162">
        <v>-23.25</v>
      </c>
      <c r="AM191" s="162">
        <v>-4.6244090295939042</v>
      </c>
      <c r="AN191" s="162">
        <v>-2.3291694539926011</v>
      </c>
      <c r="AO191" s="162">
        <v>81.919988172217103</v>
      </c>
      <c r="AP191" s="162">
        <v>0</v>
      </c>
      <c r="AQ191" s="162">
        <v>0</v>
      </c>
      <c r="AR191" s="710" t="str">
        <v>1613.par</v>
      </c>
      <c r="AV191" s="82" t="str">
        <v>91,255,255</v>
      </c>
      <c r="AW191" s="951">
        <v>0</v>
      </c>
      <c r="AX191" s="951">
        <v>81.919988172217103</v>
      </c>
      <c r="AY191" s="951">
        <v>0</v>
      </c>
    </row>
    <row r="192" spans="2:51" x14ac:dyDescent="0.25">
      <c r="B192" s="650">
        <v>4.6781998590493687</v>
      </c>
      <c r="C192" s="651">
        <v>0.35320121000658039</v>
      </c>
      <c r="D192" s="652">
        <v>-3.482604133156721</v>
      </c>
      <c r="E192" s="653">
        <v>0.99336752703920039</v>
      </c>
      <c r="F192" s="651">
        <v>7.4998636890811696E-2</v>
      </c>
      <c r="G192" s="654">
        <v>8.7155956127759074E-2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1" t="s">
        <v>420</v>
      </c>
      <c r="M192" s="942"/>
      <c r="N192" s="943"/>
      <c r="O192" s="944"/>
      <c r="Q192" s="162">
        <f t="shared" si="1071"/>
        <v>0.64346228643012615</v>
      </c>
      <c r="R192" s="162">
        <f t="shared" si="1072"/>
        <v>-0.48488420437012447</v>
      </c>
      <c r="S192" s="162">
        <f t="shared" si="1073"/>
        <v>-0.45390136896652894</v>
      </c>
      <c r="T192" s="162">
        <f t="shared" si="1074"/>
        <v>0.55923100986210517</v>
      </c>
      <c r="U192" s="162">
        <f t="shared" si="1075"/>
        <v>0.77601252325774361</v>
      </c>
      <c r="V192" s="162">
        <f t="shared" si="1076"/>
        <v>0.29165946128277759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77"/>
        <v>0.52</v>
      </c>
      <c r="Y192" s="75">
        <v>3.1030000000000002</v>
      </c>
      <c r="Z192" s="917">
        <f t="shared" si="1078"/>
        <v>1613</v>
      </c>
      <c r="AA192" s="82"/>
      <c r="AB192" s="75"/>
      <c r="AC192" s="75">
        <v>4.2000299999999999</v>
      </c>
      <c r="AD192" s="166">
        <v>-5.25</v>
      </c>
      <c r="AE192" s="75">
        <v>4.2320000000000002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4.2321100000000005</v>
      </c>
      <c r="AK192" s="82" t="str">
        <v>Base</v>
      </c>
      <c r="AL192" s="162">
        <v>-23.25</v>
      </c>
      <c r="AM192" s="162">
        <v>-4.4414713908579211</v>
      </c>
      <c r="AN192" s="162">
        <v>-1.6015605824568062</v>
      </c>
      <c r="AO192" s="162">
        <v>65.089990602168101</v>
      </c>
      <c r="AP192" s="162">
        <v>0</v>
      </c>
      <c r="AQ192" s="162">
        <v>0</v>
      </c>
      <c r="AR192" s="710" t="str">
        <v>1313.par</v>
      </c>
      <c r="AV192" s="82" t="str">
        <v>91,255,255</v>
      </c>
      <c r="AW192" s="951">
        <v>0</v>
      </c>
      <c r="AX192" s="951">
        <v>65.089990602168101</v>
      </c>
      <c r="AY192" s="951">
        <v>0</v>
      </c>
    </row>
    <row r="193" spans="2:51" x14ac:dyDescent="0.25">
      <c r="B193" s="650">
        <v>4.5440880186255264</v>
      </c>
      <c r="C193" s="651">
        <v>1.3892635329678493</v>
      </c>
      <c r="D193" s="652">
        <v>-8.1463245693149027</v>
      </c>
      <c r="E193" s="653">
        <v>0.38139304028083537</v>
      </c>
      <c r="F193" s="651">
        <v>0.91764950239760956</v>
      </c>
      <c r="G193" s="654">
        <v>-0.11161872412261603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1" t="s">
        <v>420</v>
      </c>
      <c r="M193" s="942"/>
      <c r="N193" s="943"/>
      <c r="O193" s="944" t="s">
        <v>9</v>
      </c>
      <c r="Q193" s="162">
        <f t="shared" si="1071"/>
        <v>1.1989147131549032</v>
      </c>
      <c r="R193" s="162">
        <f t="shared" si="1072"/>
        <v>-0.90344814149240527</v>
      </c>
      <c r="S193" s="162">
        <f t="shared" si="1073"/>
        <v>-0.26760080708403416</v>
      </c>
      <c r="T193" s="162">
        <f t="shared" si="1074"/>
        <v>0.57466032582684212</v>
      </c>
      <c r="U193" s="162">
        <f t="shared" si="1075"/>
        <v>0.77059244779586866</v>
      </c>
      <c r="V193" s="162">
        <f t="shared" si="1076"/>
        <v>0.27559533617345428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77"/>
        <v>0.52</v>
      </c>
      <c r="Y193" s="75">
        <v>3.1059999999999999</v>
      </c>
      <c r="Z193" s="917">
        <f t="shared" si="1078"/>
        <v>1613</v>
      </c>
      <c r="AA193" s="82"/>
      <c r="AB193" s="75"/>
      <c r="AC193" s="75">
        <v>4.1000299999999994</v>
      </c>
      <c r="AD193" s="166">
        <v>-4.5</v>
      </c>
      <c r="AE193" s="75">
        <v>4.226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4.2261100000000003</v>
      </c>
      <c r="AK193" s="82" t="str">
        <v>Base</v>
      </c>
      <c r="AL193" s="162">
        <v>-23.25</v>
      </c>
      <c r="AM193" s="162">
        <v>-4.0800918506455561</v>
      </c>
      <c r="AN193" s="162">
        <v>-0.9326751568730749</v>
      </c>
      <c r="AO193" s="162">
        <v>47.49999314184948</v>
      </c>
      <c r="AP193" s="162">
        <v>-26.59999615943568</v>
      </c>
      <c r="AQ193" s="162">
        <v>0</v>
      </c>
      <c r="AR193" s="710" t="str">
        <v>1313.par</v>
      </c>
      <c r="AV193" s="82" t="str">
        <v>91,255,255</v>
      </c>
      <c r="AW193" s="951">
        <v>0</v>
      </c>
      <c r="AX193" s="951">
        <v>47.49999314184948</v>
      </c>
      <c r="AY193" s="951">
        <v>0</v>
      </c>
    </row>
    <row r="194" spans="2:51" x14ac:dyDescent="0.25">
      <c r="B194" s="650">
        <v>0.64346228643012615</v>
      </c>
      <c r="C194" s="651">
        <v>-0.48488420437012447</v>
      </c>
      <c r="D194" s="652">
        <v>-0.45390136896652894</v>
      </c>
      <c r="E194" s="653">
        <v>0.55923100986210517</v>
      </c>
      <c r="F194" s="651">
        <v>0.77601252325774361</v>
      </c>
      <c r="G194" s="654">
        <v>0.29165946128277759</v>
      </c>
      <c r="H194" s="653">
        <v>0.314</v>
      </c>
      <c r="I194" s="920">
        <v>0.52</v>
      </c>
      <c r="J194" s="924">
        <v>3.1030000000000002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1" t="s">
        <v>420</v>
      </c>
      <c r="M194" s="942"/>
      <c r="N194" s="943"/>
      <c r="O194" s="944"/>
      <c r="Q194" s="162">
        <f t="shared" si="1071"/>
        <v>1.7637986220056461</v>
      </c>
      <c r="R194" s="162">
        <f t="shared" si="1072"/>
        <v>-1.3296019291691328</v>
      </c>
      <c r="S194" s="162">
        <f t="shared" si="1073"/>
        <v>-0.14670044244853447</v>
      </c>
      <c r="T194" s="162">
        <f t="shared" si="1074"/>
        <v>0.59781955242295559</v>
      </c>
      <c r="U194" s="162">
        <f t="shared" si="1075"/>
        <v>0.75313542910271458</v>
      </c>
      <c r="V194" s="162">
        <f t="shared" si="1076"/>
        <v>0.27458843415389345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77"/>
        <v>0.52</v>
      </c>
      <c r="Y194" s="75">
        <v>3.109</v>
      </c>
      <c r="Z194" s="917">
        <f t="shared" si="1078"/>
        <v>1613</v>
      </c>
      <c r="AA194" s="82"/>
      <c r="AB194" s="75"/>
      <c r="AC194" s="75">
        <v>3.2000300000000004</v>
      </c>
      <c r="AD194" s="166">
        <v>-3.75</v>
      </c>
      <c r="AE194" s="75">
        <v>4.22</v>
      </c>
      <c r="AF194" s="82">
        <v>4</v>
      </c>
      <c r="AG194" s="82">
        <v>2</v>
      </c>
      <c r="AH194" s="82">
        <v>1</v>
      </c>
      <c r="AI194" s="82">
        <v>0.99999999998544808</v>
      </c>
      <c r="AJ194" s="166">
        <v>4.22011</v>
      </c>
      <c r="AK194" s="82" t="str">
        <v>Base</v>
      </c>
      <c r="AL194" s="162">
        <v>-23.25</v>
      </c>
      <c r="AM194" s="162">
        <v>-3.5246263419381556</v>
      </c>
      <c r="AN194" s="162">
        <v>-0.41973688874854537</v>
      </c>
      <c r="AO194" s="162">
        <v>32.499995307581187</v>
      </c>
      <c r="AP194" s="162">
        <v>-23.239996644559596</v>
      </c>
      <c r="AQ194" s="162">
        <v>0</v>
      </c>
      <c r="AR194" s="710" t="str">
        <v>1313.par</v>
      </c>
      <c r="AV194" s="82" t="str">
        <v>91,255,255</v>
      </c>
      <c r="AW194" s="951">
        <v>0</v>
      </c>
      <c r="AX194" s="951">
        <v>32.499995307581187</v>
      </c>
      <c r="AY194" s="951">
        <v>0</v>
      </c>
    </row>
    <row r="195" spans="2:51" x14ac:dyDescent="0.25">
      <c r="B195" s="650">
        <v>1.1989147131549032</v>
      </c>
      <c r="C195" s="651">
        <v>-0.90344814149240527</v>
      </c>
      <c r="D195" s="652">
        <v>-0.26760080708403416</v>
      </c>
      <c r="E195" s="653">
        <v>0.57466032582684212</v>
      </c>
      <c r="F195" s="651">
        <v>0.77059244779586866</v>
      </c>
      <c r="G195" s="654">
        <v>0.27559533617345428</v>
      </c>
      <c r="H195" s="653">
        <v>0.314</v>
      </c>
      <c r="I195" s="920">
        <v>0.52</v>
      </c>
      <c r="J195" s="924">
        <v>3.1059999999999999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1" t="s">
        <v>420</v>
      </c>
      <c r="M195" s="942"/>
      <c r="N195" s="943"/>
      <c r="O195" s="944"/>
      <c r="Q195" s="162">
        <f t="shared" si="1071"/>
        <v>2.3387192215245536</v>
      </c>
      <c r="R195" s="162">
        <f t="shared" si="1072"/>
        <v>-1.7926197782048439</v>
      </c>
      <c r="S195" s="162">
        <f t="shared" si="1073"/>
        <v>-0.25970078325756235</v>
      </c>
      <c r="T195" s="162">
        <f t="shared" si="1074"/>
        <v>0.65960231322299423</v>
      </c>
      <c r="U195" s="162">
        <f t="shared" si="1075"/>
        <v>0.70557519156007387</v>
      </c>
      <c r="V195" s="162">
        <f t="shared" si="1076"/>
        <v>0.25901435760559738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77"/>
        <v>0.52</v>
      </c>
      <c r="Y195" s="75">
        <v>3.1150000000000002</v>
      </c>
      <c r="Z195" s="917">
        <f t="shared" si="1078"/>
        <v>1613</v>
      </c>
      <c r="AA195" s="82"/>
      <c r="AB195" s="75"/>
      <c r="AC195" s="75">
        <v>3.1000300000000003</v>
      </c>
      <c r="AD195" s="166">
        <v>-3</v>
      </c>
      <c r="AE195" s="75">
        <v>4.1440000000000001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4.1441100000000004</v>
      </c>
      <c r="AK195" s="82" t="str">
        <v>Base</v>
      </c>
      <c r="AL195" s="162">
        <v>-22.5</v>
      </c>
      <c r="AM195" s="162">
        <v>-4.6915141496066752</v>
      </c>
      <c r="AN195" s="162">
        <v>-3.1281976513887595</v>
      </c>
      <c r="AO195" s="162">
        <v>84.999987727520178</v>
      </c>
      <c r="AP195" s="162">
        <v>-29.999995668536549</v>
      </c>
      <c r="AQ195" s="162">
        <v>0</v>
      </c>
      <c r="AR195" s="710" t="str">
        <v>1613.par</v>
      </c>
      <c r="AV195" s="82" t="str">
        <v>0,204,204</v>
      </c>
      <c r="AW195" s="951">
        <v>0</v>
      </c>
      <c r="AX195" s="951">
        <v>84.999987727520178</v>
      </c>
      <c r="AY195" s="951">
        <v>0</v>
      </c>
    </row>
    <row r="196" spans="2:51" x14ac:dyDescent="0.25">
      <c r="B196" s="650">
        <v>1.7637986220056461</v>
      </c>
      <c r="C196" s="651">
        <v>-1.3296019291691328</v>
      </c>
      <c r="D196" s="652">
        <v>-0.14670044244853447</v>
      </c>
      <c r="E196" s="653">
        <v>0.59781955242295559</v>
      </c>
      <c r="F196" s="651">
        <v>0.75313542910271458</v>
      </c>
      <c r="G196" s="654">
        <v>0.27458843415389345</v>
      </c>
      <c r="H196" s="653">
        <v>0.314</v>
      </c>
      <c r="I196" s="920">
        <v>0.52</v>
      </c>
      <c r="J196" s="924">
        <v>3.109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1" t="s">
        <v>420</v>
      </c>
      <c r="M196" s="942"/>
      <c r="N196" s="943"/>
      <c r="O196" s="944"/>
      <c r="Q196" s="162">
        <f t="shared" ref="Q196:Q227" si="1079">IFERROR(INDEX(B$164:B$305,MATCH($Y196,$J$164:$J$305,0)),"")</f>
        <v>2.8329595364130973</v>
      </c>
      <c r="R196" s="162">
        <f t="shared" ref="R196:R227" si="1080">IFERROR(INDEX(C$164:C$305,MATCH($Y196,$J$164:$J$305,0)),"")</f>
        <v>-2.2333279028921118</v>
      </c>
      <c r="S196" s="162">
        <f t="shared" ref="S196:S227" si="1081">IFERROR(INDEX(D$164:D$305,MATCH($Y196,$J$164:$J$305,0)),"")</f>
        <v>-0.60790183343192927</v>
      </c>
      <c r="T196" s="162">
        <f t="shared" ref="T196:T227" si="1082">IFERROR(IF($N196="Y",-1*INDEX(E$164:E$305,MATCH($Y196,$J$164:$J$305,0)),INDEX(E$164:E$305,MATCH($Y196,$J$164:$J$305,0))),"")</f>
        <v>0.73122629720911547</v>
      </c>
      <c r="U196" s="162">
        <f t="shared" ref="U196:U227" si="1083">IFERROR(IF($N196="Y",-1*INDEX(F$164:F$305,MATCH($Y196,$J$164:$J$305,0)),INDEX(F$164:F$305,MATCH($Y196,$J$164:$J$305,0))),"")</f>
        <v>0.62898349931432918</v>
      </c>
      <c r="V196" s="162">
        <f t="shared" ref="V196:V227" si="1084">IFERROR(IF($N196="Y",-1*INDEX(G$164:G$305,MATCH($Y196,$J$164:$J$305,0)),INDEX(G$164:G$305,MATCH($Y196,$J$164:$J$305,0))),"")</f>
        <v>0.26398458261828017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27" si="1085">IFERROR(INDEX(I$164:I$305,MATCH($Y196,$J$164:$J$305,0)),"")</f>
        <v>0.52</v>
      </c>
      <c r="Y196" s="75">
        <v>3.121</v>
      </c>
      <c r="Z196" s="917">
        <f t="shared" ref="Z196:Z227" si="108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4.1379999999999999</v>
      </c>
      <c r="AF196" s="82">
        <v>4</v>
      </c>
      <c r="AG196" s="82">
        <v>1</v>
      </c>
      <c r="AH196" s="82">
        <v>1</v>
      </c>
      <c r="AI196" s="82">
        <v>0.99999999998544808</v>
      </c>
      <c r="AJ196" s="166">
        <v>4.1381100000000002</v>
      </c>
      <c r="AK196" s="82" t="str">
        <v>Base</v>
      </c>
      <c r="AL196" s="162">
        <v>-22.5</v>
      </c>
      <c r="AM196" s="162">
        <v>-4.6238139454228611</v>
      </c>
      <c r="AN196" s="162">
        <v>-2.3226507772272393</v>
      </c>
      <c r="AO196" s="162">
        <v>77.499988810386057</v>
      </c>
      <c r="AP196" s="162">
        <v>-28.319995911098463</v>
      </c>
      <c r="AQ196" s="162">
        <v>0</v>
      </c>
      <c r="AR196" s="710" t="str">
        <v>1613.par</v>
      </c>
      <c r="AV196" s="82" t="str">
        <v>0,204,204</v>
      </c>
      <c r="AW196" s="951">
        <v>0</v>
      </c>
      <c r="AX196" s="951">
        <v>77.499988810386057</v>
      </c>
      <c r="AY196" s="951">
        <v>0</v>
      </c>
    </row>
    <row r="197" spans="2:51" x14ac:dyDescent="0.25">
      <c r="B197" s="650">
        <v>2.3387192215245536</v>
      </c>
      <c r="C197" s="651">
        <v>-1.7926197782048439</v>
      </c>
      <c r="D197" s="652">
        <v>-0.25970078325756235</v>
      </c>
      <c r="E197" s="653">
        <v>0.65960231322299423</v>
      </c>
      <c r="F197" s="651">
        <v>0.70557519156007387</v>
      </c>
      <c r="G197" s="654">
        <v>0.25901435760559738</v>
      </c>
      <c r="H197" s="653">
        <v>0.314</v>
      </c>
      <c r="I197" s="920">
        <v>0.52</v>
      </c>
      <c r="J197" s="924">
        <v>3.1150000000000002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1" t="s">
        <v>420</v>
      </c>
      <c r="M197" s="946"/>
      <c r="N197" s="943"/>
      <c r="O197" s="944"/>
      <c r="Q197" s="162">
        <f t="shared" si="1079"/>
        <v>3.2091546993201465</v>
      </c>
      <c r="R197" s="162">
        <f t="shared" si="1080"/>
        <v>-2.5987253286226952</v>
      </c>
      <c r="S197" s="162">
        <f t="shared" si="1081"/>
        <v>-1.1426034460919936</v>
      </c>
      <c r="T197" s="162">
        <f t="shared" si="1082"/>
        <v>0.80738983962241495</v>
      </c>
      <c r="U197" s="162">
        <f t="shared" si="1083"/>
        <v>0.53790037623159226</v>
      </c>
      <c r="V197" s="162">
        <f t="shared" si="1084"/>
        <v>0.24245583541008645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85"/>
        <v>0.52</v>
      </c>
      <c r="Y197" s="75">
        <v>3.1269999999999998</v>
      </c>
      <c r="Z197" s="917">
        <f t="shared" si="1086"/>
        <v>1613</v>
      </c>
      <c r="AA197" s="82"/>
      <c r="AB197" s="75"/>
      <c r="AC197" s="75">
        <v>2.1000300000000003</v>
      </c>
      <c r="AD197" s="166">
        <v>-1.5</v>
      </c>
      <c r="AE197" s="75">
        <v>4.1319999999999997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4.1321099999999999</v>
      </c>
      <c r="AK197" s="82" t="str">
        <v>Base</v>
      </c>
      <c r="AL197" s="162">
        <v>-22.5</v>
      </c>
      <c r="AM197" s="162">
        <v>-4.4327133690635208</v>
      </c>
      <c r="AN197" s="162">
        <v>-1.5997874855214982</v>
      </c>
      <c r="AO197" s="162">
        <v>62.499990976117807</v>
      </c>
      <c r="AP197" s="162">
        <v>-24.959996396222365</v>
      </c>
      <c r="AQ197" s="162">
        <v>0</v>
      </c>
      <c r="AR197" s="710" t="str">
        <v>1613.par</v>
      </c>
      <c r="AV197" s="82" t="str">
        <v>0,204,204</v>
      </c>
      <c r="AW197" s="951">
        <v>0</v>
      </c>
      <c r="AX197" s="951">
        <v>62.499990976117807</v>
      </c>
      <c r="AY197" s="951">
        <v>0</v>
      </c>
    </row>
    <row r="198" spans="2:51" x14ac:dyDescent="0.25">
      <c r="B198" s="650">
        <v>2.8329595364130973</v>
      </c>
      <c r="C198" s="651">
        <v>-2.2333279028921118</v>
      </c>
      <c r="D198" s="652">
        <v>-0.60790183343192927</v>
      </c>
      <c r="E198" s="653">
        <v>0.73122629720911547</v>
      </c>
      <c r="F198" s="651">
        <v>0.62898349931432918</v>
      </c>
      <c r="G198" s="654">
        <v>0.26398458261828017</v>
      </c>
      <c r="H198" s="653">
        <v>0.314</v>
      </c>
      <c r="I198" s="920">
        <v>0.52</v>
      </c>
      <c r="J198" s="924">
        <v>3.121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1" t="s">
        <v>420</v>
      </c>
      <c r="M198" s="946"/>
      <c r="N198" s="943"/>
      <c r="O198" s="944"/>
      <c r="Q198" s="162">
        <f t="shared" si="1079"/>
        <v>3.4532771548376395</v>
      </c>
      <c r="R198" s="162">
        <f t="shared" si="1080"/>
        <v>-2.8507167964575042</v>
      </c>
      <c r="S198" s="162">
        <f t="shared" si="1081"/>
        <v>-1.8041054411820108</v>
      </c>
      <c r="T198" s="162">
        <f t="shared" si="1082"/>
        <v>0.87562133328863756</v>
      </c>
      <c r="U198" s="162">
        <f t="shared" si="1083"/>
        <v>0.44736558197422965</v>
      </c>
      <c r="V198" s="162">
        <f t="shared" si="1084"/>
        <v>0.18207503056346772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85"/>
        <v>0.52</v>
      </c>
      <c r="Y198" s="75">
        <v>3.133</v>
      </c>
      <c r="Z198" s="917">
        <f t="shared" si="1086"/>
        <v>1613</v>
      </c>
      <c r="AA198" s="82"/>
      <c r="AB198" s="75"/>
      <c r="AC198" s="75">
        <v>1.2000299999999999</v>
      </c>
      <c r="AD198" s="166">
        <v>-0.75</v>
      </c>
      <c r="AE198" s="75">
        <v>4.1260000000000003</v>
      </c>
      <c r="AF198" s="82">
        <v>4</v>
      </c>
      <c r="AG198" s="82">
        <v>1</v>
      </c>
      <c r="AH198" s="82">
        <v>1</v>
      </c>
      <c r="AI198" s="82">
        <v>1.0000000000582077</v>
      </c>
      <c r="AJ198" s="166">
        <v>4.1261100000000006</v>
      </c>
      <c r="AK198" s="82" t="str">
        <v>Base</v>
      </c>
      <c r="AL198" s="162">
        <v>-22.5</v>
      </c>
      <c r="AM198" s="162">
        <v>-4.0538122262976746</v>
      </c>
      <c r="AN198" s="162">
        <v>-0.95565869012607263</v>
      </c>
      <c r="AO198" s="162">
        <v>47.499993141849522</v>
      </c>
      <c r="AP198" s="162">
        <v>-21.599996881346296</v>
      </c>
      <c r="AQ198" s="162">
        <v>0</v>
      </c>
      <c r="AR198" s="710" t="str">
        <v>1613.par</v>
      </c>
      <c r="AV198" s="82" t="str">
        <v>0,204,204</v>
      </c>
      <c r="AW198" s="951">
        <v>0</v>
      </c>
      <c r="AX198" s="951">
        <v>47.499993141849522</v>
      </c>
      <c r="AY198" s="951">
        <v>0</v>
      </c>
    </row>
    <row r="199" spans="2:51" x14ac:dyDescent="0.25">
      <c r="B199" s="650">
        <v>3.2091546993201465</v>
      </c>
      <c r="C199" s="651">
        <v>-2.5987253286226952</v>
      </c>
      <c r="D199" s="652">
        <v>-1.1426034460919936</v>
      </c>
      <c r="E199" s="653">
        <v>0.80738983962241495</v>
      </c>
      <c r="F199" s="651">
        <v>0.53790037623159226</v>
      </c>
      <c r="G199" s="654">
        <v>0.24245583541008645</v>
      </c>
      <c r="H199" s="653">
        <v>0.314</v>
      </c>
      <c r="I199" s="920">
        <v>0.52</v>
      </c>
      <c r="J199" s="924">
        <v>3.1269999999999998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1" t="s">
        <v>420</v>
      </c>
      <c r="M199" s="946"/>
      <c r="N199" s="943"/>
      <c r="O199" s="944"/>
      <c r="Q199" s="162">
        <f t="shared" si="1079"/>
        <v>3.5623860646091052</v>
      </c>
      <c r="R199" s="162">
        <f t="shared" si="1080"/>
        <v>-2.9680716727781786</v>
      </c>
      <c r="S199" s="162">
        <f t="shared" si="1081"/>
        <v>-2.5349076452814576</v>
      </c>
      <c r="T199" s="162">
        <f t="shared" si="1082"/>
        <v>0.92592726509846446</v>
      </c>
      <c r="U199" s="162">
        <f t="shared" si="1083"/>
        <v>0.36827277713936124</v>
      </c>
      <c r="V199" s="162">
        <f t="shared" si="1084"/>
        <v>8.3868118885189955E-2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85"/>
        <v>0.52</v>
      </c>
      <c r="Y199" s="75">
        <v>3.1389999999999998</v>
      </c>
      <c r="Z199" s="917">
        <f t="shared" si="1086"/>
        <v>1613</v>
      </c>
      <c r="AA199" s="82"/>
      <c r="AB199" s="75"/>
      <c r="AC199" s="75">
        <v>1.1000300000000001</v>
      </c>
      <c r="AD199" s="166">
        <v>0</v>
      </c>
      <c r="AE199" s="75">
        <v>4.12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4.1201100000000004</v>
      </c>
      <c r="AK199" s="82" t="str">
        <v>Base</v>
      </c>
      <c r="AL199" s="162">
        <v>-22.5</v>
      </c>
      <c r="AM199" s="162">
        <v>-3.5056105729214884</v>
      </c>
      <c r="AN199" s="162">
        <v>-0.44831364032826698</v>
      </c>
      <c r="AO199" s="162">
        <v>32.499995307581308</v>
      </c>
      <c r="AP199" s="162">
        <v>-18.239997366470227</v>
      </c>
      <c r="AQ199" s="162">
        <v>0</v>
      </c>
      <c r="AR199" s="710" t="str">
        <v>1613.par</v>
      </c>
      <c r="AV199" s="82" t="str">
        <v>0,204,204</v>
      </c>
      <c r="AW199" s="951">
        <v>0</v>
      </c>
      <c r="AX199" s="951">
        <v>32.499995307581308</v>
      </c>
      <c r="AY199" s="951">
        <v>0</v>
      </c>
    </row>
    <row r="200" spans="2:51" x14ac:dyDescent="0.25">
      <c r="B200" s="650">
        <v>3.4532771548376395</v>
      </c>
      <c r="C200" s="651">
        <v>-2.8507167964575042</v>
      </c>
      <c r="D200" s="652">
        <v>-1.8041054411820108</v>
      </c>
      <c r="E200" s="653">
        <v>0.87562133328863756</v>
      </c>
      <c r="F200" s="651">
        <v>0.44736558197422965</v>
      </c>
      <c r="G200" s="654">
        <v>0.18207503056346772</v>
      </c>
      <c r="H200" s="653">
        <v>0.314</v>
      </c>
      <c r="I200" s="920">
        <v>0.52</v>
      </c>
      <c r="J200" s="924">
        <v>3.133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1" t="s">
        <v>420</v>
      </c>
      <c r="M200" s="946"/>
      <c r="N200" s="943"/>
      <c r="O200" s="944"/>
      <c r="Q200" s="162">
        <f t="shared" si="1079"/>
        <v>3.5996895994964904</v>
      </c>
      <c r="R200" s="162">
        <f t="shared" si="1080"/>
        <v>-3.0087438912669917</v>
      </c>
      <c r="S200" s="162">
        <f t="shared" si="1081"/>
        <v>-3.3411100767879911</v>
      </c>
      <c r="T200" s="162">
        <f t="shared" si="1082"/>
        <v>0.93757456447982424</v>
      </c>
      <c r="U200" s="162">
        <f t="shared" si="1083"/>
        <v>0.34504332534574994</v>
      </c>
      <c r="V200" s="162">
        <f t="shared" si="1084"/>
        <v>4.357797235777483E-2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85"/>
        <v>0.52</v>
      </c>
      <c r="Y200" s="75">
        <v>3.145</v>
      </c>
      <c r="Z200" s="917">
        <f t="shared" si="1086"/>
        <v>1613</v>
      </c>
      <c r="AA200" s="82"/>
      <c r="AB200" s="75"/>
      <c r="AC200" s="75"/>
      <c r="AD200" s="166"/>
      <c r="AE200" s="75">
        <v>4.1139999999999999</v>
      </c>
      <c r="AF200" s="82">
        <v>4</v>
      </c>
      <c r="AG200" s="82">
        <v>1</v>
      </c>
      <c r="AH200" s="82">
        <v>1</v>
      </c>
      <c r="AI200" s="82">
        <v>0.99999999998544808</v>
      </c>
      <c r="AJ200" s="166">
        <v>4.1141100000000002</v>
      </c>
      <c r="AK200" s="82" t="str">
        <v>Base</v>
      </c>
      <c r="AL200" s="162">
        <v>-22.5</v>
      </c>
      <c r="AM200" s="162">
        <v>-2.8271085265593161</v>
      </c>
      <c r="AN200" s="162">
        <v>-0.13675992179499294</v>
      </c>
      <c r="AO200" s="162">
        <v>17.499997473312991</v>
      </c>
      <c r="AP200" s="162">
        <v>-15.999997689886136</v>
      </c>
      <c r="AQ200" s="162">
        <v>0</v>
      </c>
      <c r="AR200" s="710" t="str">
        <v>1613.par</v>
      </c>
      <c r="AV200" s="82" t="str">
        <v>0,204,204</v>
      </c>
      <c r="AW200" s="951">
        <v>0</v>
      </c>
      <c r="AX200" s="951">
        <v>17.499997473312991</v>
      </c>
      <c r="AY200" s="951">
        <v>0</v>
      </c>
    </row>
    <row r="201" spans="2:51" x14ac:dyDescent="0.25">
      <c r="B201" s="650">
        <v>3.5623860646091052</v>
      </c>
      <c r="C201" s="651">
        <v>-2.9680716727781786</v>
      </c>
      <c r="D201" s="652">
        <v>-2.5349076452814576</v>
      </c>
      <c r="E201" s="653">
        <v>0.92592726509846446</v>
      </c>
      <c r="F201" s="651">
        <v>0.36827277713936124</v>
      </c>
      <c r="G201" s="654">
        <v>8.3868118885189955E-2</v>
      </c>
      <c r="H201" s="653">
        <v>0.314</v>
      </c>
      <c r="I201" s="920">
        <v>0.52</v>
      </c>
      <c r="J201" s="924">
        <v>3.1389999999999998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1" t="s">
        <v>420</v>
      </c>
      <c r="M201" s="946"/>
      <c r="N201" s="943"/>
      <c r="O201" s="944"/>
      <c r="Q201" s="162">
        <f t="shared" si="1079"/>
        <v>1.7440736134470234</v>
      </c>
      <c r="R201" s="162">
        <f t="shared" si="1080"/>
        <v>-2.3900269649003545</v>
      </c>
      <c r="S201" s="162">
        <f t="shared" si="1081"/>
        <v>-0.23581866446421618</v>
      </c>
      <c r="T201" s="162">
        <f t="shared" si="1082"/>
        <v>0.82638849580247697</v>
      </c>
      <c r="U201" s="162">
        <f t="shared" si="1083"/>
        <v>0.45130662270707633</v>
      </c>
      <c r="V201" s="162">
        <f t="shared" si="1084"/>
        <v>0.33675567746669438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85"/>
        <v>0.39400000000000002</v>
      </c>
      <c r="Y201" s="75">
        <v>3.2149999999999999</v>
      </c>
      <c r="Z201" s="917">
        <f t="shared" si="1086"/>
        <v>1310</v>
      </c>
      <c r="AA201" s="82"/>
      <c r="AB201" s="75"/>
      <c r="AC201" s="75"/>
      <c r="AD201" s="166"/>
      <c r="AE201" s="75">
        <v>3.2450000000000001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3.2451099999999999</v>
      </c>
      <c r="AK201" s="82" t="str">
        <v>Base</v>
      </c>
      <c r="AL201" s="162">
        <v>-21.75</v>
      </c>
      <c r="AM201" s="162">
        <v>-4.6871636932366263</v>
      </c>
      <c r="AN201" s="162">
        <v>-3.2885890418936494</v>
      </c>
      <c r="AO201" s="162">
        <v>85.029987723188739</v>
      </c>
      <c r="AP201" s="162">
        <v>0</v>
      </c>
      <c r="AQ201" s="162">
        <v>0</v>
      </c>
      <c r="AR201" s="710" t="str">
        <v>1613.par</v>
      </c>
      <c r="AV201" s="82" t="str">
        <v>97,255,97</v>
      </c>
      <c r="AW201" s="951">
        <v>0</v>
      </c>
      <c r="AX201" s="951">
        <v>85.029987723188739</v>
      </c>
      <c r="AY201" s="951">
        <v>0</v>
      </c>
    </row>
    <row r="202" spans="2:51" x14ac:dyDescent="0.25">
      <c r="B202" s="650">
        <v>3.5996895994964904</v>
      </c>
      <c r="C202" s="651">
        <v>-3.0087438912669917</v>
      </c>
      <c r="D202" s="652">
        <v>-3.3411100767879911</v>
      </c>
      <c r="E202" s="653">
        <v>0.93757456447982424</v>
      </c>
      <c r="F202" s="651">
        <v>0.34504332534574994</v>
      </c>
      <c r="G202" s="654">
        <v>4.357797235777483E-2</v>
      </c>
      <c r="H202" s="653">
        <v>0.314</v>
      </c>
      <c r="I202" s="920">
        <v>0.52</v>
      </c>
      <c r="J202" s="924">
        <v>3.145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1" t="s">
        <v>420</v>
      </c>
      <c r="M202" s="946"/>
      <c r="N202" s="943"/>
      <c r="O202" s="944"/>
      <c r="Q202" s="162">
        <f t="shared" si="1079"/>
        <v>2.2537227163665832</v>
      </c>
      <c r="R202" s="162">
        <f t="shared" si="1080"/>
        <v>-2.8427536196354302</v>
      </c>
      <c r="S202" s="162">
        <f t="shared" si="1081"/>
        <v>-0.58627820121793361</v>
      </c>
      <c r="T202" s="162">
        <f t="shared" si="1082"/>
        <v>0.8607724632573418</v>
      </c>
      <c r="U202" s="162">
        <f t="shared" si="1083"/>
        <v>0.38703694086651202</v>
      </c>
      <c r="V202" s="162">
        <f t="shared" si="1084"/>
        <v>0.3305649299344689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85"/>
        <v>0.52</v>
      </c>
      <c r="Y202" s="75">
        <v>3.2210000000000001</v>
      </c>
      <c r="Z202" s="917">
        <f t="shared" si="1086"/>
        <v>1313</v>
      </c>
      <c r="AA202" s="82"/>
      <c r="AB202" s="75"/>
      <c r="AC202" s="75"/>
      <c r="AD202" s="166"/>
      <c r="AE202" s="75">
        <v>3.2389999999999999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3.2391099999999997</v>
      </c>
      <c r="AK202" s="82" t="str">
        <v>Base</v>
      </c>
      <c r="AL202" s="162">
        <v>-21.75</v>
      </c>
      <c r="AM202" s="162">
        <v>-4.6358053718246754</v>
      </c>
      <c r="AN202" s="162">
        <v>-2.4817223398571775</v>
      </c>
      <c r="AO202" s="162">
        <v>84.709987769390992</v>
      </c>
      <c r="AP202" s="162">
        <v>0</v>
      </c>
      <c r="AQ202" s="162">
        <v>0</v>
      </c>
      <c r="AR202" s="710" t="str">
        <v>1613.par</v>
      </c>
      <c r="AV202" s="82" t="str">
        <v>97,255,97</v>
      </c>
      <c r="AW202" s="951">
        <v>0</v>
      </c>
      <c r="AX202" s="951">
        <v>84.709987769390992</v>
      </c>
      <c r="AY202" s="951">
        <v>0</v>
      </c>
    </row>
    <row r="203" spans="2:51" x14ac:dyDescent="0.25">
      <c r="B203" s="650">
        <v>1.7440736134470234</v>
      </c>
      <c r="C203" s="651">
        <v>-2.3900269649003545</v>
      </c>
      <c r="D203" s="652">
        <v>-0.23581866446421618</v>
      </c>
      <c r="E203" s="653">
        <v>0.82638849580247697</v>
      </c>
      <c r="F203" s="651">
        <v>0.45130662270707633</v>
      </c>
      <c r="G203" s="654">
        <v>0.33675567746669438</v>
      </c>
      <c r="H203" s="653">
        <v>0.26600000000000001</v>
      </c>
      <c r="I203" s="920">
        <v>0.39400000000000002</v>
      </c>
      <c r="J203" s="924">
        <v>3.2149999999999999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1" t="s">
        <v>421</v>
      </c>
      <c r="M203" s="946"/>
      <c r="N203" s="943"/>
      <c r="O203" s="944"/>
      <c r="Q203" s="162">
        <f t="shared" si="1079"/>
        <v>2.6366824036520926</v>
      </c>
      <c r="R203" s="162">
        <f t="shared" si="1080"/>
        <v>-3.213464776575937</v>
      </c>
      <c r="S203" s="162">
        <f t="shared" si="1081"/>
        <v>-1.1261382192457525</v>
      </c>
      <c r="T203" s="162">
        <f t="shared" si="1082"/>
        <v>0.90963981547828821</v>
      </c>
      <c r="U203" s="162">
        <f t="shared" si="1083"/>
        <v>0.29404330381822386</v>
      </c>
      <c r="V203" s="162">
        <f t="shared" si="1084"/>
        <v>0.2934176913144288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85"/>
        <v>0.52</v>
      </c>
      <c r="Y203" s="75">
        <v>3.2269999999999999</v>
      </c>
      <c r="Z203" s="917">
        <f t="shared" si="1086"/>
        <v>1313</v>
      </c>
      <c r="AA203" s="82"/>
      <c r="AB203" s="75"/>
      <c r="AC203" s="75"/>
      <c r="AD203" s="166"/>
      <c r="AE203" s="75">
        <v>3.2330000000000001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3.2331099999999999</v>
      </c>
      <c r="AK203" s="82" t="str">
        <v>Base</v>
      </c>
      <c r="AL203" s="162">
        <v>-21.75</v>
      </c>
      <c r="AM203" s="162">
        <v>-4.4855214378891013</v>
      </c>
      <c r="AN203" s="162">
        <v>-1.7469530123872579</v>
      </c>
      <c r="AO203" s="162">
        <v>67.869990200785836</v>
      </c>
      <c r="AP203" s="162">
        <v>0</v>
      </c>
      <c r="AQ203" s="162">
        <v>0</v>
      </c>
      <c r="AR203" s="710" t="str">
        <v>1313.par</v>
      </c>
      <c r="AV203" s="82" t="str">
        <v>97,255,97</v>
      </c>
      <c r="AW203" s="951">
        <v>0</v>
      </c>
      <c r="AX203" s="951">
        <v>67.869990200785836</v>
      </c>
      <c r="AY203" s="951">
        <v>0</v>
      </c>
    </row>
    <row r="204" spans="2:51" x14ac:dyDescent="0.25">
      <c r="B204" s="650">
        <v>2.2537227163665832</v>
      </c>
      <c r="C204" s="651">
        <v>-2.8427536196354302</v>
      </c>
      <c r="D204" s="652">
        <v>-0.58627820121793361</v>
      </c>
      <c r="E204" s="653">
        <v>0.8607724632573418</v>
      </c>
      <c r="F204" s="651">
        <v>0.38703694086651202</v>
      </c>
      <c r="G204" s="654">
        <v>0.3305649299344689</v>
      </c>
      <c r="H204" s="653">
        <v>0.26600000000000001</v>
      </c>
      <c r="I204" s="920">
        <v>0.52</v>
      </c>
      <c r="J204" s="924">
        <v>3.2210000000000001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1" t="s">
        <v>421</v>
      </c>
      <c r="M204" s="946"/>
      <c r="N204" s="943"/>
      <c r="O204" s="944"/>
      <c r="Q204" s="162">
        <f t="shared" si="1079"/>
        <v>2.4605581129391734</v>
      </c>
      <c r="R204" s="162">
        <f t="shared" si="1080"/>
        <v>-3.7504074902084872</v>
      </c>
      <c r="S204" s="162">
        <f t="shared" si="1081"/>
        <v>-1.8148845028445957</v>
      </c>
      <c r="T204" s="162">
        <f t="shared" si="1082"/>
        <v>0.50814434695727917</v>
      </c>
      <c r="U204" s="162">
        <f t="shared" si="1083"/>
        <v>-0.7745187382139227</v>
      </c>
      <c r="V204" s="162">
        <f t="shared" si="1084"/>
        <v>0.37670949923100355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85"/>
        <v>0.41499999999999992</v>
      </c>
      <c r="Y204" s="75">
        <v>3.2330000000000001</v>
      </c>
      <c r="Z204" s="917" t="str">
        <f t="shared" si="1086"/>
        <v>CPS-32193r1</v>
      </c>
      <c r="AA204" s="82"/>
      <c r="AB204" s="75"/>
      <c r="AC204" s="75"/>
      <c r="AD204" s="166"/>
      <c r="AE204" s="75">
        <v>3.2269999999999999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3.2271099999999997</v>
      </c>
      <c r="AK204" s="82" t="str">
        <v>Base</v>
      </c>
      <c r="AL204" s="162">
        <v>-21.75</v>
      </c>
      <c r="AM204" s="162">
        <v>-4.1567354941134766</v>
      </c>
      <c r="AN204" s="162">
        <v>-1.0610313888945391</v>
      </c>
      <c r="AO204" s="162">
        <v>49.999992780894232</v>
      </c>
      <c r="AP204" s="162">
        <v>-27.159996078581734</v>
      </c>
      <c r="AQ204" s="162">
        <v>0</v>
      </c>
      <c r="AR204" s="710" t="str">
        <v>1313.par</v>
      </c>
      <c r="AV204" s="82" t="str">
        <v>97,255,97</v>
      </c>
      <c r="AW204" s="951">
        <v>0</v>
      </c>
      <c r="AX204" s="951">
        <v>49.999992780894232</v>
      </c>
      <c r="AY204" s="951">
        <v>0</v>
      </c>
    </row>
    <row r="205" spans="2:51" x14ac:dyDescent="0.25">
      <c r="B205" s="650">
        <v>2.6366824036520926</v>
      </c>
      <c r="C205" s="651">
        <v>-3.213464776575937</v>
      </c>
      <c r="D205" s="652">
        <v>-1.1261382192457525</v>
      </c>
      <c r="E205" s="653">
        <v>0.90963981547828821</v>
      </c>
      <c r="F205" s="651">
        <v>0.29404330381822386</v>
      </c>
      <c r="G205" s="654">
        <v>0.2934176913144288</v>
      </c>
      <c r="H205" s="653">
        <v>0.26600000000000001</v>
      </c>
      <c r="I205" s="920">
        <v>0.52</v>
      </c>
      <c r="J205" s="924">
        <v>3.2269999999999999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1" t="s">
        <v>421</v>
      </c>
      <c r="M205" s="946"/>
      <c r="N205" s="943"/>
      <c r="O205" s="944"/>
      <c r="Q205" s="162">
        <f t="shared" si="1079"/>
        <v>2.4586993133911461</v>
      </c>
      <c r="R205" s="162">
        <f t="shared" si="1080"/>
        <v>-3.9300749524364571</v>
      </c>
      <c r="S205" s="162">
        <f t="shared" si="1081"/>
        <v>-2.5502267088965938</v>
      </c>
      <c r="T205" s="162">
        <f t="shared" si="1082"/>
        <v>0.52811259061692239</v>
      </c>
      <c r="U205" s="162">
        <f t="shared" si="1083"/>
        <v>-0.84415448979291563</v>
      </c>
      <c r="V205" s="162">
        <f t="shared" si="1084"/>
        <v>9.2197011851499908E-2</v>
      </c>
      <c r="W205" s="162">
        <f>IFERROR(IF(ISNUMBER(MATCH($Z205,Settings!$AK$28:$AK$36,0)),INDEX(Settings!$AO$14:$AO$36,MATCH($Z205,Settings!$AK$14:$AK$36,0))/2,INDEX(Settings!$AM$14:$AM$36,MATCH($Z205,Settings!$AK$14:$AK$36,0))/2),"")</f>
        <v>0.255</v>
      </c>
      <c r="X205" s="162">
        <f t="shared" si="1085"/>
        <v>0.41499999999999992</v>
      </c>
      <c r="Y205" s="75">
        <v>3.2389999999999999</v>
      </c>
      <c r="Z205" s="917" t="str">
        <f t="shared" si="1086"/>
        <v>CPS-32193r1</v>
      </c>
      <c r="AA205" s="82"/>
      <c r="AB205" s="75"/>
      <c r="AC205" s="75"/>
      <c r="AD205" s="166"/>
      <c r="AE205" s="75">
        <v>3.2210000000000001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3.2211099999999999</v>
      </c>
      <c r="AK205" s="82" t="str">
        <v>Base</v>
      </c>
      <c r="AL205" s="162">
        <v>-21.75</v>
      </c>
      <c r="AM205" s="162">
        <v>-3.6277423039980539</v>
      </c>
      <c r="AN205" s="162">
        <v>-0.52072599194409264</v>
      </c>
      <c r="AO205" s="162">
        <v>34.999994946626003</v>
      </c>
      <c r="AP205" s="162">
        <v>-23.799996563705651</v>
      </c>
      <c r="AQ205" s="162">
        <v>0</v>
      </c>
      <c r="AR205" s="710" t="str">
        <v>1313.par</v>
      </c>
      <c r="AV205" s="82" t="str">
        <v>97,255,97</v>
      </c>
      <c r="AW205" s="951">
        <v>0</v>
      </c>
      <c r="AX205" s="951">
        <v>34.999994946626003</v>
      </c>
      <c r="AY205" s="951">
        <v>0</v>
      </c>
    </row>
    <row r="206" spans="2:51" x14ac:dyDescent="0.25">
      <c r="B206" s="650">
        <v>2.4605581129391734</v>
      </c>
      <c r="C206" s="651">
        <v>-3.7504074902084872</v>
      </c>
      <c r="D206" s="652">
        <v>-1.8148845028445957</v>
      </c>
      <c r="E206" s="653">
        <v>0.50814434695727917</v>
      </c>
      <c r="F206" s="651">
        <v>-0.7745187382139227</v>
      </c>
      <c r="G206" s="654">
        <v>0.37670949923100355</v>
      </c>
      <c r="H206" s="653">
        <v>0.25700000000000001</v>
      </c>
      <c r="I206" s="920">
        <v>0.41499999999999992</v>
      </c>
      <c r="J206" s="924">
        <v>3.2330000000000001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41" t="s">
        <v>421</v>
      </c>
      <c r="M206" s="946"/>
      <c r="N206" s="943"/>
      <c r="O206" s="944"/>
      <c r="Q206" s="162">
        <f t="shared" si="1079"/>
        <v>2.384694488563627</v>
      </c>
      <c r="R206" s="162">
        <f t="shared" si="1080"/>
        <v>-4.0351871931063954</v>
      </c>
      <c r="S206" s="162">
        <f t="shared" si="1081"/>
        <v>-3.3577640312445025</v>
      </c>
      <c r="T206" s="162">
        <f t="shared" si="1082"/>
        <v>0.50685843642742157</v>
      </c>
      <c r="U206" s="162">
        <f t="shared" si="1083"/>
        <v>-0.85766486281510601</v>
      </c>
      <c r="V206" s="162">
        <f t="shared" si="1084"/>
        <v>8.6634337965353025E-2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85"/>
        <v>0.41499999999999992</v>
      </c>
      <c r="Y206" s="75">
        <v>3.2450000000000001</v>
      </c>
      <c r="Z206" s="917" t="str">
        <f t="shared" si="1086"/>
        <v>CPS-32193r1</v>
      </c>
      <c r="AA206" s="82"/>
      <c r="AB206" s="75"/>
      <c r="AC206" s="75"/>
      <c r="AD206" s="166"/>
      <c r="AE206" s="75">
        <v>3.2149999999999999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3.2151099999999997</v>
      </c>
      <c r="AK206" s="82" t="str">
        <v>Base</v>
      </c>
      <c r="AL206" s="162">
        <v>-21.75</v>
      </c>
      <c r="AM206" s="162">
        <v>-2.9587195984197217</v>
      </c>
      <c r="AN206" s="162">
        <v>-0.16920724733603312</v>
      </c>
      <c r="AO206" s="162">
        <v>19.999997112357644</v>
      </c>
      <c r="AP206" s="162">
        <v>-20.999996967975559</v>
      </c>
      <c r="AQ206" s="162">
        <v>0</v>
      </c>
      <c r="AR206" s="710" t="str">
        <v>1313.par</v>
      </c>
      <c r="AV206" s="82" t="str">
        <v>97,255,97</v>
      </c>
      <c r="AW206" s="951">
        <v>0</v>
      </c>
      <c r="AX206" s="951">
        <v>19.999997112357644</v>
      </c>
      <c r="AY206" s="951">
        <v>0</v>
      </c>
    </row>
    <row r="207" spans="2:51" x14ac:dyDescent="0.25">
      <c r="B207" s="650">
        <v>2.4586993133911461</v>
      </c>
      <c r="C207" s="651">
        <v>-3.9300749524364571</v>
      </c>
      <c r="D207" s="652">
        <v>-2.5502267088965938</v>
      </c>
      <c r="E207" s="653">
        <v>0.52811259061692239</v>
      </c>
      <c r="F207" s="651">
        <v>-0.84415448979291563</v>
      </c>
      <c r="G207" s="654">
        <v>9.2197011851499908E-2</v>
      </c>
      <c r="H207" s="653">
        <v>0.25700000000000001</v>
      </c>
      <c r="I207" s="920">
        <v>0.41499999999999992</v>
      </c>
      <c r="J207" s="924">
        <v>3.2389999999999999</v>
      </c>
      <c r="K207" s="790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CPS-32193r1</v>
      </c>
      <c r="L207" s="941" t="s">
        <v>420</v>
      </c>
      <c r="M207" s="946"/>
      <c r="N207" s="943"/>
      <c r="O207" s="944"/>
      <c r="Q207" s="162">
        <f t="shared" si="1079"/>
        <v>-0.36216300496694659</v>
      </c>
      <c r="R207" s="162">
        <f t="shared" si="1080"/>
        <v>-2.8038153610353338</v>
      </c>
      <c r="S207" s="162">
        <f t="shared" si="1081"/>
        <v>-0.22350067407803323</v>
      </c>
      <c r="T207" s="162">
        <f t="shared" si="1082"/>
        <v>0.9427236948183616</v>
      </c>
      <c r="U207" s="162">
        <f t="shared" si="1083"/>
        <v>-0.2053439763238406</v>
      </c>
      <c r="V207" s="162">
        <f t="shared" si="1084"/>
        <v>0.2628799851938729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85"/>
        <v>0.52</v>
      </c>
      <c r="Y207" s="75">
        <v>4.1139999999999999</v>
      </c>
      <c r="Z207" s="917">
        <f t="shared" si="1086"/>
        <v>1613</v>
      </c>
      <c r="AA207" s="82"/>
      <c r="AB207" s="75"/>
      <c r="AC207" s="75"/>
      <c r="AD207" s="166"/>
      <c r="AE207" s="75">
        <v>3.145</v>
      </c>
      <c r="AF207" s="82">
        <v>3</v>
      </c>
      <c r="AG207" s="82">
        <v>1</v>
      </c>
      <c r="AH207" s="82">
        <v>1</v>
      </c>
      <c r="AI207" s="82">
        <v>0.99999999998544808</v>
      </c>
      <c r="AJ207" s="166">
        <v>3.1451099999999999</v>
      </c>
      <c r="AK207" s="82" t="str">
        <v>Base</v>
      </c>
      <c r="AL207" s="162">
        <v>-21</v>
      </c>
      <c r="AM207" s="162">
        <v>-4.6915141496066752</v>
      </c>
      <c r="AN207" s="162">
        <v>-3.2809758021449325</v>
      </c>
      <c r="AO207" s="162">
        <v>84.999987727520178</v>
      </c>
      <c r="AP207" s="162">
        <v>-29.99999566853651</v>
      </c>
      <c r="AQ207" s="162">
        <v>0</v>
      </c>
      <c r="AR207" s="710" t="str">
        <v>1613.par</v>
      </c>
      <c r="AV207" s="82" t="str">
        <v>0,204,0</v>
      </c>
      <c r="AW207" s="951">
        <v>0</v>
      </c>
      <c r="AX207" s="951">
        <v>84.999987727520178</v>
      </c>
      <c r="AY207" s="951">
        <v>0</v>
      </c>
    </row>
    <row r="208" spans="2:51" x14ac:dyDescent="0.25">
      <c r="B208" s="650">
        <v>2.384694488563627</v>
      </c>
      <c r="C208" s="651">
        <v>-4.0351871931063954</v>
      </c>
      <c r="D208" s="652">
        <v>-3.3577640312445025</v>
      </c>
      <c r="E208" s="653">
        <v>0.50685843642742157</v>
      </c>
      <c r="F208" s="651">
        <v>-0.85766486281510601</v>
      </c>
      <c r="G208" s="654">
        <v>8.6634337965353025E-2</v>
      </c>
      <c r="H208" s="653">
        <v>0.25700000000000001</v>
      </c>
      <c r="I208" s="920">
        <v>0.41499999999999992</v>
      </c>
      <c r="J208" s="924">
        <v>3.2450000000000001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1" t="s">
        <v>420</v>
      </c>
      <c r="M208" s="946"/>
      <c r="N208" s="943"/>
      <c r="O208" s="944"/>
      <c r="Q208" s="162">
        <f t="shared" si="1079"/>
        <v>-0.49455208466960904</v>
      </c>
      <c r="R208" s="162">
        <f t="shared" si="1080"/>
        <v>-3.4705509252174749</v>
      </c>
      <c r="S208" s="162">
        <f t="shared" si="1081"/>
        <v>-0.53540161477127024</v>
      </c>
      <c r="T208" s="162">
        <f t="shared" si="1082"/>
        <v>0.91653027611670834</v>
      </c>
      <c r="U208" s="162">
        <f t="shared" si="1083"/>
        <v>-0.3004777697130086</v>
      </c>
      <c r="V208" s="162">
        <f t="shared" si="1084"/>
        <v>0.26397985315119549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85"/>
        <v>0.52</v>
      </c>
      <c r="Y208" s="75">
        <v>4.12</v>
      </c>
      <c r="Z208" s="917">
        <f t="shared" si="1086"/>
        <v>1613</v>
      </c>
      <c r="AA208" s="82"/>
      <c r="AB208" s="75"/>
      <c r="AC208" s="75"/>
      <c r="AD208" s="166"/>
      <c r="AE208" s="75">
        <v>3.1389999999999998</v>
      </c>
      <c r="AF208" s="82">
        <v>3</v>
      </c>
      <c r="AG208" s="82">
        <v>1</v>
      </c>
      <c r="AH208" s="82">
        <v>1</v>
      </c>
      <c r="AI208" s="82">
        <v>0.9999999999490683</v>
      </c>
      <c r="AJ208" s="166">
        <v>3.1391099999999996</v>
      </c>
      <c r="AK208" s="82" t="str">
        <v>Base</v>
      </c>
      <c r="AL208" s="162">
        <v>-21</v>
      </c>
      <c r="AM208" s="162">
        <v>-4.6368139846309777</v>
      </c>
      <c r="AN208" s="162">
        <v>-2.474815037292986</v>
      </c>
      <c r="AO208" s="162">
        <v>79.999988449430745</v>
      </c>
      <c r="AP208" s="162">
        <v>-28.87999583024444</v>
      </c>
      <c r="AQ208" s="162">
        <v>0</v>
      </c>
      <c r="AR208" s="710" t="str">
        <v>1613.par</v>
      </c>
      <c r="AV208" s="82" t="str">
        <v>0,204,0</v>
      </c>
      <c r="AW208" s="951">
        <v>0</v>
      </c>
      <c r="AX208" s="951">
        <v>79.999988449430745</v>
      </c>
      <c r="AY208" s="951">
        <v>0</v>
      </c>
    </row>
    <row r="209" spans="2:51" x14ac:dyDescent="0.25">
      <c r="B209" s="650">
        <v>3.2406594284728074</v>
      </c>
      <c r="C209" s="651">
        <v>-3.4751856862188917</v>
      </c>
      <c r="D209" s="652">
        <v>-8.1463245693149027</v>
      </c>
      <c r="E209" s="653">
        <v>0.99196960419735603</v>
      </c>
      <c r="F209" s="651">
        <v>5.9477430793371991E-2</v>
      </c>
      <c r="G209" s="654">
        <v>-0.1116187241226162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1" t="s">
        <v>420</v>
      </c>
      <c r="M209" s="946"/>
      <c r="N209" s="943"/>
      <c r="O209" s="944" t="s">
        <v>9</v>
      </c>
      <c r="Q209" s="162">
        <f t="shared" si="1079"/>
        <v>-0.62577053438659691</v>
      </c>
      <c r="R209" s="162">
        <f t="shared" si="1080"/>
        <v>-4.0052221916360677</v>
      </c>
      <c r="S209" s="162">
        <f t="shared" si="1081"/>
        <v>-1.0431031459990878</v>
      </c>
      <c r="T209" s="162">
        <f t="shared" si="1082"/>
        <v>0.87673553351268263</v>
      </c>
      <c r="U209" s="162">
        <f t="shared" si="1083"/>
        <v>-0.41168245909339674</v>
      </c>
      <c r="V209" s="162">
        <f t="shared" si="1084"/>
        <v>0.24870134127311311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85"/>
        <v>0.52</v>
      </c>
      <c r="Y209" s="75">
        <v>4.1260000000000003</v>
      </c>
      <c r="Z209" s="917">
        <f t="shared" si="1086"/>
        <v>1613</v>
      </c>
      <c r="AA209" s="82"/>
      <c r="AB209" s="75"/>
      <c r="AC209" s="75"/>
      <c r="AD209" s="166"/>
      <c r="AE209" s="75">
        <v>3.133</v>
      </c>
      <c r="AF209" s="82">
        <v>3</v>
      </c>
      <c r="AG209" s="82">
        <v>1</v>
      </c>
      <c r="AH209" s="82">
        <v>1</v>
      </c>
      <c r="AI209" s="82">
        <v>0.99999999998544808</v>
      </c>
      <c r="AJ209" s="166">
        <v>3.1331099999999998</v>
      </c>
      <c r="AK209" s="82" t="str">
        <v>Base</v>
      </c>
      <c r="AL209" s="162">
        <v>-21</v>
      </c>
      <c r="AM209" s="162">
        <v>-4.4779135053871322</v>
      </c>
      <c r="AN209" s="162">
        <v>-1.7441332035525936</v>
      </c>
      <c r="AO209" s="162">
        <v>64.999990615162503</v>
      </c>
      <c r="AP209" s="162">
        <v>-25.519996315368395</v>
      </c>
      <c r="AQ209" s="162">
        <v>0</v>
      </c>
      <c r="AR209" s="710" t="str">
        <v>1613.par</v>
      </c>
      <c r="AV209" s="82" t="str">
        <v>0,204,0</v>
      </c>
      <c r="AW209" s="951">
        <v>0</v>
      </c>
      <c r="AX209" s="951">
        <v>64.999990615162503</v>
      </c>
      <c r="AY209" s="951">
        <v>0</v>
      </c>
    </row>
    <row r="210" spans="2:51" x14ac:dyDescent="0.25">
      <c r="B210" s="650">
        <v>-0.36216300496694659</v>
      </c>
      <c r="C210" s="651">
        <v>-2.8038153610353338</v>
      </c>
      <c r="D210" s="652">
        <v>-0.22350067407803323</v>
      </c>
      <c r="E210" s="653">
        <v>0.9427236948183616</v>
      </c>
      <c r="F210" s="651">
        <v>-0.2053439763238406</v>
      </c>
      <c r="G210" s="654">
        <v>0.2628799851938729</v>
      </c>
      <c r="H210" s="653">
        <v>0.314</v>
      </c>
      <c r="I210" s="920">
        <v>0.52</v>
      </c>
      <c r="J210" s="924">
        <v>4.1139999999999999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1" t="s">
        <v>420</v>
      </c>
      <c r="M210" s="946"/>
      <c r="N210" s="943"/>
      <c r="O210" s="944"/>
      <c r="Q210" s="162">
        <f t="shared" si="1079"/>
        <v>-0.72932137506286898</v>
      </c>
      <c r="R210" s="162">
        <f t="shared" si="1080"/>
        <v>-4.3723035283647542</v>
      </c>
      <c r="S210" s="162">
        <f t="shared" si="1081"/>
        <v>-1.6875050895153505</v>
      </c>
      <c r="T210" s="162">
        <f t="shared" si="1082"/>
        <v>0.83266219619252724</v>
      </c>
      <c r="U210" s="162">
        <f t="shared" si="1083"/>
        <v>-0.51836923906919929</v>
      </c>
      <c r="V210" s="162">
        <f t="shared" si="1084"/>
        <v>0.19485122277947586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si="1085"/>
        <v>0.52</v>
      </c>
      <c r="Y210" s="75">
        <v>4.1319999999999997</v>
      </c>
      <c r="Z210" s="917">
        <f t="shared" si="1086"/>
        <v>1613</v>
      </c>
      <c r="AA210" s="82"/>
      <c r="AB210" s="75"/>
      <c r="AC210" s="75"/>
      <c r="AD210" s="166"/>
      <c r="AE210" s="75">
        <v>3.1269999999999998</v>
      </c>
      <c r="AF210" s="82">
        <v>3</v>
      </c>
      <c r="AG210" s="82">
        <v>1</v>
      </c>
      <c r="AH210" s="82">
        <v>1</v>
      </c>
      <c r="AI210" s="82">
        <v>0.9999999999490683</v>
      </c>
      <c r="AJ210" s="166">
        <v>3.1271099999999996</v>
      </c>
      <c r="AK210" s="82" t="str">
        <v>Base</v>
      </c>
      <c r="AL210" s="162">
        <v>-21</v>
      </c>
      <c r="AM210" s="162">
        <v>-4.1294124543079631</v>
      </c>
      <c r="AN210" s="162">
        <v>-1.0828812084204178</v>
      </c>
      <c r="AO210" s="162">
        <v>49.999992780894218</v>
      </c>
      <c r="AP210" s="162">
        <v>-22.159996800492262</v>
      </c>
      <c r="AQ210" s="162">
        <v>0</v>
      </c>
      <c r="AR210" s="710" t="str">
        <v>1613.par</v>
      </c>
      <c r="AV210" s="82" t="str">
        <v>0,204,0</v>
      </c>
      <c r="AW210" s="951">
        <v>0</v>
      </c>
      <c r="AX210" s="951">
        <v>49.999992780894218</v>
      </c>
      <c r="AY210" s="951">
        <v>0</v>
      </c>
    </row>
    <row r="211" spans="2:51" x14ac:dyDescent="0.25">
      <c r="B211" s="650">
        <v>-0.49455208466960904</v>
      </c>
      <c r="C211" s="651">
        <v>-3.4705509252174749</v>
      </c>
      <c r="D211" s="652">
        <v>-0.53540161477127024</v>
      </c>
      <c r="E211" s="653">
        <v>0.91653027611670834</v>
      </c>
      <c r="F211" s="651">
        <v>-0.3004777697130086</v>
      </c>
      <c r="G211" s="654">
        <v>0.26397985315119549</v>
      </c>
      <c r="H211" s="653">
        <v>0.314</v>
      </c>
      <c r="I211" s="920">
        <v>0.52</v>
      </c>
      <c r="J211" s="924">
        <v>4.12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1" t="s">
        <v>420</v>
      </c>
      <c r="M211" s="946"/>
      <c r="N211" s="943"/>
      <c r="O211" s="944"/>
      <c r="Q211" s="162">
        <f t="shared" si="1079"/>
        <v>-0.78463320732195785</v>
      </c>
      <c r="R211" s="162">
        <f t="shared" si="1080"/>
        <v>-4.5567539029285511</v>
      </c>
      <c r="S211" s="162">
        <f t="shared" si="1081"/>
        <v>-2.4105072700899273</v>
      </c>
      <c r="T211" s="162">
        <f t="shared" si="1082"/>
        <v>0.78895070551630109</v>
      </c>
      <c r="U211" s="162">
        <f t="shared" si="1083"/>
        <v>-0.60581680402407412</v>
      </c>
      <c r="V211" s="162">
        <f t="shared" si="1084"/>
        <v>0.10267806108116544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5"/>
        <v>0.52</v>
      </c>
      <c r="Y211" s="75">
        <v>4.1379999999999999</v>
      </c>
      <c r="Z211" s="917">
        <f t="shared" si="1086"/>
        <v>1613</v>
      </c>
      <c r="AA211" s="82"/>
      <c r="AB211" s="75"/>
      <c r="AC211" s="75"/>
      <c r="AD211" s="166"/>
      <c r="AE211" s="75">
        <v>3.121</v>
      </c>
      <c r="AF211" s="82">
        <v>3</v>
      </c>
      <c r="AG211" s="82">
        <v>1</v>
      </c>
      <c r="AH211" s="82">
        <v>1</v>
      </c>
      <c r="AI211" s="82">
        <v>0.99999999998544808</v>
      </c>
      <c r="AJ211" s="166">
        <v>3.1211099999999998</v>
      </c>
      <c r="AK211" s="82" t="str">
        <v>Base</v>
      </c>
      <c r="AL211" s="162">
        <v>-21</v>
      </c>
      <c r="AM211" s="162">
        <v>-3.6074108799512135</v>
      </c>
      <c r="AN211" s="162">
        <v>-0.54852681793850622</v>
      </c>
      <c r="AO211" s="162">
        <v>34.999994946626082</v>
      </c>
      <c r="AP211" s="162">
        <v>-18.799997285616254</v>
      </c>
      <c r="AQ211" s="162">
        <v>0</v>
      </c>
      <c r="AR211" s="710" t="str">
        <v>1613.par</v>
      </c>
      <c r="AV211" s="82" t="str">
        <v>0,204,0</v>
      </c>
      <c r="AW211" s="951">
        <v>0</v>
      </c>
      <c r="AX211" s="951">
        <v>34.999994946626082</v>
      </c>
      <c r="AY211" s="951">
        <v>0</v>
      </c>
    </row>
    <row r="212" spans="2:51" x14ac:dyDescent="0.25">
      <c r="B212" s="650">
        <v>-0.62577053438659691</v>
      </c>
      <c r="C212" s="651">
        <v>-4.0052221916360677</v>
      </c>
      <c r="D212" s="652">
        <v>-1.0431031459990878</v>
      </c>
      <c r="E212" s="653">
        <v>0.87673553351268263</v>
      </c>
      <c r="F212" s="651">
        <v>-0.41168245909339674</v>
      </c>
      <c r="G212" s="654">
        <v>0.24870134127311311</v>
      </c>
      <c r="H212" s="653">
        <v>0.314</v>
      </c>
      <c r="I212" s="920">
        <v>0.52</v>
      </c>
      <c r="J212" s="924">
        <v>4.1260000000000003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1" t="s">
        <v>420</v>
      </c>
      <c r="M212" s="946"/>
      <c r="N212" s="943"/>
      <c r="O212" s="944"/>
      <c r="Q212" s="162">
        <f t="shared" si="1079"/>
        <v>-0.80580314477058923</v>
      </c>
      <c r="R212" s="162">
        <f t="shared" si="1080"/>
        <v>-4.6217947063708351</v>
      </c>
      <c r="S212" s="162">
        <f t="shared" si="1081"/>
        <v>-3.2161096997868555</v>
      </c>
      <c r="T212" s="162">
        <f t="shared" si="1082"/>
        <v>0.76760366407699554</v>
      </c>
      <c r="U212" s="162">
        <f t="shared" si="1083"/>
        <v>-0.63944161204972905</v>
      </c>
      <c r="V212" s="162">
        <f t="shared" si="1084"/>
        <v>4.3577972357774906E-2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5"/>
        <v>0.52</v>
      </c>
      <c r="Y212" s="75">
        <v>4.1440000000000001</v>
      </c>
      <c r="Z212" s="917">
        <f t="shared" si="1086"/>
        <v>1613</v>
      </c>
      <c r="AA212" s="82"/>
      <c r="AB212" s="75"/>
      <c r="AC212" s="75"/>
      <c r="AD212" s="166"/>
      <c r="AE212" s="75">
        <v>3.1150000000000002</v>
      </c>
      <c r="AF212" s="82">
        <v>3</v>
      </c>
      <c r="AG212" s="82">
        <v>1</v>
      </c>
      <c r="AH212" s="82">
        <v>1</v>
      </c>
      <c r="AI212" s="82">
        <v>1.0000000000218279</v>
      </c>
      <c r="AJ212" s="166">
        <v>3.11511</v>
      </c>
      <c r="AK212" s="82" t="str">
        <v>Base</v>
      </c>
      <c r="AL212" s="162">
        <v>-21</v>
      </c>
      <c r="AM212" s="162">
        <v>-2.9467088872740037</v>
      </c>
      <c r="AN212" s="162">
        <v>-0.20068687882917563</v>
      </c>
      <c r="AO212" s="162">
        <v>19.999997112357622</v>
      </c>
      <c r="AP212" s="162">
        <v>-15.999997689886111</v>
      </c>
      <c r="AQ212" s="162">
        <v>0</v>
      </c>
      <c r="AR212" s="710" t="str">
        <v>1613.par</v>
      </c>
      <c r="AV212" s="82" t="str">
        <v>0,204,0</v>
      </c>
      <c r="AW212" s="951">
        <v>0</v>
      </c>
      <c r="AX212" s="951">
        <v>19.999997112357622</v>
      </c>
      <c r="AY212" s="951">
        <v>0</v>
      </c>
    </row>
    <row r="213" spans="2:51" x14ac:dyDescent="0.25">
      <c r="B213" s="650">
        <v>-0.72932137506286898</v>
      </c>
      <c r="C213" s="651">
        <v>-4.3723035283647542</v>
      </c>
      <c r="D213" s="652">
        <v>-1.6875050895153505</v>
      </c>
      <c r="E213" s="653">
        <v>0.83266219619252724</v>
      </c>
      <c r="F213" s="651">
        <v>-0.51836923906919929</v>
      </c>
      <c r="G213" s="654">
        <v>0.19485122277947586</v>
      </c>
      <c r="H213" s="653">
        <v>0.314</v>
      </c>
      <c r="I213" s="920">
        <v>0.52</v>
      </c>
      <c r="J213" s="924">
        <v>4.1319999999999997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1" t="s">
        <v>420</v>
      </c>
      <c r="M213" s="946"/>
      <c r="N213" s="943"/>
      <c r="O213" s="944"/>
      <c r="Q213" s="162">
        <f t="shared" si="1079"/>
        <v>-1.3116575684967327</v>
      </c>
      <c r="R213" s="162">
        <f t="shared" si="1080"/>
        <v>-3.2714744799997422</v>
      </c>
      <c r="S213" s="162">
        <f t="shared" si="1081"/>
        <v>-0.51318490355343716</v>
      </c>
      <c r="T213" s="162">
        <f t="shared" si="1082"/>
        <v>0.77396673816292227</v>
      </c>
      <c r="U213" s="162">
        <f t="shared" si="1083"/>
        <v>-0.53872759995394481</v>
      </c>
      <c r="V213" s="162">
        <f t="shared" si="1084"/>
        <v>0.33278831299387485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5"/>
        <v>0.52</v>
      </c>
      <c r="Y213" s="75">
        <v>4.22</v>
      </c>
      <c r="Z213" s="917">
        <f t="shared" si="1086"/>
        <v>1313</v>
      </c>
      <c r="AA213" s="82"/>
      <c r="AB213" s="75"/>
      <c r="AC213" s="75"/>
      <c r="AD213" s="166"/>
      <c r="AE213" s="75">
        <v>3.109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3.1091099999999998</v>
      </c>
      <c r="AK213" s="82" t="str">
        <v>Base</v>
      </c>
      <c r="AL213" s="162">
        <v>-21</v>
      </c>
      <c r="AM213" s="162">
        <v>-2.2088066617608919</v>
      </c>
      <c r="AN213" s="162">
        <v>-8.7899500946299391E-2</v>
      </c>
      <c r="AO213" s="162">
        <v>4.9999992780894003</v>
      </c>
      <c r="AP213" s="162">
        <v>-15.99999768988615</v>
      </c>
      <c r="AQ213" s="162">
        <v>0</v>
      </c>
      <c r="AR213" s="710" t="str">
        <v>1613.par</v>
      </c>
      <c r="AV213" s="82" t="str">
        <v>0,204,0</v>
      </c>
      <c r="AW213" s="951">
        <v>0</v>
      </c>
      <c r="AX213" s="951">
        <v>4.9999992780894003</v>
      </c>
      <c r="AY213" s="951">
        <v>0</v>
      </c>
    </row>
    <row r="214" spans="2:51" x14ac:dyDescent="0.25">
      <c r="B214" s="650">
        <v>-0.78463320732195785</v>
      </c>
      <c r="C214" s="651">
        <v>-4.5567539029285511</v>
      </c>
      <c r="D214" s="652">
        <v>-2.4105072700899273</v>
      </c>
      <c r="E214" s="653">
        <v>0.78895070551630109</v>
      </c>
      <c r="F214" s="651">
        <v>-0.60581680402407412</v>
      </c>
      <c r="G214" s="654">
        <v>0.10267806108116544</v>
      </c>
      <c r="H214" s="653">
        <v>0.314</v>
      </c>
      <c r="I214" s="920">
        <v>0.52</v>
      </c>
      <c r="J214" s="924">
        <v>4.1379999999999999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1" t="s">
        <v>420</v>
      </c>
      <c r="M214" s="946"/>
      <c r="N214" s="943"/>
      <c r="O214" s="944"/>
      <c r="Q214" s="162">
        <f t="shared" si="1079"/>
        <v>-1.4442589922699487</v>
      </c>
      <c r="R214" s="162">
        <f t="shared" si="1080"/>
        <v>-3.8159226240781763</v>
      </c>
      <c r="S214" s="162">
        <f t="shared" si="1081"/>
        <v>-1.0256060665364233</v>
      </c>
      <c r="T214" s="162">
        <f t="shared" si="1082"/>
        <v>0.71940562764001514</v>
      </c>
      <c r="U214" s="162">
        <f t="shared" si="1083"/>
        <v>-0.62525858024008674</v>
      </c>
      <c r="V214" s="162">
        <f t="shared" si="1084"/>
        <v>0.30250165413767105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5"/>
        <v>0.52</v>
      </c>
      <c r="Y214" s="75">
        <v>4.226</v>
      </c>
      <c r="Z214" s="917">
        <f t="shared" si="1086"/>
        <v>1313</v>
      </c>
      <c r="AA214" s="82"/>
      <c r="AB214" s="75"/>
      <c r="AC214" s="75"/>
      <c r="AD214" s="166"/>
      <c r="AE214" s="75">
        <v>3.1059999999999999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3.1061099999999997</v>
      </c>
      <c r="AK214" s="82" t="str">
        <v>Base</v>
      </c>
      <c r="AL214" s="162">
        <v>-21</v>
      </c>
      <c r="AM214" s="162">
        <v>-1.5012045276328554</v>
      </c>
      <c r="AN214" s="162">
        <v>-0.2088044952107603</v>
      </c>
      <c r="AO214" s="162">
        <v>-0.99999985561785909</v>
      </c>
      <c r="AP214" s="162">
        <v>-15.99999768988615</v>
      </c>
      <c r="AQ214" s="162">
        <v>0</v>
      </c>
      <c r="AR214" s="710" t="str">
        <v>1613.par</v>
      </c>
      <c r="AV214" s="82" t="str">
        <v>0,204,0</v>
      </c>
      <c r="AW214" s="951">
        <v>0</v>
      </c>
      <c r="AX214" s="951">
        <v>-0.99999985561785909</v>
      </c>
      <c r="AY214" s="951">
        <v>0</v>
      </c>
    </row>
    <row r="215" spans="2:51" x14ac:dyDescent="0.25">
      <c r="B215" s="650">
        <v>-0.80580314477058923</v>
      </c>
      <c r="C215" s="651">
        <v>-4.6217947063708351</v>
      </c>
      <c r="D215" s="652">
        <v>-3.2161096997868555</v>
      </c>
      <c r="E215" s="653">
        <v>0.76760366407699554</v>
      </c>
      <c r="F215" s="651">
        <v>-0.63944161204972905</v>
      </c>
      <c r="G215" s="654">
        <v>4.3577972357774906E-2</v>
      </c>
      <c r="H215" s="653">
        <v>0.314</v>
      </c>
      <c r="I215" s="920">
        <v>0.52</v>
      </c>
      <c r="J215" s="924">
        <v>4.1440000000000001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1" t="s">
        <v>420</v>
      </c>
      <c r="M215" s="946"/>
      <c r="N215" s="943"/>
      <c r="O215" s="944"/>
      <c r="Q215" s="162">
        <f t="shared" si="1079"/>
        <v>-1.9864174135261352</v>
      </c>
      <c r="R215" s="162">
        <f t="shared" si="1080"/>
        <v>-3.9725072655754246</v>
      </c>
      <c r="S215" s="162">
        <f t="shared" si="1081"/>
        <v>-1.6971934254673446</v>
      </c>
      <c r="T215" s="162">
        <f t="shared" si="1082"/>
        <v>-0.40563627016575521</v>
      </c>
      <c r="U215" s="162">
        <f t="shared" si="1083"/>
        <v>-0.81120565065625216</v>
      </c>
      <c r="V215" s="162">
        <f t="shared" si="1084"/>
        <v>0.42119426476316246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5"/>
        <v>0.41499999999999992</v>
      </c>
      <c r="Y215" s="75">
        <v>4.2320000000000002</v>
      </c>
      <c r="Z215" s="917" t="str">
        <f t="shared" si="1086"/>
        <v>CPS-32193r1</v>
      </c>
      <c r="AA215" s="82"/>
      <c r="AB215" s="75"/>
      <c r="AC215" s="75"/>
      <c r="AD215" s="166"/>
      <c r="AE215" s="75">
        <v>3.1030000000000002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3.10311</v>
      </c>
      <c r="AK215" s="82" t="str">
        <v>Base</v>
      </c>
      <c r="AL215" s="162">
        <v>-21</v>
      </c>
      <c r="AM215" s="162">
        <v>-0.80570242999852892</v>
      </c>
      <c r="AN215" s="162">
        <v>-0.39510505709325505</v>
      </c>
      <c r="AO215" s="162">
        <v>-3.9999994224715669</v>
      </c>
      <c r="AP215" s="162">
        <v>-16.999997545504019</v>
      </c>
      <c r="AQ215" s="162">
        <v>0</v>
      </c>
      <c r="AR215" s="710" t="str">
        <v>1613.par</v>
      </c>
      <c r="AV215" s="82" t="str">
        <v>0,204,0</v>
      </c>
      <c r="AW215" s="951">
        <v>0</v>
      </c>
      <c r="AX215" s="951">
        <v>-3.9999994224715669</v>
      </c>
      <c r="AY215" s="951">
        <v>0</v>
      </c>
    </row>
    <row r="216" spans="2:51" x14ac:dyDescent="0.25">
      <c r="B216" s="650">
        <v>-1.3116575684967327</v>
      </c>
      <c r="C216" s="651">
        <v>-3.2714744799997422</v>
      </c>
      <c r="D216" s="652">
        <v>-0.51318490355343716</v>
      </c>
      <c r="E216" s="653">
        <v>0.77396673816292227</v>
      </c>
      <c r="F216" s="651">
        <v>-0.53872759995394481</v>
      </c>
      <c r="G216" s="654">
        <v>0.33278831299387485</v>
      </c>
      <c r="H216" s="653">
        <v>0.26600000000000001</v>
      </c>
      <c r="I216" s="920">
        <v>0.52</v>
      </c>
      <c r="J216" s="924">
        <v>4.22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941" t="s">
        <v>421</v>
      </c>
      <c r="M216" s="946"/>
      <c r="N216" s="943"/>
      <c r="O216" s="944"/>
      <c r="Q216" s="162">
        <f t="shared" si="1079"/>
        <v>-2.1515151953943721</v>
      </c>
      <c r="R216" s="162">
        <f t="shared" si="1080"/>
        <v>-4.093426588687862</v>
      </c>
      <c r="S216" s="162">
        <f t="shared" si="1081"/>
        <v>-2.4253391425536517</v>
      </c>
      <c r="T216" s="162">
        <f t="shared" si="1082"/>
        <v>-0.46063325221811702</v>
      </c>
      <c r="U216" s="162">
        <f t="shared" si="1083"/>
        <v>-0.87639092965726362</v>
      </c>
      <c r="V216" s="162">
        <f t="shared" si="1084"/>
        <v>0.1405558442948498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5"/>
        <v>0.41499999999999992</v>
      </c>
      <c r="Y216" s="75">
        <v>4.2380000000000004</v>
      </c>
      <c r="Z216" s="917" t="str">
        <f t="shared" si="1086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-4.6915141496066752</v>
      </c>
      <c r="AN216" s="162">
        <v>-3.442936357620153</v>
      </c>
      <c r="AO216" s="162">
        <v>84.999987727520178</v>
      </c>
      <c r="AP216" s="162">
        <v>0</v>
      </c>
      <c r="AQ216" s="162">
        <v>0</v>
      </c>
      <c r="AR216" s="710" t="str">
        <v>1613.par</v>
      </c>
      <c r="AV216" s="82" t="str">
        <v>255,255,91</v>
      </c>
      <c r="AW216" s="951">
        <v>0</v>
      </c>
      <c r="AX216" s="951">
        <v>84.999987727520178</v>
      </c>
      <c r="AY216" s="951">
        <v>0</v>
      </c>
    </row>
    <row r="217" spans="2:51" x14ac:dyDescent="0.25">
      <c r="B217" s="650">
        <v>-1.4442589922699487</v>
      </c>
      <c r="C217" s="651">
        <v>-3.8159226240781763</v>
      </c>
      <c r="D217" s="652">
        <v>-1.0256060665364233</v>
      </c>
      <c r="E217" s="653">
        <v>0.71940562764001514</v>
      </c>
      <c r="F217" s="651">
        <v>-0.62525858024008674</v>
      </c>
      <c r="G217" s="654">
        <v>0.30250165413767105</v>
      </c>
      <c r="H217" s="653">
        <v>0.26600000000000001</v>
      </c>
      <c r="I217" s="920">
        <v>0.52</v>
      </c>
      <c r="J217" s="924">
        <v>4.226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1" t="s">
        <v>421</v>
      </c>
      <c r="M217" s="946"/>
      <c r="N217" s="943"/>
      <c r="O217" s="944"/>
      <c r="Q217" s="162">
        <f t="shared" si="1079"/>
        <v>-2.283391845964247</v>
      </c>
      <c r="R217" s="162">
        <f t="shared" si="1080"/>
        <v>-4.0933635515282045</v>
      </c>
      <c r="S217" s="162">
        <f t="shared" si="1081"/>
        <v>-3.232543672831949</v>
      </c>
      <c r="T217" s="162">
        <f t="shared" si="1082"/>
        <v>-0.48532691560572705</v>
      </c>
      <c r="U217" s="162">
        <f t="shared" si="1083"/>
        <v>-0.87003004343179802</v>
      </c>
      <c r="V217" s="162">
        <f t="shared" si="1084"/>
        <v>8.6634337965353317E-2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5"/>
        <v>0.41499999999999992</v>
      </c>
      <c r="Y217" s="162">
        <v>4.2439999999999998</v>
      </c>
      <c r="Z217" s="917" t="str">
        <f t="shared" si="1086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-4.641753867709312</v>
      </c>
      <c r="AN217" s="162">
        <v>-2.6363067871419714</v>
      </c>
      <c r="AO217" s="162">
        <v>85.029987723188725</v>
      </c>
      <c r="AP217" s="162">
        <v>0</v>
      </c>
      <c r="AQ217" s="162">
        <v>0</v>
      </c>
      <c r="AR217" s="710" t="str">
        <v>1613.par</v>
      </c>
      <c r="AV217" s="82" t="str">
        <v>255,255,91</v>
      </c>
      <c r="AW217" s="951">
        <v>0</v>
      </c>
      <c r="AX217" s="951">
        <v>85.029987723188725</v>
      </c>
      <c r="AY217" s="951">
        <v>0</v>
      </c>
    </row>
    <row r="218" spans="2:51" x14ac:dyDescent="0.25">
      <c r="B218" s="650">
        <v>-1.9864174135261352</v>
      </c>
      <c r="C218" s="651">
        <v>-3.9725072655754246</v>
      </c>
      <c r="D218" s="652">
        <v>-1.6971934254673446</v>
      </c>
      <c r="E218" s="653">
        <v>-0.40563627016575521</v>
      </c>
      <c r="F218" s="651">
        <v>-0.81120565065625216</v>
      </c>
      <c r="G218" s="654">
        <v>0.42119426476316246</v>
      </c>
      <c r="H218" s="653">
        <v>0.25700000000000001</v>
      </c>
      <c r="I218" s="920">
        <v>0.41499999999999992</v>
      </c>
      <c r="J218" s="924">
        <v>4.2320000000000002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1" t="s">
        <v>421</v>
      </c>
      <c r="M218" s="946"/>
      <c r="N218" s="943"/>
      <c r="O218" s="944"/>
      <c r="Q218" s="162">
        <f t="shared" si="1079"/>
        <v>-0.49701356499650612</v>
      </c>
      <c r="R218" s="162">
        <f t="shared" si="1080"/>
        <v>-0.28695071515030302</v>
      </c>
      <c r="S218" s="162">
        <f t="shared" si="1081"/>
        <v>-0.51600155626069355</v>
      </c>
      <c r="T218" s="162">
        <f t="shared" si="1082"/>
        <v>0.50223087557350676</v>
      </c>
      <c r="U218" s="162">
        <f t="shared" si="1083"/>
        <v>-0.80182770696643058</v>
      </c>
      <c r="V218" s="162">
        <f t="shared" si="1084"/>
        <v>0.32378461353440635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5"/>
        <v>0.52</v>
      </c>
      <c r="Y218" s="162">
        <v>5.1020000000000003</v>
      </c>
      <c r="Z218" s="917">
        <f t="shared" si="1086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-4.5241783215267359</v>
      </c>
      <c r="AN218" s="162">
        <v>-1.8959087835635757</v>
      </c>
      <c r="AO218" s="162">
        <v>70.659989797959724</v>
      </c>
      <c r="AP218" s="162">
        <v>0</v>
      </c>
      <c r="AQ218" s="162">
        <v>0</v>
      </c>
      <c r="AR218" s="710" t="str">
        <v>1313.par</v>
      </c>
      <c r="AV218" s="82" t="str">
        <v>255,255,91</v>
      </c>
      <c r="AW218" s="951">
        <v>0</v>
      </c>
      <c r="AX218" s="951">
        <v>70.659989797959724</v>
      </c>
      <c r="AY218" s="951">
        <v>0</v>
      </c>
    </row>
    <row r="219" spans="2:51" x14ac:dyDescent="0.25">
      <c r="B219" s="650">
        <v>-2.1515151953943721</v>
      </c>
      <c r="C219" s="651">
        <v>-4.093426588687862</v>
      </c>
      <c r="D219" s="652">
        <v>-2.4253391425536517</v>
      </c>
      <c r="E219" s="653">
        <v>-0.46063325221811702</v>
      </c>
      <c r="F219" s="651">
        <v>-0.87639092965726362</v>
      </c>
      <c r="G219" s="654">
        <v>0.1405558442948498</v>
      </c>
      <c r="H219" s="653">
        <v>0.25700000000000001</v>
      </c>
      <c r="I219" s="920">
        <v>0.41499999999999992</v>
      </c>
      <c r="J219" s="924">
        <v>4.2380000000000004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1" t="s">
        <v>420</v>
      </c>
      <c r="M219" s="946"/>
      <c r="N219" s="943"/>
      <c r="O219" s="944"/>
      <c r="Q219" s="162">
        <f t="shared" si="1079"/>
        <v>-1.0993361550907212</v>
      </c>
      <c r="R219" s="162">
        <f t="shared" si="1080"/>
        <v>-0.63470158182922942</v>
      </c>
      <c r="S219" s="162">
        <f t="shared" si="1081"/>
        <v>-0.32970099437819922</v>
      </c>
      <c r="T219" s="162">
        <f t="shared" si="1082"/>
        <v>0.48896142316726582</v>
      </c>
      <c r="U219" s="162">
        <f t="shared" si="1083"/>
        <v>-0.8276674047259297</v>
      </c>
      <c r="V219" s="162">
        <f t="shared" si="1084"/>
        <v>0.27546940630219946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5"/>
        <v>0.52</v>
      </c>
      <c r="Y219" s="162">
        <v>5.1050000000000004</v>
      </c>
      <c r="Z219" s="917">
        <f t="shared" si="1086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-4.2285242135679582</v>
      </c>
      <c r="AN219" s="162">
        <v>-1.1947991677937828</v>
      </c>
      <c r="AO219" s="162">
        <v>52.499992419938899</v>
      </c>
      <c r="AP219" s="162">
        <v>-27.719995997727715</v>
      </c>
      <c r="AQ219" s="162">
        <v>0</v>
      </c>
      <c r="AR219" s="710" t="str">
        <v>1313.par</v>
      </c>
      <c r="AV219" s="82" t="str">
        <v>255,255,91</v>
      </c>
      <c r="AW219" s="951">
        <v>0</v>
      </c>
      <c r="AX219" s="951">
        <v>52.499992419938899</v>
      </c>
      <c r="AY219" s="951">
        <v>0</v>
      </c>
    </row>
    <row r="220" spans="2:51" x14ac:dyDescent="0.25">
      <c r="B220" s="650">
        <v>-2.283391845964247</v>
      </c>
      <c r="C220" s="651">
        <v>-4.0933635515282045</v>
      </c>
      <c r="D220" s="652">
        <v>-3.232543672831949</v>
      </c>
      <c r="E220" s="653">
        <v>-0.48532691560572705</v>
      </c>
      <c r="F220" s="651">
        <v>-0.87003004343179802</v>
      </c>
      <c r="G220" s="654">
        <v>8.6634337965353317E-2</v>
      </c>
      <c r="H220" s="653">
        <v>0.25700000000000001</v>
      </c>
      <c r="I220" s="920">
        <v>0.41499999999999992</v>
      </c>
      <c r="J220" s="924">
        <v>4.2439999999999998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1" t="s">
        <v>420</v>
      </c>
      <c r="M220" s="946"/>
      <c r="N220" s="943"/>
      <c r="O220" s="944"/>
      <c r="Q220" s="162">
        <f t="shared" si="1079"/>
        <v>-1.705642474752777</v>
      </c>
      <c r="R220" s="162">
        <f t="shared" si="1080"/>
        <v>-0.98475245424032409</v>
      </c>
      <c r="S220" s="162">
        <f t="shared" si="1081"/>
        <v>-0.16390049432389092</v>
      </c>
      <c r="T220" s="162">
        <f t="shared" si="1082"/>
        <v>0.47021826467810257</v>
      </c>
      <c r="U220" s="162">
        <f t="shared" si="1083"/>
        <v>-0.83848876476804168</v>
      </c>
      <c r="V220" s="162">
        <f t="shared" si="1084"/>
        <v>0.27537497148593132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5"/>
        <v>0.52</v>
      </c>
      <c r="Y220" s="162">
        <v>5.1079999999999997</v>
      </c>
      <c r="Z220" s="917">
        <f t="shared" si="1086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-3.7269202858847215</v>
      </c>
      <c r="AN220" s="162">
        <v>-0.62893718650824681</v>
      </c>
      <c r="AO220" s="162">
        <v>37.49999458567072</v>
      </c>
      <c r="AP220" s="162">
        <v>-24.359996482851667</v>
      </c>
      <c r="AQ220" s="162">
        <v>0</v>
      </c>
      <c r="AR220" s="710" t="str">
        <v>1313.par</v>
      </c>
      <c r="AV220" s="82" t="str">
        <v>255,255,91</v>
      </c>
      <c r="AW220" s="951">
        <v>0</v>
      </c>
      <c r="AX220" s="951">
        <v>37.49999458567072</v>
      </c>
      <c r="AY220" s="951">
        <v>0</v>
      </c>
    </row>
    <row r="221" spans="2:51" x14ac:dyDescent="0.25">
      <c r="B221" s="650">
        <v>-1.3892686858468193</v>
      </c>
      <c r="C221" s="651">
        <v>-4.5440864432332075</v>
      </c>
      <c r="D221" s="652">
        <v>-8.1463245693148991</v>
      </c>
      <c r="E221" s="653">
        <v>0.54749389350976385</v>
      </c>
      <c r="F221" s="651">
        <v>-0.82933207884101467</v>
      </c>
      <c r="G221" s="654">
        <v>-0.11161872412261614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1" t="s">
        <v>420</v>
      </c>
      <c r="M221" s="946"/>
      <c r="N221" s="943"/>
      <c r="O221" s="944" t="s">
        <v>9</v>
      </c>
      <c r="Q221" s="162">
        <f t="shared" si="1079"/>
        <v>-2.3492404885038742</v>
      </c>
      <c r="R221" s="162">
        <f t="shared" si="1080"/>
        <v>-1.3421567133724324</v>
      </c>
      <c r="S221" s="162">
        <f t="shared" si="1081"/>
        <v>-0.19420058570896676</v>
      </c>
      <c r="T221" s="162">
        <f t="shared" si="1082"/>
        <v>0.41490435954480293</v>
      </c>
      <c r="U221" s="162">
        <f t="shared" si="1083"/>
        <v>-0.87003900070516704</v>
      </c>
      <c r="V221" s="162">
        <f t="shared" si="1084"/>
        <v>0.26624520593368706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5"/>
        <v>0.52</v>
      </c>
      <c r="Y221" s="162">
        <v>5.1130000000000004</v>
      </c>
      <c r="Z221" s="917">
        <f t="shared" si="1086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-3.077647924327358</v>
      </c>
      <c r="AN221" s="162">
        <v>-0.24197693615723356</v>
      </c>
      <c r="AO221" s="162">
        <v>22.499996751402406</v>
      </c>
      <c r="AP221" s="162">
        <v>-20.999996967975573</v>
      </c>
      <c r="AQ221" s="162">
        <v>0</v>
      </c>
      <c r="AR221" s="710" t="str">
        <v>1313.par</v>
      </c>
      <c r="AV221" s="82" t="str">
        <v>255,255,91</v>
      </c>
      <c r="AW221" s="951">
        <v>0</v>
      </c>
      <c r="AX221" s="951">
        <v>22.499996751402406</v>
      </c>
      <c r="AY221" s="951">
        <v>0</v>
      </c>
    </row>
    <row r="222" spans="2:51" x14ac:dyDescent="0.25">
      <c r="B222" s="650">
        <v>-0.49701356499650612</v>
      </c>
      <c r="C222" s="651">
        <v>-0.28695071515030302</v>
      </c>
      <c r="D222" s="652">
        <v>-0.51600155626069355</v>
      </c>
      <c r="E222" s="653">
        <v>0.50223087557350676</v>
      </c>
      <c r="F222" s="651">
        <v>-0.80182770696643058</v>
      </c>
      <c r="G222" s="654">
        <v>0.32378461353440635</v>
      </c>
      <c r="H222" s="653">
        <v>0.314</v>
      </c>
      <c r="I222" s="920">
        <v>0.52</v>
      </c>
      <c r="J222" s="924">
        <v>5.1020000000000003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1" t="s">
        <v>420</v>
      </c>
      <c r="M222" s="946"/>
      <c r="N222" s="943"/>
      <c r="O222" s="944"/>
      <c r="Q222" s="162">
        <f t="shared" si="1079"/>
        <v>-2.9732283464816804</v>
      </c>
      <c r="R222" s="162">
        <f t="shared" si="1080"/>
        <v>-1.6494432224284403</v>
      </c>
      <c r="S222" s="162">
        <f t="shared" si="1081"/>
        <v>-0.46830141239705997</v>
      </c>
      <c r="T222" s="162">
        <f t="shared" si="1082"/>
        <v>0.32941598091156477</v>
      </c>
      <c r="U222" s="162">
        <f t="shared" si="1083"/>
        <v>-0.90681289645129448</v>
      </c>
      <c r="V222" s="162">
        <f t="shared" si="1084"/>
        <v>0.26301232356999088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5"/>
        <v>0.52</v>
      </c>
      <c r="Y222" s="162">
        <v>5.1189999999999998</v>
      </c>
      <c r="Z222" s="917">
        <f t="shared" si="1086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-4.6915141496066752</v>
      </c>
      <c r="AN222" s="162">
        <v>-3.4356058044977109</v>
      </c>
      <c r="AO222" s="162">
        <v>84.999987727520178</v>
      </c>
      <c r="AP222" s="162">
        <v>-29.999995668536549</v>
      </c>
      <c r="AQ222" s="162">
        <v>0</v>
      </c>
      <c r="AR222" s="710" t="str">
        <v>1613.par</v>
      </c>
      <c r="AV222" s="82" t="str">
        <v>204,204,0</v>
      </c>
      <c r="AW222" s="951">
        <v>0</v>
      </c>
      <c r="AX222" s="951">
        <v>84.999987727520178</v>
      </c>
      <c r="AY222" s="951">
        <v>0</v>
      </c>
    </row>
    <row r="223" spans="2:51" x14ac:dyDescent="0.25">
      <c r="B223" s="650">
        <v>-1.0993361550907212</v>
      </c>
      <c r="C223" s="651">
        <v>-0.63470158182922942</v>
      </c>
      <c r="D223" s="652">
        <v>-0.32970099437819922</v>
      </c>
      <c r="E223" s="653">
        <v>0.48896142316726582</v>
      </c>
      <c r="F223" s="651">
        <v>-0.8276674047259297</v>
      </c>
      <c r="G223" s="654">
        <v>0.27546940630219946</v>
      </c>
      <c r="H223" s="653">
        <v>0.314</v>
      </c>
      <c r="I223" s="920">
        <v>0.52</v>
      </c>
      <c r="J223" s="924">
        <v>5.1050000000000004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1" t="s">
        <v>420</v>
      </c>
      <c r="M223" s="946"/>
      <c r="N223" s="943"/>
      <c r="O223" s="944"/>
      <c r="Q223" s="162">
        <f t="shared" si="1079"/>
        <v>-3.5005586631320331</v>
      </c>
      <c r="R223" s="162">
        <f t="shared" si="1080"/>
        <v>-1.8801293928488287</v>
      </c>
      <c r="S223" s="162">
        <f t="shared" si="1081"/>
        <v>-0.94730285706541695</v>
      </c>
      <c r="T223" s="162">
        <f t="shared" si="1082"/>
        <v>0.21797125216984831</v>
      </c>
      <c r="U223" s="162">
        <f t="shared" si="1083"/>
        <v>-0.94235926857987384</v>
      </c>
      <c r="V223" s="162">
        <f t="shared" si="1084"/>
        <v>0.25386520468373269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5"/>
        <v>0.52</v>
      </c>
      <c r="Y223" s="162">
        <v>5.125</v>
      </c>
      <c r="Z223" s="917">
        <f t="shared" si="1086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-4.6444140075526468</v>
      </c>
      <c r="AN223" s="162">
        <v>-2.6291404091180648</v>
      </c>
      <c r="AO223" s="162">
        <v>82.499988088475476</v>
      </c>
      <c r="AP223" s="162">
        <v>-29.439995749390469</v>
      </c>
      <c r="AQ223" s="162">
        <v>0</v>
      </c>
      <c r="AR223" s="710" t="str">
        <v>1613.par</v>
      </c>
      <c r="AV223" s="82" t="str">
        <v>204,204,0</v>
      </c>
      <c r="AW223" s="951">
        <v>0</v>
      </c>
      <c r="AX223" s="951">
        <v>82.499988088475476</v>
      </c>
      <c r="AY223" s="951">
        <v>0</v>
      </c>
    </row>
    <row r="224" spans="2:51" x14ac:dyDescent="0.25">
      <c r="B224" s="650">
        <v>-1.705642474752777</v>
      </c>
      <c r="C224" s="651">
        <v>-0.98475245424032409</v>
      </c>
      <c r="D224" s="652">
        <v>-0.16390049432389092</v>
      </c>
      <c r="E224" s="653">
        <v>0.47021826467810257</v>
      </c>
      <c r="F224" s="651">
        <v>-0.83848876476804168</v>
      </c>
      <c r="G224" s="654">
        <v>0.27537497148593132</v>
      </c>
      <c r="H224" s="653">
        <v>0.314</v>
      </c>
      <c r="I224" s="920">
        <v>0.52</v>
      </c>
      <c r="J224" s="924">
        <v>5.1079999999999997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1" t="s">
        <v>420</v>
      </c>
      <c r="M224" s="946"/>
      <c r="N224" s="943"/>
      <c r="O224" s="944"/>
      <c r="Q224" s="162">
        <f t="shared" si="1079"/>
        <v>-3.8832678453896912</v>
      </c>
      <c r="R224" s="162">
        <f t="shared" si="1080"/>
        <v>-2.0309849761512333</v>
      </c>
      <c r="S224" s="162">
        <f t="shared" si="1081"/>
        <v>-1.5731047444839095</v>
      </c>
      <c r="T224" s="162">
        <f t="shared" si="1082"/>
        <v>0.10503846250308266</v>
      </c>
      <c r="U224" s="162">
        <f t="shared" si="1083"/>
        <v>-0.97278111265077083</v>
      </c>
      <c r="V224" s="162">
        <f t="shared" si="1084"/>
        <v>0.20655224100676536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5"/>
        <v>0.52</v>
      </c>
      <c r="Y224" s="162">
        <v>5.1310000000000002</v>
      </c>
      <c r="Z224" s="917">
        <f t="shared" si="1086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-4.5178136257258963</v>
      </c>
      <c r="AN224" s="162">
        <v>-1.8921354082259441</v>
      </c>
      <c r="AO224" s="162">
        <v>67.499990254207177</v>
      </c>
      <c r="AP224" s="162">
        <v>-26.079996234514347</v>
      </c>
      <c r="AQ224" s="162">
        <v>0</v>
      </c>
      <c r="AR224" s="710" t="str">
        <v>1613.par</v>
      </c>
      <c r="AV224" s="82" t="str">
        <v>204,204,0</v>
      </c>
      <c r="AW224" s="951">
        <v>0</v>
      </c>
      <c r="AX224" s="951">
        <v>67.499990254207177</v>
      </c>
      <c r="AY224" s="951">
        <v>0</v>
      </c>
    </row>
    <row r="225" spans="2:51" x14ac:dyDescent="0.25">
      <c r="B225" s="650">
        <v>-2.3492404885038742</v>
      </c>
      <c r="C225" s="651">
        <v>-1.3421567133724324</v>
      </c>
      <c r="D225" s="652">
        <v>-0.19420058570896676</v>
      </c>
      <c r="E225" s="653">
        <v>0.41490435954480293</v>
      </c>
      <c r="F225" s="651">
        <v>-0.87003900070516704</v>
      </c>
      <c r="G225" s="654">
        <v>0.26624520593368706</v>
      </c>
      <c r="H225" s="653">
        <v>0.314</v>
      </c>
      <c r="I225" s="920">
        <v>0.52</v>
      </c>
      <c r="J225" s="924">
        <v>5.1130000000000004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1" t="s">
        <v>420</v>
      </c>
      <c r="M225" s="946"/>
      <c r="N225" s="943"/>
      <c r="O225" s="944"/>
      <c r="Q225" s="162">
        <f t="shared" si="1079"/>
        <v>-4.0939244153469598</v>
      </c>
      <c r="R225" s="162">
        <f t="shared" si="1080"/>
        <v>-2.1094122354273241</v>
      </c>
      <c r="S225" s="162">
        <f t="shared" si="1081"/>
        <v>-2.2869068973112023</v>
      </c>
      <c r="T225" s="162">
        <f t="shared" si="1082"/>
        <v>5.3813090170591084E-3</v>
      </c>
      <c r="U225" s="162">
        <f t="shared" si="1083"/>
        <v>-0.99269267707850339</v>
      </c>
      <c r="V225" s="162">
        <f t="shared" si="1084"/>
        <v>0.12054994976347903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5"/>
        <v>0.52</v>
      </c>
      <c r="Y225" s="162">
        <v>5.1369999999999996</v>
      </c>
      <c r="Z225" s="917">
        <f t="shared" si="1086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-4.2002126678414058</v>
      </c>
      <c r="AN225" s="162">
        <v>-1.2154648481374468</v>
      </c>
      <c r="AO225" s="162">
        <v>52.499992419938948</v>
      </c>
      <c r="AP225" s="162">
        <v>-22.719996719638328</v>
      </c>
      <c r="AQ225" s="162">
        <v>0</v>
      </c>
      <c r="AR225" s="710" t="str">
        <v>1613.par</v>
      </c>
      <c r="AV225" s="82" t="str">
        <v>204,204,0</v>
      </c>
      <c r="AW225" s="951">
        <v>0</v>
      </c>
      <c r="AX225" s="951">
        <v>52.499992419938948</v>
      </c>
      <c r="AY225" s="951">
        <v>0</v>
      </c>
    </row>
    <row r="226" spans="2:51" x14ac:dyDescent="0.25">
      <c r="B226" s="650">
        <v>-2.9732283464816804</v>
      </c>
      <c r="C226" s="651">
        <v>-1.6494432224284403</v>
      </c>
      <c r="D226" s="652">
        <v>-0.46830141239705997</v>
      </c>
      <c r="E226" s="653">
        <v>0.32941598091156477</v>
      </c>
      <c r="F226" s="651">
        <v>-0.90681289645129448</v>
      </c>
      <c r="G226" s="654">
        <v>0.26301232356999088</v>
      </c>
      <c r="H226" s="653">
        <v>0.314</v>
      </c>
      <c r="I226" s="920">
        <v>0.52</v>
      </c>
      <c r="J226" s="924">
        <v>5.1189999999999998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1" t="s">
        <v>420</v>
      </c>
      <c r="M226" s="946"/>
      <c r="N226" s="943"/>
      <c r="O226" s="944"/>
      <c r="Q226" s="162">
        <f t="shared" si="1079"/>
        <v>-4.176073525347916</v>
      </c>
      <c r="R226" s="162">
        <f t="shared" si="1080"/>
        <v>-2.1379230404408549</v>
      </c>
      <c r="S226" s="162">
        <f t="shared" si="1081"/>
        <v>-3.091109322785718</v>
      </c>
      <c r="T226" s="162">
        <f t="shared" si="1082"/>
        <v>-4.8725227845372636E-2</v>
      </c>
      <c r="U226" s="162">
        <f t="shared" si="1083"/>
        <v>-0.9978611188419968</v>
      </c>
      <c r="V226" s="162">
        <f t="shared" si="1084"/>
        <v>4.3577972357774865E-2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5"/>
        <v>0.52</v>
      </c>
      <c r="Y226" s="162">
        <v>5.1429999999999998</v>
      </c>
      <c r="Z226" s="917">
        <f t="shared" si="1086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-3.7053111752185037</v>
      </c>
      <c r="AN226" s="162">
        <v>-0.65589649275916007</v>
      </c>
      <c r="AO226" s="162">
        <v>37.499994585670692</v>
      </c>
      <c r="AP226" s="162">
        <v>-19.35999720476222</v>
      </c>
      <c r="AQ226" s="162">
        <v>0</v>
      </c>
      <c r="AR226" s="710" t="str">
        <v>1613.par</v>
      </c>
      <c r="AV226" s="82" t="str">
        <v>204,204,0</v>
      </c>
      <c r="AW226" s="951">
        <v>0</v>
      </c>
      <c r="AX226" s="951">
        <v>37.499994585670692</v>
      </c>
      <c r="AY226" s="951">
        <v>0</v>
      </c>
    </row>
    <row r="227" spans="2:51" x14ac:dyDescent="0.25">
      <c r="B227" s="650">
        <v>-3.5005586631320331</v>
      </c>
      <c r="C227" s="651">
        <v>-1.8801293928488287</v>
      </c>
      <c r="D227" s="652">
        <v>-0.94730285706541695</v>
      </c>
      <c r="E227" s="653">
        <v>0.21797125216984831</v>
      </c>
      <c r="F227" s="651">
        <v>-0.94235926857987384</v>
      </c>
      <c r="G227" s="654">
        <v>0.25386520468373269</v>
      </c>
      <c r="H227" s="653">
        <v>0.314</v>
      </c>
      <c r="I227" s="920">
        <v>0.52</v>
      </c>
      <c r="J227" s="924">
        <v>5.125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1" t="s">
        <v>420</v>
      </c>
      <c r="M227" s="946"/>
      <c r="N227" s="943"/>
      <c r="O227" s="944"/>
      <c r="Q227" s="162">
        <f t="shared" si="1079"/>
        <v>-2.657138391079406</v>
      </c>
      <c r="R227" s="162">
        <f t="shared" si="1080"/>
        <v>-0.55605388184573057</v>
      </c>
      <c r="S227" s="162">
        <f t="shared" si="1081"/>
        <v>-0.17023599141708146</v>
      </c>
      <c r="T227" s="162">
        <f t="shared" si="1082"/>
        <v>0.10044030411342475</v>
      </c>
      <c r="U227" s="162">
        <f t="shared" si="1083"/>
        <v>-0.93278465131658861</v>
      </c>
      <c r="V227" s="162">
        <f t="shared" si="1084"/>
        <v>0.34615681356546069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5"/>
        <v>0.39400000000000002</v>
      </c>
      <c r="Y227" s="162">
        <v>5.2130000000000001</v>
      </c>
      <c r="Z227" s="917">
        <f t="shared" si="1086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-3.0642092416550737</v>
      </c>
      <c r="AN227" s="162">
        <v>-0.27296107741080788</v>
      </c>
      <c r="AO227" s="162">
        <v>22.499996751402488</v>
      </c>
      <c r="AP227" s="162">
        <v>-15.99999768988615</v>
      </c>
      <c r="AQ227" s="162">
        <v>0</v>
      </c>
      <c r="AR227" s="710" t="str">
        <v>1613.par</v>
      </c>
      <c r="AV227" s="82" t="str">
        <v>204,204,0</v>
      </c>
      <c r="AW227" s="951">
        <v>0</v>
      </c>
      <c r="AX227" s="951">
        <v>22.499996751402488</v>
      </c>
      <c r="AY227" s="951">
        <v>0</v>
      </c>
    </row>
    <row r="228" spans="2:51" x14ac:dyDescent="0.25">
      <c r="B228" s="650">
        <v>-3.8832678453896912</v>
      </c>
      <c r="C228" s="651">
        <v>-2.0309849761512333</v>
      </c>
      <c r="D228" s="652">
        <v>-1.5731047444839095</v>
      </c>
      <c r="E228" s="653">
        <v>0.10503846250308266</v>
      </c>
      <c r="F228" s="651">
        <v>-0.97278111265077083</v>
      </c>
      <c r="G228" s="654">
        <v>0.20655224100676536</v>
      </c>
      <c r="H228" s="653">
        <v>0.314</v>
      </c>
      <c r="I228" s="920">
        <v>0.52</v>
      </c>
      <c r="J228" s="924">
        <v>5.1310000000000002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1" t="s">
        <v>420</v>
      </c>
      <c r="M228" s="946"/>
      <c r="N228" s="943"/>
      <c r="O228" s="944"/>
      <c r="Q228" s="162">
        <f t="shared" ref="Q228:Q259" si="1087">IFERROR(INDEX(B$164:B$305,MATCH($Y228,$J$164:$J$305,0)),"")</f>
        <v>-3.3036640188917556</v>
      </c>
      <c r="R228" s="162">
        <f t="shared" ref="R228:R259" si="1088">IFERROR(INDEX(C$164:C$305,MATCH($Y228,$J$164:$J$305,0)),"")</f>
        <v>-0.87578199693243075</v>
      </c>
      <c r="S228" s="162">
        <f t="shared" ref="S228:S259" si="1089">IFERROR(INDEX(D$164:D$305,MATCH($Y228,$J$164:$J$305,0)),"")</f>
        <v>-0.44557788628408723</v>
      </c>
      <c r="T228" s="162">
        <f t="shared" ref="T228:T259" si="1090">IFERROR(IF($N228="Y",-1*INDEX(E$164:E$305,MATCH($Y228,$J$164:$J$305,0)),INDEX(E$164:E$305,MATCH($Y228,$J$164:$J$305,0))),"")</f>
        <v>5.0073616196448498E-2</v>
      </c>
      <c r="U228" s="162">
        <f t="shared" ref="U228:U259" si="1091">IFERROR(IF($N228="Y",-1*INDEX(F$164:F$305,MATCH($Y228,$J$164:$J$305,0)),INDEX(F$164:F$305,MATCH($Y228,$J$164:$J$305,0))),"")</f>
        <v>-0.94126850175773602</v>
      </c>
      <c r="V228" s="162">
        <f t="shared" ref="V228:V259" si="1092">IFERROR(IF($N228="Y",-1*INDEX(G$164:G$305,MATCH($Y228,$J$164:$J$305,0)),INDEX(G$164:G$305,MATCH($Y228,$J$164:$J$305,0))),"")</f>
        <v>0.33392550151157618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ref="X228:X259" si="1093">IFERROR(INDEX(I$164:I$305,MATCH($Y228,$J$164:$J$305,0)),"")</f>
        <v>0.52</v>
      </c>
      <c r="Y228" s="162">
        <v>5.2190000000000003</v>
      </c>
      <c r="Z228" s="917">
        <f t="shared" ref="Z228:Z259" si="1094">IFERROR(INDEX(K$164:K$305,MATCH($Y228,$J$164:$J$305,0)),"")</f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-2.3338070387620293</v>
      </c>
      <c r="AN228" s="162">
        <v>-0.11871524103026772</v>
      </c>
      <c r="AO228" s="162">
        <v>7.4999989171341195</v>
      </c>
      <c r="AP228" s="162">
        <v>-15.999997689886175</v>
      </c>
      <c r="AQ228" s="162">
        <v>0</v>
      </c>
      <c r="AR228" s="710" t="str">
        <v>1613.par</v>
      </c>
      <c r="AV228" s="82" t="str">
        <v>204,204,0</v>
      </c>
      <c r="AW228" s="951">
        <v>0</v>
      </c>
      <c r="AX228" s="951">
        <v>7.4999989171341195</v>
      </c>
      <c r="AY228" s="951">
        <v>0</v>
      </c>
    </row>
    <row r="229" spans="2:51" x14ac:dyDescent="0.25">
      <c r="B229" s="650">
        <v>-4.0939244153469598</v>
      </c>
      <c r="C229" s="651">
        <v>-2.1094122354273241</v>
      </c>
      <c r="D229" s="652">
        <v>-2.2869068973112023</v>
      </c>
      <c r="E229" s="653">
        <v>5.3813090170591084E-3</v>
      </c>
      <c r="F229" s="651">
        <v>-0.99269267707850339</v>
      </c>
      <c r="G229" s="654">
        <v>0.12054994976347903</v>
      </c>
      <c r="H229" s="653">
        <v>0.314</v>
      </c>
      <c r="I229" s="920">
        <v>0.52</v>
      </c>
      <c r="J229" s="924">
        <v>5.1369999999999996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1" t="s">
        <v>420</v>
      </c>
      <c r="M229" s="946"/>
      <c r="N229" s="943"/>
      <c r="O229" s="944"/>
      <c r="Q229" s="162">
        <f t="shared" si="1087"/>
        <v>-3.8409687693782457</v>
      </c>
      <c r="R229" s="162">
        <f t="shared" si="1088"/>
        <v>-1.1119923524010111</v>
      </c>
      <c r="S229" s="162">
        <f t="shared" si="1089"/>
        <v>-0.92883784497209154</v>
      </c>
      <c r="T229" s="162">
        <f t="shared" si="1090"/>
        <v>-4.8315040393426968E-2</v>
      </c>
      <c r="U229" s="162">
        <f t="shared" si="1091"/>
        <v>-0.94937127202397764</v>
      </c>
      <c r="V229" s="162">
        <f t="shared" si="1092"/>
        <v>0.31041882147730065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93"/>
        <v>0.52</v>
      </c>
      <c r="Y229" s="162">
        <v>5.2249999999999996</v>
      </c>
      <c r="Z229" s="917">
        <f t="shared" si="1094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-4.6871636932366254</v>
      </c>
      <c r="AN229" s="162">
        <v>-2.8469936980065325</v>
      </c>
      <c r="AO229" s="162">
        <v>85.029987723188711</v>
      </c>
      <c r="AP229" s="162">
        <v>0</v>
      </c>
      <c r="AQ229" s="162">
        <v>0</v>
      </c>
      <c r="AR229" s="710" t="str">
        <v>1613.par</v>
      </c>
      <c r="AV229" s="82" t="str">
        <v>255,188,121</v>
      </c>
      <c r="AW229" s="951">
        <v>0</v>
      </c>
      <c r="AX229" s="951">
        <v>85.029987723188711</v>
      </c>
      <c r="AY229" s="951">
        <v>0</v>
      </c>
    </row>
    <row r="230" spans="2:51" x14ac:dyDescent="0.25">
      <c r="B230" s="650">
        <v>-4.176073525347916</v>
      </c>
      <c r="C230" s="651">
        <v>-2.1379230404408549</v>
      </c>
      <c r="D230" s="652">
        <v>-3.091109322785718</v>
      </c>
      <c r="E230" s="653">
        <v>-4.8725227845372636E-2</v>
      </c>
      <c r="F230" s="651">
        <v>-0.9978611188419968</v>
      </c>
      <c r="G230" s="654">
        <v>4.3577972357774865E-2</v>
      </c>
      <c r="H230" s="653">
        <v>0.314</v>
      </c>
      <c r="I230" s="920">
        <v>0.52</v>
      </c>
      <c r="J230" s="924">
        <v>5.1429999999999998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1" t="s">
        <v>420</v>
      </c>
      <c r="M230" s="946"/>
      <c r="N230" s="943"/>
      <c r="O230" s="944"/>
      <c r="Q230" s="162">
        <f t="shared" si="1087"/>
        <v>-4.3173236860523367</v>
      </c>
      <c r="R230" s="162">
        <f t="shared" si="1088"/>
        <v>-0.80712747193736722</v>
      </c>
      <c r="S230" s="162">
        <f t="shared" si="1089"/>
        <v>-1.5816254300190318</v>
      </c>
      <c r="T230" s="162">
        <f t="shared" si="1090"/>
        <v>-0.87031513907020586</v>
      </c>
      <c r="U230" s="162">
        <f t="shared" si="1091"/>
        <v>-0.16270618305871379</v>
      </c>
      <c r="V230" s="162">
        <f t="shared" si="1092"/>
        <v>0.46484218472474381</v>
      </c>
      <c r="W230" s="162">
        <f>IFERROR(IF(ISNUMBER(MATCH($Z230,Settings!$AK$28:$AK$36,0)),INDEX(Settings!$AO$14:$AO$36,MATCH($Z230,Settings!$AK$14:$AK$36,0))/2,INDEX(Settings!$AM$14:$AM$36,MATCH($Z230,Settings!$AK$14:$AK$36,0))/2),"")</f>
        <v>0.255</v>
      </c>
      <c r="X230" s="162">
        <f t="shared" si="1093"/>
        <v>0.41499999999999992</v>
      </c>
      <c r="Y230" s="162">
        <v>5.2309999999999999</v>
      </c>
      <c r="Z230" s="917" t="str">
        <f t="shared" si="1094"/>
        <v>CPS-32193r1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-4.5574484119526826</v>
      </c>
      <c r="AN230" s="162">
        <v>-2.046101233321338</v>
      </c>
      <c r="AO230" s="162">
        <v>73.469989392245964</v>
      </c>
      <c r="AP230" s="162">
        <v>0</v>
      </c>
      <c r="AQ230" s="162">
        <v>0</v>
      </c>
      <c r="AR230" s="710" t="str">
        <v>1613.par</v>
      </c>
      <c r="AV230" s="82" t="str">
        <v>255,188,121</v>
      </c>
      <c r="AW230" s="951">
        <v>0</v>
      </c>
      <c r="AX230" s="951">
        <v>73.469989392245964</v>
      </c>
      <c r="AY230" s="951">
        <v>0</v>
      </c>
    </row>
    <row r="231" spans="2:51" x14ac:dyDescent="0.25">
      <c r="B231" s="650">
        <v>-2.657138391079406</v>
      </c>
      <c r="C231" s="651">
        <v>-0.55605388184573057</v>
      </c>
      <c r="D231" s="652">
        <v>-0.17023599141708146</v>
      </c>
      <c r="E231" s="653">
        <v>0.10044030411342475</v>
      </c>
      <c r="F231" s="651">
        <v>-0.93278465131658861</v>
      </c>
      <c r="G231" s="654">
        <v>0.34615681356546069</v>
      </c>
      <c r="H231" s="653">
        <v>0.26600000000000001</v>
      </c>
      <c r="I231" s="920">
        <v>0.39400000000000002</v>
      </c>
      <c r="J231" s="924">
        <v>5.2130000000000001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1" t="s">
        <v>421</v>
      </c>
      <c r="M231" s="946"/>
      <c r="N231" s="943"/>
      <c r="O231" s="944"/>
      <c r="Q231" s="162">
        <f t="shared" si="1087"/>
        <v>-4.544421694968011</v>
      </c>
      <c r="R231" s="162">
        <f t="shared" si="1088"/>
        <v>-0.76013514031578988</v>
      </c>
      <c r="S231" s="162">
        <f t="shared" si="1089"/>
        <v>-2.3011363814998491</v>
      </c>
      <c r="T231" s="162">
        <f t="shared" si="1090"/>
        <v>-0.96860102452917862</v>
      </c>
      <c r="U231" s="162">
        <f t="shared" si="1091"/>
        <v>-0.16201570301140084</v>
      </c>
      <c r="V231" s="162">
        <f t="shared" si="1092"/>
        <v>0.18858146053827068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93"/>
        <v>0.41499999999999992</v>
      </c>
      <c r="Y231" s="162">
        <v>5.2370000000000001</v>
      </c>
      <c r="Z231" s="917" t="str">
        <f t="shared" si="1094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-4.2776064625594827</v>
      </c>
      <c r="AN231" s="162">
        <v>-1.3490320000873943</v>
      </c>
      <c r="AO231" s="162">
        <v>56.709991812090223</v>
      </c>
      <c r="AP231" s="162">
        <v>0</v>
      </c>
      <c r="AQ231" s="162">
        <v>0</v>
      </c>
      <c r="AR231" s="710" t="str">
        <v>1313.par</v>
      </c>
      <c r="AV231" s="82" t="str">
        <v>255,188,121</v>
      </c>
      <c r="AW231" s="951">
        <v>0</v>
      </c>
      <c r="AX231" s="951">
        <v>56.709991812090223</v>
      </c>
      <c r="AY231" s="951">
        <v>0</v>
      </c>
    </row>
    <row r="232" spans="2:51" x14ac:dyDescent="0.25">
      <c r="B232" s="650">
        <v>-3.3036640188917556</v>
      </c>
      <c r="C232" s="651">
        <v>-0.87578199693243075</v>
      </c>
      <c r="D232" s="652">
        <v>-0.44557788628408723</v>
      </c>
      <c r="E232" s="653">
        <v>5.0073616196448498E-2</v>
      </c>
      <c r="F232" s="651">
        <v>-0.94126850175773602</v>
      </c>
      <c r="G232" s="654">
        <v>0.33392550151157618</v>
      </c>
      <c r="H232" s="653">
        <v>0.26600000000000001</v>
      </c>
      <c r="I232" s="920">
        <v>0.52</v>
      </c>
      <c r="J232" s="924">
        <v>5.2190000000000003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1" t="s">
        <v>421</v>
      </c>
      <c r="M232" s="946"/>
      <c r="N232" s="943"/>
      <c r="O232" s="944"/>
      <c r="Q232" s="162">
        <f t="shared" si="1087"/>
        <v>-4.640292584710533</v>
      </c>
      <c r="R232" s="162">
        <f t="shared" si="1088"/>
        <v>-0.66120209881401382</v>
      </c>
      <c r="S232" s="162">
        <f t="shared" si="1089"/>
        <v>-3.1073236680653533</v>
      </c>
      <c r="T232" s="162">
        <f t="shared" si="1090"/>
        <v>-0.98627788814524442</v>
      </c>
      <c r="U232" s="162">
        <f t="shared" si="1091"/>
        <v>-0.14053618338727439</v>
      </c>
      <c r="V232" s="162">
        <f t="shared" si="1092"/>
        <v>8.6634337965353317E-2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93"/>
        <v>0.41499999999999992</v>
      </c>
      <c r="Y232" s="162">
        <v>5.2430000000000003</v>
      </c>
      <c r="Z232" s="917" t="str">
        <f t="shared" si="1094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-3.8218571799984828</v>
      </c>
      <c r="AN232" s="162">
        <v>-0.74154885557259043</v>
      </c>
      <c r="AO232" s="162">
        <v>39.999994224715337</v>
      </c>
      <c r="AP232" s="162">
        <v>-24.919996401997658</v>
      </c>
      <c r="AQ232" s="162">
        <v>0</v>
      </c>
      <c r="AR232" s="710" t="str">
        <v>1313.par</v>
      </c>
      <c r="AV232" s="82" t="str">
        <v>255,188,121</v>
      </c>
      <c r="AW232" s="951">
        <v>0</v>
      </c>
      <c r="AX232" s="951">
        <v>39.999994224715337</v>
      </c>
      <c r="AY232" s="951">
        <v>0</v>
      </c>
    </row>
    <row r="233" spans="2:51" x14ac:dyDescent="0.25">
      <c r="B233" s="650">
        <v>-3.8409687693782457</v>
      </c>
      <c r="C233" s="651">
        <v>-1.1119923524010111</v>
      </c>
      <c r="D233" s="652">
        <v>-0.92883784497209154</v>
      </c>
      <c r="E233" s="653">
        <v>-4.8315040393426968E-2</v>
      </c>
      <c r="F233" s="651">
        <v>-0.94937127202397764</v>
      </c>
      <c r="G233" s="654">
        <v>0.31041882147730065</v>
      </c>
      <c r="H233" s="653">
        <v>0.26600000000000001</v>
      </c>
      <c r="I233" s="920">
        <v>0.52</v>
      </c>
      <c r="J233" s="924">
        <v>5.2249999999999996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1" t="s">
        <v>421</v>
      </c>
      <c r="M233" s="946"/>
      <c r="N233" s="943"/>
      <c r="O233" s="944"/>
      <c r="Q233" s="162">
        <f t="shared" si="1087"/>
        <v>-2.1617739775194926</v>
      </c>
      <c r="R233" s="162">
        <f t="shared" si="1088"/>
        <v>1.413009647055693</v>
      </c>
      <c r="S233" s="162">
        <f t="shared" si="1089"/>
        <v>-0.17170051784876192</v>
      </c>
      <c r="T233" s="162">
        <f t="shared" si="1090"/>
        <v>-0.57586791508508806</v>
      </c>
      <c r="U233" s="162">
        <f t="shared" si="1091"/>
        <v>-0.77198406028951916</v>
      </c>
      <c r="V233" s="162">
        <f t="shared" si="1092"/>
        <v>0.26910361393794424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93"/>
        <v>0.52</v>
      </c>
      <c r="Y233" s="162">
        <v>6.1120000000000001</v>
      </c>
      <c r="Z233" s="917">
        <f t="shared" si="1094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-3.1939829978236403</v>
      </c>
      <c r="AN233" s="162">
        <v>-0.3207772524004287</v>
      </c>
      <c r="AO233" s="162">
        <v>24.999996390447119</v>
      </c>
      <c r="AP233" s="162">
        <v>-21.559996887121574</v>
      </c>
      <c r="AQ233" s="162">
        <v>0</v>
      </c>
      <c r="AR233" s="710" t="str">
        <v>1313.par</v>
      </c>
      <c r="AV233" s="82" t="str">
        <v>255,188,121</v>
      </c>
      <c r="AW233" s="951">
        <v>0</v>
      </c>
      <c r="AX233" s="951">
        <v>24.999996390447119</v>
      </c>
      <c r="AY233" s="951">
        <v>0</v>
      </c>
    </row>
    <row r="234" spans="2:51" x14ac:dyDescent="0.25">
      <c r="B234" s="650">
        <v>-4.3173236860523367</v>
      </c>
      <c r="C234" s="651">
        <v>-0.80712747193736722</v>
      </c>
      <c r="D234" s="652">
        <v>-1.5816254300190318</v>
      </c>
      <c r="E234" s="653">
        <v>-0.87031513907020586</v>
      </c>
      <c r="F234" s="651">
        <v>-0.16270618305871379</v>
      </c>
      <c r="G234" s="654">
        <v>0.46484218472474381</v>
      </c>
      <c r="H234" s="653">
        <v>0.25700000000000001</v>
      </c>
      <c r="I234" s="920">
        <v>0.41499999999999992</v>
      </c>
      <c r="J234" s="924">
        <v>5.2309999999999999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41" t="s">
        <v>421</v>
      </c>
      <c r="M234" s="946"/>
      <c r="N234" s="943"/>
      <c r="O234" s="944"/>
      <c r="Q234" s="162">
        <f t="shared" si="1087"/>
        <v>-2.733345284140098</v>
      </c>
      <c r="R234" s="162">
        <f t="shared" si="1088"/>
        <v>1.8332720301617103</v>
      </c>
      <c r="S234" s="162">
        <f t="shared" si="1089"/>
        <v>-0.40700122751570206</v>
      </c>
      <c r="T234" s="162">
        <f t="shared" si="1090"/>
        <v>-0.64522624332815559</v>
      </c>
      <c r="U234" s="162">
        <f t="shared" si="1091"/>
        <v>-0.71798549798102596</v>
      </c>
      <c r="V234" s="162">
        <f t="shared" si="1092"/>
        <v>0.26111284841917282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93"/>
        <v>0.52</v>
      </c>
      <c r="Y234" s="162">
        <v>6.1180000000000003</v>
      </c>
      <c r="Z234" s="917">
        <f t="shared" si="1094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-2.4647054129953871</v>
      </c>
      <c r="AN234" s="162">
        <v>-0.12350796693454343</v>
      </c>
      <c r="AO234" s="162">
        <v>9.9999985561788076</v>
      </c>
      <c r="AP234" s="162">
        <v>-20.999996967975559</v>
      </c>
      <c r="AQ234" s="162">
        <v>0</v>
      </c>
      <c r="AR234" s="710" t="str">
        <v>1313.par</v>
      </c>
      <c r="AV234" s="82" t="str">
        <v>255,188,121</v>
      </c>
      <c r="AW234" s="951">
        <v>0</v>
      </c>
      <c r="AX234" s="951">
        <v>9.9999985561788076</v>
      </c>
      <c r="AY234" s="951">
        <v>0</v>
      </c>
    </row>
    <row r="235" spans="2:51" x14ac:dyDescent="0.25">
      <c r="B235" s="650">
        <v>-4.544421694968011</v>
      </c>
      <c r="C235" s="651">
        <v>-0.76013514031578988</v>
      </c>
      <c r="D235" s="652">
        <v>-2.3011363814998491</v>
      </c>
      <c r="E235" s="653">
        <v>-0.96860102452917862</v>
      </c>
      <c r="F235" s="651">
        <v>-0.16201570301140084</v>
      </c>
      <c r="G235" s="654">
        <v>0.18858146053827068</v>
      </c>
      <c r="H235" s="653">
        <v>0.25700000000000001</v>
      </c>
      <c r="I235" s="920">
        <v>0.41499999999999992</v>
      </c>
      <c r="J235" s="924">
        <v>5.2370000000000001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1" t="s">
        <v>420</v>
      </c>
      <c r="M235" s="946"/>
      <c r="N235" s="943"/>
      <c r="O235" s="944"/>
      <c r="Q235" s="162">
        <f t="shared" si="1087"/>
        <v>-3.1992328127409468</v>
      </c>
      <c r="R235" s="162">
        <f t="shared" si="1088"/>
        <v>2.2103015329908278</v>
      </c>
      <c r="S235" s="162">
        <f t="shared" si="1089"/>
        <v>-0.85560258049738325</v>
      </c>
      <c r="T235" s="162">
        <f t="shared" si="1090"/>
        <v>-0.72696682415140312</v>
      </c>
      <c r="U235" s="162">
        <f t="shared" si="1091"/>
        <v>-0.63637760281450162</v>
      </c>
      <c r="V235" s="162">
        <f t="shared" si="1092"/>
        <v>0.25795887893090946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93"/>
        <v>0.52</v>
      </c>
      <c r="Y235" s="162">
        <v>6.1239999999999997</v>
      </c>
      <c r="Z235" s="917">
        <f t="shared" si="1094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-4.6915141496066752</v>
      </c>
      <c r="AN235" s="162">
        <v>-2.8397706060142647</v>
      </c>
      <c r="AO235" s="162">
        <v>84.999987727520178</v>
      </c>
      <c r="AP235" s="162">
        <v>-29.999995668536574</v>
      </c>
      <c r="AQ235" s="162">
        <v>0</v>
      </c>
      <c r="AR235" s="710" t="str">
        <v>1613.par</v>
      </c>
      <c r="AV235" s="82" t="str">
        <v>255,127,0</v>
      </c>
      <c r="AW235" s="951">
        <v>0</v>
      </c>
      <c r="AX235" s="951">
        <v>84.999987727520178</v>
      </c>
      <c r="AY235" s="951">
        <v>0</v>
      </c>
    </row>
    <row r="236" spans="2:51" x14ac:dyDescent="0.25">
      <c r="B236" s="650">
        <v>-4.640292584710533</v>
      </c>
      <c r="C236" s="651">
        <v>-0.66120209881401382</v>
      </c>
      <c r="D236" s="652">
        <v>-3.1073236680653533</v>
      </c>
      <c r="E236" s="653">
        <v>-0.98627788814524442</v>
      </c>
      <c r="F236" s="651">
        <v>-0.14053618338727439</v>
      </c>
      <c r="G236" s="654">
        <v>8.6634337965353317E-2</v>
      </c>
      <c r="H236" s="653">
        <v>0.25700000000000001</v>
      </c>
      <c r="I236" s="920">
        <v>0.41499999999999992</v>
      </c>
      <c r="J236" s="924">
        <v>5.2430000000000003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1" t="s">
        <v>420</v>
      </c>
      <c r="M236" s="946"/>
      <c r="N236" s="943"/>
      <c r="O236" s="944"/>
      <c r="Q236" s="162">
        <f t="shared" si="1087"/>
        <v>-3.53119281644523</v>
      </c>
      <c r="R236" s="162">
        <f t="shared" si="1088"/>
        <v>2.5002246108388846</v>
      </c>
      <c r="S236" s="162">
        <f t="shared" si="1089"/>
        <v>-1.4612044069924921</v>
      </c>
      <c r="T236" s="162">
        <f t="shared" si="1090"/>
        <v>-0.80676282185167514</v>
      </c>
      <c r="U236" s="162">
        <f t="shared" si="1091"/>
        <v>-0.54951965478260978</v>
      </c>
      <c r="V236" s="162">
        <f t="shared" si="1092"/>
        <v>0.21716790344229908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93"/>
        <v>0.52</v>
      </c>
      <c r="Y236" s="162">
        <v>6.13</v>
      </c>
      <c r="Z236" s="917">
        <f t="shared" si="1094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-4.5524137300798104</v>
      </c>
      <c r="AN236" s="162">
        <v>-2.0414746794987102</v>
      </c>
      <c r="AO236" s="162">
        <v>69.999989893251936</v>
      </c>
      <c r="AP236" s="162">
        <v>-26.639996153660427</v>
      </c>
      <c r="AQ236" s="162">
        <v>0</v>
      </c>
      <c r="AR236" s="710" t="str">
        <v>1613.par</v>
      </c>
      <c r="AV236" s="82" t="str">
        <v>255,127,0</v>
      </c>
      <c r="AW236" s="951">
        <v>0</v>
      </c>
      <c r="AX236" s="951">
        <v>69.999989893251936</v>
      </c>
      <c r="AY236" s="951">
        <v>0</v>
      </c>
    </row>
    <row r="237" spans="2:51" x14ac:dyDescent="0.25">
      <c r="B237" s="650">
        <v>-4.4651513435736403</v>
      </c>
      <c r="C237" s="651">
        <v>-1.625180778877503</v>
      </c>
      <c r="D237" s="652">
        <v>-8.1463245693148973</v>
      </c>
      <c r="E237" s="653">
        <v>-0.33284387252915365</v>
      </c>
      <c r="F237" s="651">
        <v>-0.93635261357302568</v>
      </c>
      <c r="G237" s="654">
        <v>-0.11161872412261613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1" t="s">
        <v>420</v>
      </c>
      <c r="M237" s="946"/>
      <c r="N237" s="943"/>
      <c r="O237" s="944" t="s">
        <v>9</v>
      </c>
      <c r="Q237" s="162">
        <f t="shared" si="1087"/>
        <v>-3.7201860614474498</v>
      </c>
      <c r="R237" s="162">
        <f t="shared" si="1088"/>
        <v>2.6742103221044835</v>
      </c>
      <c r="S237" s="162">
        <f t="shared" si="1089"/>
        <v>-2.1642065272468862</v>
      </c>
      <c r="T237" s="162">
        <f t="shared" si="1090"/>
        <v>-0.87311412183032799</v>
      </c>
      <c r="U237" s="162">
        <f t="shared" si="1091"/>
        <v>-0.46773781305221446</v>
      </c>
      <c r="V237" s="162">
        <f t="shared" si="1092"/>
        <v>0.13745205892087309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93"/>
        <v>0.52</v>
      </c>
      <c r="Y237" s="162">
        <v>6.1360000000000001</v>
      </c>
      <c r="Z237" s="917">
        <f t="shared" si="1094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-4.2660128662948056</v>
      </c>
      <c r="AN237" s="162">
        <v>-1.3508809293428805</v>
      </c>
      <c r="AO237" s="162">
        <v>54.999992058983644</v>
      </c>
      <c r="AP237" s="162">
        <v>-23.279996638784318</v>
      </c>
      <c r="AQ237" s="162">
        <v>0</v>
      </c>
      <c r="AR237" s="710" t="str">
        <v>1613.par</v>
      </c>
      <c r="AV237" s="82" t="str">
        <v>255,127,0</v>
      </c>
      <c r="AW237" s="951">
        <v>0</v>
      </c>
      <c r="AX237" s="951">
        <v>54.999992058983644</v>
      </c>
      <c r="AY237" s="951">
        <v>0</v>
      </c>
    </row>
    <row r="238" spans="2:51" x14ac:dyDescent="0.25">
      <c r="B238" s="650">
        <v>-2.1617739775194926</v>
      </c>
      <c r="C238" s="651">
        <v>1.413009647055693</v>
      </c>
      <c r="D238" s="652">
        <v>-0.17170051784876192</v>
      </c>
      <c r="E238" s="653">
        <v>-0.57586791508508806</v>
      </c>
      <c r="F238" s="651">
        <v>-0.77198406028951916</v>
      </c>
      <c r="G238" s="654">
        <v>0.26910361393794424</v>
      </c>
      <c r="H238" s="653">
        <v>0.314</v>
      </c>
      <c r="I238" s="920">
        <v>0.52</v>
      </c>
      <c r="J238" s="924">
        <v>6.1120000000000001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1" t="s">
        <v>420</v>
      </c>
      <c r="M238" s="946"/>
      <c r="N238" s="943"/>
      <c r="O238" s="944"/>
      <c r="Q238" s="162">
        <f t="shared" si="1087"/>
        <v>-3.8008015205968859</v>
      </c>
      <c r="R238" s="162">
        <f t="shared" si="1088"/>
        <v>2.7503114036392367</v>
      </c>
      <c r="S238" s="162">
        <f t="shared" si="1089"/>
        <v>-2.9661089457845793</v>
      </c>
      <c r="T238" s="162">
        <f t="shared" si="1090"/>
        <v>-0.91122149263413377</v>
      </c>
      <c r="U238" s="162">
        <f t="shared" si="1091"/>
        <v>-0.40960511677322387</v>
      </c>
      <c r="V238" s="162">
        <f t="shared" si="1092"/>
        <v>4.3577972357775059E-2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93"/>
        <v>0.52</v>
      </c>
      <c r="Y238" s="162">
        <v>6.1420000000000003</v>
      </c>
      <c r="Z238" s="917">
        <f t="shared" si="1094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-3.7990114578185561</v>
      </c>
      <c r="AN238" s="162">
        <v>-0.76760324322725415</v>
      </c>
      <c r="AO238" s="162">
        <v>39.999994224715344</v>
      </c>
      <c r="AP238" s="162">
        <v>-19.919997123908249</v>
      </c>
      <c r="AQ238" s="162">
        <v>0</v>
      </c>
      <c r="AR238" s="710" t="str">
        <v>1613.par</v>
      </c>
      <c r="AV238" s="82" t="str">
        <v>255,127,0</v>
      </c>
      <c r="AW238" s="951">
        <v>0</v>
      </c>
      <c r="AX238" s="951">
        <v>39.999994224715344</v>
      </c>
      <c r="AY238" s="951">
        <v>0</v>
      </c>
    </row>
    <row r="239" spans="2:51" x14ac:dyDescent="0.25">
      <c r="B239" s="650">
        <v>-2.733345284140098</v>
      </c>
      <c r="C239" s="651">
        <v>1.8332720301617103</v>
      </c>
      <c r="D239" s="652">
        <v>-0.40700122751570206</v>
      </c>
      <c r="E239" s="653">
        <v>-0.64522624332815559</v>
      </c>
      <c r="F239" s="651">
        <v>-0.71798549798102596</v>
      </c>
      <c r="G239" s="654">
        <v>0.26111284841917282</v>
      </c>
      <c r="H239" s="653">
        <v>0.314</v>
      </c>
      <c r="I239" s="920">
        <v>0.52</v>
      </c>
      <c r="J239" s="924">
        <v>6.1180000000000003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1" t="s">
        <v>420</v>
      </c>
      <c r="M239" s="946"/>
      <c r="N239" s="943"/>
      <c r="O239" s="944"/>
      <c r="Q239" s="162">
        <f t="shared" si="1087"/>
        <v>-2.191525364735591</v>
      </c>
      <c r="R239" s="162">
        <f t="shared" si="1088"/>
        <v>2.4772422044249782</v>
      </c>
      <c r="S239" s="162">
        <f t="shared" si="1089"/>
        <v>-0.38386104208865035</v>
      </c>
      <c r="T239" s="162">
        <f t="shared" si="1090"/>
        <v>-0.80905728777847541</v>
      </c>
      <c r="U239" s="162">
        <f t="shared" si="1091"/>
        <v>-0.48360013397654383</v>
      </c>
      <c r="V239" s="162">
        <f t="shared" si="1092"/>
        <v>0.33400181962139991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93"/>
        <v>0.52</v>
      </c>
      <c r="Y239" s="162">
        <v>6.218</v>
      </c>
      <c r="Z239" s="917">
        <f t="shared" si="1094"/>
        <v>1313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-3.1791095881945184</v>
      </c>
      <c r="AN239" s="162">
        <v>-0.35126772714419852</v>
      </c>
      <c r="AO239" s="162">
        <v>24.99999639044708</v>
      </c>
      <c r="AP239" s="162">
        <v>-16.559997609032152</v>
      </c>
      <c r="AQ239" s="162">
        <v>0</v>
      </c>
      <c r="AR239" s="710" t="str">
        <v>1613.par</v>
      </c>
      <c r="AV239" s="82" t="str">
        <v>255,127,0</v>
      </c>
      <c r="AW239" s="951">
        <v>0</v>
      </c>
      <c r="AX239" s="951">
        <v>24.99999639044708</v>
      </c>
      <c r="AY239" s="951">
        <v>0</v>
      </c>
    </row>
    <row r="240" spans="2:51" x14ac:dyDescent="0.25">
      <c r="B240" s="650">
        <v>-3.1992328127409468</v>
      </c>
      <c r="C240" s="651">
        <v>2.2103015329908278</v>
      </c>
      <c r="D240" s="652">
        <v>-0.85560258049738325</v>
      </c>
      <c r="E240" s="653">
        <v>-0.72696682415140312</v>
      </c>
      <c r="F240" s="651">
        <v>-0.63637760281450162</v>
      </c>
      <c r="G240" s="654">
        <v>0.25795887893090946</v>
      </c>
      <c r="H240" s="653">
        <v>0.314</v>
      </c>
      <c r="I240" s="920">
        <v>0.52</v>
      </c>
      <c r="J240" s="924">
        <v>6.1239999999999997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1" t="s">
        <v>420</v>
      </c>
      <c r="M240" s="946"/>
      <c r="N240" s="943"/>
      <c r="O240" s="944"/>
      <c r="Q240" s="162">
        <f t="shared" si="1087"/>
        <v>-2.6682369161524147</v>
      </c>
      <c r="R240" s="162">
        <f t="shared" si="1088"/>
        <v>2.8615658511803415</v>
      </c>
      <c r="S240" s="162">
        <f t="shared" si="1089"/>
        <v>-0.83623739525817786</v>
      </c>
      <c r="T240" s="162">
        <f t="shared" si="1090"/>
        <v>-0.85844864947491828</v>
      </c>
      <c r="U240" s="162">
        <f t="shared" si="1091"/>
        <v>-0.40307161229381333</v>
      </c>
      <c r="V240" s="162">
        <f t="shared" si="1092"/>
        <v>0.31717375612990883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93"/>
        <v>0.52</v>
      </c>
      <c r="Y240" s="162">
        <v>6.2240000000000002</v>
      </c>
      <c r="Z240" s="917">
        <f t="shared" si="1094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-2.4586074151599639</v>
      </c>
      <c r="AN240" s="162">
        <v>-0.15625880474217738</v>
      </c>
      <c r="AO240" s="162">
        <v>9.999998556178836</v>
      </c>
      <c r="AP240" s="162">
        <v>-15.999997689886136</v>
      </c>
      <c r="AQ240" s="162">
        <v>0</v>
      </c>
      <c r="AR240" s="710" t="str">
        <v>1613.par</v>
      </c>
      <c r="AV240" s="82" t="str">
        <v>255,127,0</v>
      </c>
      <c r="AW240" s="951">
        <v>0</v>
      </c>
      <c r="AX240" s="951">
        <v>9.999998556178836</v>
      </c>
      <c r="AY240" s="951">
        <v>0</v>
      </c>
    </row>
    <row r="241" spans="2:51" x14ac:dyDescent="0.25">
      <c r="B241" s="650">
        <v>-3.53119281644523</v>
      </c>
      <c r="C241" s="651">
        <v>2.5002246108388846</v>
      </c>
      <c r="D241" s="652">
        <v>-1.4612044069924921</v>
      </c>
      <c r="E241" s="653">
        <v>-0.80676282185167514</v>
      </c>
      <c r="F241" s="651">
        <v>-0.54951965478260978</v>
      </c>
      <c r="G241" s="654">
        <v>0.21716790344229908</v>
      </c>
      <c r="H241" s="653">
        <v>0.314</v>
      </c>
      <c r="I241" s="920">
        <v>0.52</v>
      </c>
      <c r="J241" s="924">
        <v>6.13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1" t="s">
        <v>420</v>
      </c>
      <c r="M241" s="946"/>
      <c r="N241" s="943"/>
      <c r="O241" s="944"/>
      <c r="Q241" s="162">
        <f t="shared" si="1087"/>
        <v>-2.654648628690119</v>
      </c>
      <c r="R241" s="162">
        <f t="shared" si="1088"/>
        <v>3.4302299464265782</v>
      </c>
      <c r="S241" s="162">
        <f t="shared" si="1089"/>
        <v>-1.4684886651116542</v>
      </c>
      <c r="T241" s="162">
        <f t="shared" si="1090"/>
        <v>-0.52739457439307647</v>
      </c>
      <c r="U241" s="162">
        <f t="shared" si="1091"/>
        <v>0.68147800922289514</v>
      </c>
      <c r="V241" s="162">
        <f t="shared" si="1092"/>
        <v>0.5073881017981654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93"/>
        <v>0.41499999999999992</v>
      </c>
      <c r="Y241" s="162">
        <v>6.23</v>
      </c>
      <c r="Z241" s="917" t="str">
        <f t="shared" si="1094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-1.7333052276485668</v>
      </c>
      <c r="AN241" s="162">
        <v>-0.20640062250488383</v>
      </c>
      <c r="AO241" s="162">
        <v>0</v>
      </c>
      <c r="AP241" s="162">
        <v>-15.99999768988615</v>
      </c>
      <c r="AQ241" s="162">
        <v>0</v>
      </c>
      <c r="AR241" s="710" t="str">
        <v>1613.par</v>
      </c>
      <c r="AV241" s="82" t="str">
        <v>255,127,0</v>
      </c>
      <c r="AW241" s="951">
        <v>0</v>
      </c>
      <c r="AX241" s="951">
        <v>0</v>
      </c>
      <c r="AY241" s="951">
        <v>0</v>
      </c>
    </row>
    <row r="242" spans="2:51" x14ac:dyDescent="0.25">
      <c r="B242" s="650">
        <v>-3.7201860614474498</v>
      </c>
      <c r="C242" s="651">
        <v>2.6742103221044835</v>
      </c>
      <c r="D242" s="652">
        <v>-2.1642065272468862</v>
      </c>
      <c r="E242" s="653">
        <v>-0.87311412183032799</v>
      </c>
      <c r="F242" s="651">
        <v>-0.46773781305221446</v>
      </c>
      <c r="G242" s="654">
        <v>0.13745205892087309</v>
      </c>
      <c r="H242" s="653">
        <v>0.314</v>
      </c>
      <c r="I242" s="920">
        <v>0.52</v>
      </c>
      <c r="J242" s="924">
        <v>6.1360000000000001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1" t="s">
        <v>420</v>
      </c>
      <c r="M242" s="946"/>
      <c r="N242" s="943"/>
      <c r="O242" s="944"/>
      <c r="Q242" s="162">
        <f t="shared" si="1087"/>
        <v>-2.7401340190391257</v>
      </c>
      <c r="R242" s="162">
        <f t="shared" si="1088"/>
        <v>3.6764219564425922</v>
      </c>
      <c r="S242" s="162">
        <f t="shared" si="1089"/>
        <v>-2.1777235730236608</v>
      </c>
      <c r="T242" s="162">
        <f t="shared" si="1090"/>
        <v>-0.58059676134694771</v>
      </c>
      <c r="U242" s="162">
        <f t="shared" si="1091"/>
        <v>0.77898331483942629</v>
      </c>
      <c r="V242" s="162">
        <f t="shared" si="1092"/>
        <v>0.23683833286698919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93"/>
        <v>0.41499999999999992</v>
      </c>
      <c r="Y242" s="162">
        <v>6.2359999999999998</v>
      </c>
      <c r="Z242" s="917" t="str">
        <f t="shared" si="1094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-1.0375031291094376</v>
      </c>
      <c r="AN242" s="162">
        <v>-0.39180118167600186</v>
      </c>
      <c r="AO242" s="162">
        <v>-2.9999995668536554</v>
      </c>
      <c r="AP242" s="162">
        <v>-15.99999768988615</v>
      </c>
      <c r="AQ242" s="162">
        <v>0</v>
      </c>
      <c r="AR242" s="710" t="str">
        <v>1613.par</v>
      </c>
      <c r="AV242" s="82" t="str">
        <v>255,127,0</v>
      </c>
      <c r="AW242" s="951">
        <v>0</v>
      </c>
      <c r="AX242" s="951">
        <v>-2.9999995668536554</v>
      </c>
      <c r="AY242" s="951">
        <v>0</v>
      </c>
    </row>
    <row r="243" spans="2:51" x14ac:dyDescent="0.25">
      <c r="B243" s="650">
        <v>-3.8008015205968859</v>
      </c>
      <c r="C243" s="651">
        <v>2.7503114036392367</v>
      </c>
      <c r="D243" s="652">
        <v>-2.9661089457845793</v>
      </c>
      <c r="E243" s="653">
        <v>-0.91122149263413377</v>
      </c>
      <c r="F243" s="651">
        <v>-0.40960511677322387</v>
      </c>
      <c r="G243" s="654">
        <v>4.3577972357775059E-2</v>
      </c>
      <c r="H243" s="653">
        <v>0.314</v>
      </c>
      <c r="I243" s="920">
        <v>0.52</v>
      </c>
      <c r="J243" s="924">
        <v>6.1420000000000003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1" t="s">
        <v>420</v>
      </c>
      <c r="M243" s="946"/>
      <c r="N243" s="943"/>
      <c r="O243" s="944"/>
      <c r="Q243" s="162">
        <f t="shared" si="1087"/>
        <v>-2.7133658314860325</v>
      </c>
      <c r="R243" s="162">
        <f t="shared" si="1088"/>
        <v>3.8219300558382443</v>
      </c>
      <c r="S243" s="162">
        <f t="shared" si="1089"/>
        <v>-2.9821040106196737</v>
      </c>
      <c r="T243" s="162">
        <f t="shared" si="1090"/>
        <v>-0.57671637578656021</v>
      </c>
      <c r="U243" s="162">
        <f t="shared" si="1091"/>
        <v>0.81233780743291772</v>
      </c>
      <c r="V243" s="162">
        <f t="shared" si="1092"/>
        <v>8.6634337965353442E-2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93"/>
        <v>0.41499999999999992</v>
      </c>
      <c r="Y243" s="162">
        <v>6.242</v>
      </c>
      <c r="Z243" s="917" t="str">
        <f t="shared" si="1094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-0.34210103177671197</v>
      </c>
      <c r="AN243" s="162">
        <v>-0.5782017438570658</v>
      </c>
      <c r="AO243" s="162">
        <v>-8.9999987005609601</v>
      </c>
      <c r="AP243" s="162">
        <v>-21.999996823593442</v>
      </c>
      <c r="AQ243" s="162">
        <v>0</v>
      </c>
      <c r="AR243" s="710" t="str">
        <v>1613.par</v>
      </c>
      <c r="AV243" s="82" t="str">
        <v>255,127,0</v>
      </c>
      <c r="AW243" s="951">
        <v>0</v>
      </c>
      <c r="AX243" s="951">
        <v>-8.9999987005609601</v>
      </c>
      <c r="AY243" s="951">
        <v>0</v>
      </c>
    </row>
    <row r="244" spans="2:51" x14ac:dyDescent="0.25">
      <c r="B244" s="650">
        <v>-2.191525364735591</v>
      </c>
      <c r="C244" s="651">
        <v>2.4772422044249782</v>
      </c>
      <c r="D244" s="652">
        <v>-0.38386104208865035</v>
      </c>
      <c r="E244" s="653">
        <v>-0.80905728777847541</v>
      </c>
      <c r="F244" s="651">
        <v>-0.48360013397654383</v>
      </c>
      <c r="G244" s="654">
        <v>0.33400181962139991</v>
      </c>
      <c r="H244" s="653">
        <v>0.26600000000000001</v>
      </c>
      <c r="I244" s="920">
        <v>0.52</v>
      </c>
      <c r="J244" s="924">
        <v>6.218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1313</v>
      </c>
      <c r="L244" s="941" t="s">
        <v>421</v>
      </c>
      <c r="M244" s="946"/>
      <c r="N244" s="943"/>
      <c r="O244" s="944"/>
      <c r="Q244" s="162" t="str">
        <f t="shared" si="1087"/>
        <v/>
      </c>
      <c r="R244" s="162" t="str">
        <f t="shared" si="1088"/>
        <v/>
      </c>
      <c r="S244" s="162" t="str">
        <f t="shared" si="1089"/>
        <v/>
      </c>
      <c r="T244" s="162" t="str">
        <f t="shared" si="1090"/>
        <v/>
      </c>
      <c r="U244" s="162" t="str">
        <f t="shared" si="1091"/>
        <v/>
      </c>
      <c r="V244" s="162" t="str">
        <f t="shared" si="1092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93"/>
        <v/>
      </c>
      <c r="Y244" s="162"/>
      <c r="Z244" s="917" t="str">
        <f t="shared" si="1094"/>
        <v/>
      </c>
      <c r="AA244" s="82"/>
      <c r="AB244" s="75"/>
      <c r="AC244" s="75"/>
      <c r="AD244" s="166"/>
      <c r="AE244" s="75">
        <v>6.242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6.24221</v>
      </c>
      <c r="AK244" s="82">
        <v>6.2421100000000003</v>
      </c>
      <c r="AL244" s="162">
        <v>0</v>
      </c>
      <c r="AM244" s="162">
        <v>0</v>
      </c>
      <c r="AN244" s="162">
        <v>0</v>
      </c>
      <c r="AO244" s="162">
        <v>-85.029987723188711</v>
      </c>
      <c r="AP244" s="162">
        <v>0</v>
      </c>
      <c r="AQ244" s="162">
        <v>0</v>
      </c>
      <c r="AR244" s="710" t="str">
        <v>1613.par</v>
      </c>
      <c r="AV244" s="82" t="str">
        <v>188,121,255</v>
      </c>
      <c r="AW244" s="951">
        <v>0</v>
      </c>
      <c r="AX244" s="951">
        <v>85.029987723188711</v>
      </c>
      <c r="AY244" s="951">
        <v>-85.029987723188711</v>
      </c>
    </row>
    <row r="245" spans="2:51" x14ac:dyDescent="0.25">
      <c r="B245" s="650">
        <v>-2.6682369161524147</v>
      </c>
      <c r="C245" s="651">
        <v>2.8615658511803415</v>
      </c>
      <c r="D245" s="652">
        <v>-0.83623739525817786</v>
      </c>
      <c r="E245" s="653">
        <v>-0.85844864947491828</v>
      </c>
      <c r="F245" s="651">
        <v>-0.40307161229381333</v>
      </c>
      <c r="G245" s="654">
        <v>0.31717375612990883</v>
      </c>
      <c r="H245" s="653">
        <v>0.26600000000000001</v>
      </c>
      <c r="I245" s="920">
        <v>0.52</v>
      </c>
      <c r="J245" s="924">
        <v>6.2240000000000002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1" t="s">
        <v>421</v>
      </c>
      <c r="M245" s="946"/>
      <c r="N245" s="943"/>
      <c r="O245" s="944"/>
      <c r="Q245" s="162" t="str">
        <f t="shared" si="1087"/>
        <v/>
      </c>
      <c r="R245" s="162" t="str">
        <f t="shared" si="1088"/>
        <v/>
      </c>
      <c r="S245" s="162" t="str">
        <f t="shared" si="1089"/>
        <v/>
      </c>
      <c r="T245" s="162" t="str">
        <f t="shared" si="1090"/>
        <v/>
      </c>
      <c r="U245" s="162" t="str">
        <f t="shared" si="1091"/>
        <v/>
      </c>
      <c r="V245" s="162" t="str">
        <f t="shared" si="1092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93"/>
        <v/>
      </c>
      <c r="Y245" s="162"/>
      <c r="Z245" s="917" t="str">
        <f t="shared" si="1094"/>
        <v/>
      </c>
      <c r="AA245" s="82"/>
      <c r="AB245" s="75"/>
      <c r="AC245" s="75"/>
      <c r="AD245" s="166"/>
      <c r="AE245" s="75">
        <v>6.2359999999999998</v>
      </c>
      <c r="AF245" s="82">
        <v>6</v>
      </c>
      <c r="AG245" s="82">
        <v>2</v>
      </c>
      <c r="AH245" s="82">
        <v>2</v>
      </c>
      <c r="AI245" s="82">
        <v>0.99999999998544808</v>
      </c>
      <c r="AJ245" s="166">
        <v>6.2362099999999998</v>
      </c>
      <c r="AK245" s="82">
        <v>6.23611</v>
      </c>
      <c r="AL245" s="162">
        <v>0</v>
      </c>
      <c r="AM245" s="162">
        <v>0</v>
      </c>
      <c r="AN245" s="162">
        <v>0</v>
      </c>
      <c r="AO245" s="162">
        <v>-76.29998898364461</v>
      </c>
      <c r="AP245" s="162">
        <v>0</v>
      </c>
      <c r="AQ245" s="162">
        <v>0</v>
      </c>
      <c r="AR245" s="710" t="str">
        <v>1613.par</v>
      </c>
      <c r="AV245" s="82" t="str">
        <v>188,121,255</v>
      </c>
      <c r="AW245" s="951">
        <v>0</v>
      </c>
      <c r="AX245" s="951">
        <v>76.29998898364461</v>
      </c>
      <c r="AY245" s="951">
        <v>-76.29998898364461</v>
      </c>
    </row>
    <row r="246" spans="2:51" x14ac:dyDescent="0.25">
      <c r="B246" s="650">
        <v>-2.654648628690119</v>
      </c>
      <c r="C246" s="651">
        <v>3.4302299464265782</v>
      </c>
      <c r="D246" s="652">
        <v>-1.4684886651116542</v>
      </c>
      <c r="E246" s="653">
        <v>-0.52739457439307647</v>
      </c>
      <c r="F246" s="651">
        <v>0.68147800922289514</v>
      </c>
      <c r="G246" s="654">
        <v>0.5073881017981654</v>
      </c>
      <c r="H246" s="653">
        <v>0.25700000000000001</v>
      </c>
      <c r="I246" s="920">
        <v>0.41499999999999992</v>
      </c>
      <c r="J246" s="924">
        <v>6.23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1" t="s">
        <v>421</v>
      </c>
      <c r="M246" s="946"/>
      <c r="N246" s="943"/>
      <c r="O246" s="944"/>
      <c r="Q246" s="162" t="str">
        <f t="shared" si="1087"/>
        <v/>
      </c>
      <c r="R246" s="162" t="str">
        <f t="shared" si="1088"/>
        <v/>
      </c>
      <c r="S246" s="162" t="str">
        <f t="shared" si="1089"/>
        <v/>
      </c>
      <c r="T246" s="162" t="str">
        <f t="shared" si="1090"/>
        <v/>
      </c>
      <c r="U246" s="162" t="str">
        <f t="shared" si="1091"/>
        <v/>
      </c>
      <c r="V246" s="162" t="str">
        <f t="shared" si="1092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93"/>
        <v/>
      </c>
      <c r="Y246" s="162"/>
      <c r="Z246" s="917" t="str">
        <f t="shared" si="1094"/>
        <v/>
      </c>
      <c r="AA246" s="82"/>
      <c r="AB246" s="75"/>
      <c r="AC246" s="75"/>
      <c r="AD246" s="166"/>
      <c r="AE246" s="75">
        <v>6.23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6.2302100000000005</v>
      </c>
      <c r="AK246" s="82">
        <v>6.2301100000000007</v>
      </c>
      <c r="AL246" s="162">
        <v>0</v>
      </c>
      <c r="AM246" s="162">
        <v>0</v>
      </c>
      <c r="AN246" s="162">
        <v>0</v>
      </c>
      <c r="AO246" s="162">
        <v>-59.509991407820316</v>
      </c>
      <c r="AP246" s="162">
        <v>0</v>
      </c>
      <c r="AQ246" s="162">
        <v>0</v>
      </c>
      <c r="AR246" s="710" t="str">
        <v>1313.par</v>
      </c>
      <c r="AV246" s="82" t="str">
        <v>188,121,255</v>
      </c>
      <c r="AW246" s="951">
        <v>0</v>
      </c>
      <c r="AX246" s="951">
        <v>59.509991407820316</v>
      </c>
      <c r="AY246" s="951">
        <v>-59.509991407820316</v>
      </c>
    </row>
    <row r="247" spans="2:51" x14ac:dyDescent="0.25">
      <c r="B247" s="650">
        <v>-2.7401340190391257</v>
      </c>
      <c r="C247" s="651">
        <v>3.6764219564425922</v>
      </c>
      <c r="D247" s="652">
        <v>-2.1777235730236608</v>
      </c>
      <c r="E247" s="653">
        <v>-0.58059676134694771</v>
      </c>
      <c r="F247" s="651">
        <v>0.77898331483942629</v>
      </c>
      <c r="G247" s="654">
        <v>0.23683833286698919</v>
      </c>
      <c r="H247" s="653">
        <v>0.25700000000000001</v>
      </c>
      <c r="I247" s="920">
        <v>0.41499999999999992</v>
      </c>
      <c r="J247" s="924">
        <v>6.2359999999999998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1" t="s">
        <v>420</v>
      </c>
      <c r="M247" s="946"/>
      <c r="N247" s="943"/>
      <c r="O247" s="944"/>
      <c r="Q247" s="162" t="str">
        <f t="shared" si="1087"/>
        <v/>
      </c>
      <c r="R247" s="162" t="str">
        <f t="shared" si="1088"/>
        <v/>
      </c>
      <c r="S247" s="162" t="str">
        <f t="shared" si="1089"/>
        <v/>
      </c>
      <c r="T247" s="162" t="str">
        <f t="shared" si="1090"/>
        <v/>
      </c>
      <c r="U247" s="162" t="str">
        <f t="shared" si="1091"/>
        <v/>
      </c>
      <c r="V247" s="162" t="str">
        <f t="shared" si="1092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93"/>
        <v/>
      </c>
      <c r="Y247" s="162"/>
      <c r="Z247" s="917" t="str">
        <f t="shared" si="1094"/>
        <v/>
      </c>
      <c r="AA247" s="82"/>
      <c r="AB247" s="75"/>
      <c r="AC247" s="75"/>
      <c r="AD247" s="166"/>
      <c r="AE247" s="75">
        <v>6.2240000000000002</v>
      </c>
      <c r="AF247" s="82">
        <v>6</v>
      </c>
      <c r="AG247" s="82">
        <v>2</v>
      </c>
      <c r="AH247" s="82">
        <v>2</v>
      </c>
      <c r="AI247" s="82">
        <v>1.0000000000582077</v>
      </c>
      <c r="AJ247" s="166">
        <v>6.2242100000000002</v>
      </c>
      <c r="AK247" s="82">
        <v>6.2241100000000005</v>
      </c>
      <c r="AL247" s="162">
        <v>0</v>
      </c>
      <c r="AM247" s="162">
        <v>0</v>
      </c>
      <c r="AN247" s="162">
        <v>0</v>
      </c>
      <c r="AO247" s="162">
        <v>-42.499993863760089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51">
        <v>0</v>
      </c>
      <c r="AX247" s="951">
        <v>42.499993863760089</v>
      </c>
      <c r="AY247" s="951">
        <v>-42.499993863760089</v>
      </c>
    </row>
    <row r="248" spans="2:51" x14ac:dyDescent="0.25">
      <c r="B248" s="650">
        <v>-2.7133658314860325</v>
      </c>
      <c r="C248" s="651">
        <v>3.8219300558382443</v>
      </c>
      <c r="D248" s="652">
        <v>-2.9821040106196737</v>
      </c>
      <c r="E248" s="653">
        <v>-0.57671637578656021</v>
      </c>
      <c r="F248" s="651">
        <v>0.81233780743291772</v>
      </c>
      <c r="G248" s="654">
        <v>8.6634337965353442E-2</v>
      </c>
      <c r="H248" s="653">
        <v>0.25700000000000001</v>
      </c>
      <c r="I248" s="920">
        <v>0.41499999999999992</v>
      </c>
      <c r="J248" s="924">
        <v>6.242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1" t="s">
        <v>420</v>
      </c>
      <c r="M248" s="946"/>
      <c r="N248" s="943"/>
      <c r="O248" s="944"/>
      <c r="Q248" s="162" t="str">
        <f t="shared" si="1087"/>
        <v/>
      </c>
      <c r="R248" s="162" t="str">
        <f t="shared" si="1088"/>
        <v/>
      </c>
      <c r="S248" s="162" t="str">
        <f t="shared" si="1089"/>
        <v/>
      </c>
      <c r="T248" s="162" t="str">
        <f t="shared" si="1090"/>
        <v/>
      </c>
      <c r="U248" s="162" t="str">
        <f t="shared" si="1091"/>
        <v/>
      </c>
      <c r="V248" s="162" t="str">
        <f t="shared" si="1092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93"/>
        <v/>
      </c>
      <c r="Y248" s="162"/>
      <c r="Z248" s="917" t="str">
        <f t="shared" si="1094"/>
        <v/>
      </c>
      <c r="AA248" s="82"/>
      <c r="AB248" s="75"/>
      <c r="AC248" s="75"/>
      <c r="AD248" s="166"/>
      <c r="AE248" s="75">
        <v>6.218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6.21821</v>
      </c>
      <c r="AK248" s="82">
        <v>6.2181100000000002</v>
      </c>
      <c r="AL248" s="162">
        <v>0</v>
      </c>
      <c r="AM248" s="162">
        <v>0</v>
      </c>
      <c r="AN248" s="162">
        <v>0</v>
      </c>
      <c r="AO248" s="162">
        <v>-27.499996029491825</v>
      </c>
      <c r="AP248" s="162">
        <v>0</v>
      </c>
      <c r="AQ248" s="162">
        <v>0</v>
      </c>
      <c r="AR248" s="710" t="str">
        <v>1313.par</v>
      </c>
      <c r="AV248" s="82" t="str">
        <v>188,121,255</v>
      </c>
      <c r="AW248" s="951">
        <v>0</v>
      </c>
      <c r="AX248" s="951">
        <v>27.499996029491825</v>
      </c>
      <c r="AY248" s="951">
        <v>-27.499996029491825</v>
      </c>
    </row>
    <row r="249" spans="2:51" x14ac:dyDescent="0.25">
      <c r="B249" s="650">
        <v>-3.4751834813230276</v>
      </c>
      <c r="C249" s="651">
        <v>3.2406617929351937</v>
      </c>
      <c r="D249" s="652">
        <v>-8.1463245693149009</v>
      </c>
      <c r="E249" s="653">
        <v>-0.98540422325431443</v>
      </c>
      <c r="F249" s="651">
        <v>-0.1285292854481071</v>
      </c>
      <c r="G249" s="654">
        <v>-0.1116187241226158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1" t="s">
        <v>420</v>
      </c>
      <c r="M249" s="946"/>
      <c r="N249" s="943"/>
      <c r="O249" s="944" t="s">
        <v>9</v>
      </c>
      <c r="Q249" s="162" t="str">
        <f t="shared" si="1087"/>
        <v/>
      </c>
      <c r="R249" s="162" t="str">
        <f t="shared" si="1088"/>
        <v/>
      </c>
      <c r="S249" s="162" t="str">
        <f t="shared" si="1089"/>
        <v/>
      </c>
      <c r="T249" s="162" t="str">
        <f t="shared" si="1090"/>
        <v/>
      </c>
      <c r="U249" s="162" t="str">
        <f t="shared" si="1091"/>
        <v/>
      </c>
      <c r="V249" s="162" t="str">
        <f t="shared" si="1092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93"/>
        <v/>
      </c>
      <c r="Y249" s="162"/>
      <c r="Z249" s="917" t="str">
        <f t="shared" si="1094"/>
        <v/>
      </c>
      <c r="AA249" s="82"/>
      <c r="AB249" s="75"/>
      <c r="AC249" s="75"/>
      <c r="AD249" s="166"/>
      <c r="AE249" s="75">
        <v>6.1420000000000003</v>
      </c>
      <c r="AF249" s="82">
        <v>6</v>
      </c>
      <c r="AG249" s="82">
        <v>1</v>
      </c>
      <c r="AH249" s="82">
        <v>2</v>
      </c>
      <c r="AI249" s="82">
        <v>1.0000000000582077</v>
      </c>
      <c r="AJ249" s="166">
        <v>6.1422100000000004</v>
      </c>
      <c r="AK249" s="82">
        <v>6.1421100000000006</v>
      </c>
      <c r="AL249" s="162">
        <v>0</v>
      </c>
      <c r="AM249" s="162">
        <v>0</v>
      </c>
      <c r="AN249" s="162">
        <v>0</v>
      </c>
      <c r="AO249" s="162">
        <v>-84.999987727520164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51">
        <v>0</v>
      </c>
      <c r="AX249" s="951">
        <v>84.999987727520164</v>
      </c>
      <c r="AY249" s="951">
        <v>-84.999987727520164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5"/>
      <c r="M250" s="946"/>
      <c r="N250" s="943"/>
      <c r="O250" s="944"/>
      <c r="Q250" s="162" t="str">
        <f t="shared" si="1087"/>
        <v/>
      </c>
      <c r="R250" s="162" t="str">
        <f t="shared" si="1088"/>
        <v/>
      </c>
      <c r="S250" s="162" t="str">
        <f t="shared" si="1089"/>
        <v/>
      </c>
      <c r="T250" s="162" t="str">
        <f t="shared" si="1090"/>
        <v/>
      </c>
      <c r="U250" s="162" t="str">
        <f t="shared" si="1091"/>
        <v/>
      </c>
      <c r="V250" s="162" t="str">
        <f t="shared" si="1092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93"/>
        <v/>
      </c>
      <c r="Y250" s="162"/>
      <c r="Z250" s="917" t="str">
        <f t="shared" si="1094"/>
        <v/>
      </c>
      <c r="AA250" s="82"/>
      <c r="AB250" s="75"/>
      <c r="AC250" s="75"/>
      <c r="AD250" s="166"/>
      <c r="AE250" s="75">
        <v>6.1360000000000001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6.1362100000000002</v>
      </c>
      <c r="AK250" s="82">
        <v>6.1361100000000004</v>
      </c>
      <c r="AL250" s="162">
        <v>0</v>
      </c>
      <c r="AM250" s="162">
        <v>0</v>
      </c>
      <c r="AN250" s="162">
        <v>0</v>
      </c>
      <c r="AO250" s="162">
        <v>-72.499989532296652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51">
        <v>0</v>
      </c>
      <c r="AX250" s="951">
        <v>72.499989532296652</v>
      </c>
      <c r="AY250" s="951">
        <v>-72.499989532296652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5"/>
      <c r="M251" s="946"/>
      <c r="N251" s="943"/>
      <c r="O251" s="944"/>
      <c r="Q251" s="162" t="str">
        <f t="shared" si="1087"/>
        <v/>
      </c>
      <c r="R251" s="162" t="str">
        <f t="shared" si="1088"/>
        <v/>
      </c>
      <c r="S251" s="162" t="str">
        <f t="shared" si="1089"/>
        <v/>
      </c>
      <c r="T251" s="162" t="str">
        <f t="shared" si="1090"/>
        <v/>
      </c>
      <c r="U251" s="162" t="str">
        <f t="shared" si="1091"/>
        <v/>
      </c>
      <c r="V251" s="162" t="str">
        <f t="shared" si="1092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93"/>
        <v/>
      </c>
      <c r="Y251" s="162"/>
      <c r="Z251" s="917" t="str">
        <f t="shared" si="1094"/>
        <v/>
      </c>
      <c r="AA251" s="82"/>
      <c r="AB251" s="75"/>
      <c r="AC251" s="75"/>
      <c r="AD251" s="166"/>
      <c r="AE251" s="75">
        <v>6.13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6.1302099999999999</v>
      </c>
      <c r="AK251" s="82">
        <v>6.1301100000000002</v>
      </c>
      <c r="AL251" s="162">
        <v>0</v>
      </c>
      <c r="AM251" s="162">
        <v>0</v>
      </c>
      <c r="AN251" s="162">
        <v>0</v>
      </c>
      <c r="AO251" s="162">
        <v>-57.499991698028374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51">
        <v>0</v>
      </c>
      <c r="AX251" s="951">
        <v>57.499991698028374</v>
      </c>
      <c r="AY251" s="951">
        <v>-57.499991698028374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5"/>
      <c r="M252" s="946"/>
      <c r="N252" s="943"/>
      <c r="O252" s="944"/>
      <c r="Q252" s="162" t="str">
        <f t="shared" si="1087"/>
        <v/>
      </c>
      <c r="R252" s="162" t="str">
        <f t="shared" si="1088"/>
        <v/>
      </c>
      <c r="S252" s="162" t="str">
        <f t="shared" si="1089"/>
        <v/>
      </c>
      <c r="T252" s="162" t="str">
        <f t="shared" si="1090"/>
        <v/>
      </c>
      <c r="U252" s="162" t="str">
        <f t="shared" si="1091"/>
        <v/>
      </c>
      <c r="V252" s="162" t="str">
        <f t="shared" si="1092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93"/>
        <v/>
      </c>
      <c r="Y252" s="162"/>
      <c r="Z252" s="917" t="str">
        <f t="shared" si="1094"/>
        <v/>
      </c>
      <c r="AA252" s="82"/>
      <c r="AB252" s="75"/>
      <c r="AC252" s="75"/>
      <c r="AD252" s="166"/>
      <c r="AE252" s="75">
        <v>6.1239999999999997</v>
      </c>
      <c r="AF252" s="82">
        <v>6</v>
      </c>
      <c r="AG252" s="82">
        <v>1</v>
      </c>
      <c r="AH252" s="82">
        <v>2</v>
      </c>
      <c r="AI252" s="82">
        <v>0.99999999998544808</v>
      </c>
      <c r="AJ252" s="166">
        <v>6.1242099999999997</v>
      </c>
      <c r="AK252" s="82">
        <v>6.1241099999999999</v>
      </c>
      <c r="AL252" s="162">
        <v>0</v>
      </c>
      <c r="AM252" s="162">
        <v>0</v>
      </c>
      <c r="AN252" s="162">
        <v>0</v>
      </c>
      <c r="AO252" s="162">
        <v>-42.499993863760125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51">
        <v>0</v>
      </c>
      <c r="AX252" s="951">
        <v>42.499993863760125</v>
      </c>
      <c r="AY252" s="951">
        <v>-42.499993863760125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5"/>
      <c r="M253" s="946"/>
      <c r="N253" s="943"/>
      <c r="O253" s="944"/>
      <c r="Q253" s="162" t="str">
        <f t="shared" si="1087"/>
        <v/>
      </c>
      <c r="R253" s="162" t="str">
        <f t="shared" si="1088"/>
        <v/>
      </c>
      <c r="S253" s="162" t="str">
        <f t="shared" si="1089"/>
        <v/>
      </c>
      <c r="T253" s="162" t="str">
        <f t="shared" si="1090"/>
        <v/>
      </c>
      <c r="U253" s="162" t="str">
        <f t="shared" si="1091"/>
        <v/>
      </c>
      <c r="V253" s="162" t="str">
        <f t="shared" si="1092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93"/>
        <v/>
      </c>
      <c r="Y253" s="162"/>
      <c r="Z253" s="917" t="str">
        <f t="shared" si="1094"/>
        <v/>
      </c>
      <c r="AA253" s="82"/>
      <c r="AB253" s="75"/>
      <c r="AC253" s="75"/>
      <c r="AD253" s="166"/>
      <c r="AE253" s="75">
        <v>6.1180000000000003</v>
      </c>
      <c r="AF253" s="82">
        <v>6</v>
      </c>
      <c r="AG253" s="82">
        <v>1</v>
      </c>
      <c r="AH253" s="82">
        <v>2</v>
      </c>
      <c r="AI253" s="82">
        <v>1.0000000000582077</v>
      </c>
      <c r="AJ253" s="166">
        <v>6.1182100000000004</v>
      </c>
      <c r="AK253" s="82">
        <v>6.1181100000000006</v>
      </c>
      <c r="AL253" s="162">
        <v>0</v>
      </c>
      <c r="AM253" s="162">
        <v>0</v>
      </c>
      <c r="AN253" s="162">
        <v>0</v>
      </c>
      <c r="AO253" s="162">
        <v>-27.499996029491861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51">
        <v>0</v>
      </c>
      <c r="AX253" s="951">
        <v>27.499996029491861</v>
      </c>
      <c r="AY253" s="951">
        <v>-27.499996029491861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5"/>
      <c r="M254" s="946"/>
      <c r="N254" s="943"/>
      <c r="O254" s="944"/>
      <c r="Q254" s="162" t="str">
        <f t="shared" si="1087"/>
        <v/>
      </c>
      <c r="R254" s="162" t="str">
        <f t="shared" si="1088"/>
        <v/>
      </c>
      <c r="S254" s="162" t="str">
        <f t="shared" si="1089"/>
        <v/>
      </c>
      <c r="T254" s="162" t="str">
        <f t="shared" si="1090"/>
        <v/>
      </c>
      <c r="U254" s="162" t="str">
        <f t="shared" si="1091"/>
        <v/>
      </c>
      <c r="V254" s="162" t="str">
        <f t="shared" si="1092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93"/>
        <v/>
      </c>
      <c r="Y254" s="162"/>
      <c r="Z254" s="917" t="str">
        <f t="shared" si="1094"/>
        <v/>
      </c>
      <c r="AA254" s="82"/>
      <c r="AB254" s="75"/>
      <c r="AC254" s="75"/>
      <c r="AD254" s="166"/>
      <c r="AE254" s="75">
        <v>6.1120000000000001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6.1122100000000001</v>
      </c>
      <c r="AK254" s="82">
        <v>6.1121100000000004</v>
      </c>
      <c r="AL254" s="162">
        <v>0</v>
      </c>
      <c r="AM254" s="162">
        <v>0</v>
      </c>
      <c r="AN254" s="162">
        <v>0</v>
      </c>
      <c r="AO254" s="162">
        <v>-12.49999819522351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51">
        <v>0</v>
      </c>
      <c r="AX254" s="951">
        <v>12.49999819522351</v>
      </c>
      <c r="AY254" s="951">
        <v>-12.49999819522351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5"/>
      <c r="M255" s="946"/>
      <c r="N255" s="943"/>
      <c r="O255" s="944"/>
      <c r="Q255" s="162" t="str">
        <f t="shared" si="1087"/>
        <v/>
      </c>
      <c r="R255" s="162" t="str">
        <f t="shared" si="1088"/>
        <v/>
      </c>
      <c r="S255" s="162" t="str">
        <f t="shared" si="1089"/>
        <v/>
      </c>
      <c r="T255" s="162" t="str">
        <f t="shared" si="1090"/>
        <v/>
      </c>
      <c r="U255" s="162" t="str">
        <f t="shared" si="1091"/>
        <v/>
      </c>
      <c r="V255" s="162" t="str">
        <f t="shared" si="1092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93"/>
        <v/>
      </c>
      <c r="Y255" s="162"/>
      <c r="Z255" s="917" t="str">
        <f t="shared" si="1094"/>
        <v/>
      </c>
      <c r="AA255" s="82"/>
      <c r="AB255" s="75"/>
      <c r="AC255" s="75"/>
      <c r="AD255" s="166"/>
      <c r="AE255" s="75">
        <v>5.2430000000000003</v>
      </c>
      <c r="AF255" s="82">
        <v>5</v>
      </c>
      <c r="AG255" s="82">
        <v>2</v>
      </c>
      <c r="AH255" s="82">
        <v>2</v>
      </c>
      <c r="AI255" s="82">
        <v>1.0000000000582077</v>
      </c>
      <c r="AJ255" s="166">
        <v>5.2432100000000004</v>
      </c>
      <c r="AK255" s="82">
        <v>5.2431100000000006</v>
      </c>
      <c r="AL255" s="162">
        <v>0</v>
      </c>
      <c r="AM255" s="162">
        <v>0</v>
      </c>
      <c r="AN255" s="162">
        <v>0</v>
      </c>
      <c r="AO255" s="162">
        <v>-85.029987723188711</v>
      </c>
      <c r="AP255" s="162">
        <v>0</v>
      </c>
      <c r="AQ255" s="162">
        <v>0</v>
      </c>
      <c r="AR255" s="710" t="str">
        <v>1613.par</v>
      </c>
      <c r="AV255" s="82" t="str">
        <v>121,188,255</v>
      </c>
      <c r="AW255" s="951">
        <v>0</v>
      </c>
      <c r="AX255" s="951">
        <v>85.029987723188711</v>
      </c>
      <c r="AY255" s="951">
        <v>-85.029987723188711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5"/>
      <c r="M256" s="946"/>
      <c r="N256" s="943"/>
      <c r="O256" s="944"/>
      <c r="Q256" s="162" t="str">
        <f t="shared" si="1087"/>
        <v/>
      </c>
      <c r="R256" s="162" t="str">
        <f t="shared" si="1088"/>
        <v/>
      </c>
      <c r="S256" s="162" t="str">
        <f t="shared" si="1089"/>
        <v/>
      </c>
      <c r="T256" s="162" t="str">
        <f t="shared" si="1090"/>
        <v/>
      </c>
      <c r="U256" s="162" t="str">
        <f t="shared" si="1091"/>
        <v/>
      </c>
      <c r="V256" s="162" t="str">
        <f t="shared" si="1092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93"/>
        <v/>
      </c>
      <c r="Y256" s="162"/>
      <c r="Z256" s="917" t="str">
        <f t="shared" si="1094"/>
        <v/>
      </c>
      <c r="AA256" s="82"/>
      <c r="AB256" s="75"/>
      <c r="AC256" s="75"/>
      <c r="AD256" s="166"/>
      <c r="AE256" s="75">
        <v>5.2370000000000001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5.2372100000000001</v>
      </c>
      <c r="AK256" s="82">
        <v>5.2371100000000004</v>
      </c>
      <c r="AL256" s="162">
        <v>0</v>
      </c>
      <c r="AM256" s="162">
        <v>0</v>
      </c>
      <c r="AN256" s="162">
        <v>0</v>
      </c>
      <c r="AO256" s="162">
        <v>-79.129988575043214</v>
      </c>
      <c r="AP256" s="162">
        <v>0</v>
      </c>
      <c r="AQ256" s="162">
        <v>0</v>
      </c>
      <c r="AR256" s="710" t="str">
        <v>1613.par</v>
      </c>
      <c r="AV256" s="82" t="str">
        <v>121,188,255</v>
      </c>
      <c r="AW256" s="951">
        <v>0</v>
      </c>
      <c r="AX256" s="951">
        <v>79.129988575043214</v>
      </c>
      <c r="AY256" s="951">
        <v>-79.129988575043214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5"/>
      <c r="M257" s="946"/>
      <c r="N257" s="943"/>
      <c r="O257" s="944"/>
      <c r="Q257" s="162" t="str">
        <f t="shared" si="1087"/>
        <v/>
      </c>
      <c r="R257" s="162" t="str">
        <f t="shared" si="1088"/>
        <v/>
      </c>
      <c r="S257" s="162" t="str">
        <f t="shared" si="1089"/>
        <v/>
      </c>
      <c r="T257" s="162" t="str">
        <f t="shared" si="1090"/>
        <v/>
      </c>
      <c r="U257" s="162" t="str">
        <f t="shared" si="1091"/>
        <v/>
      </c>
      <c r="V257" s="162" t="str">
        <f t="shared" si="1092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93"/>
        <v/>
      </c>
      <c r="Y257" s="162"/>
      <c r="Z257" s="917" t="str">
        <f t="shared" si="1094"/>
        <v/>
      </c>
      <c r="AA257" s="82"/>
      <c r="AB257" s="75"/>
      <c r="AC257" s="75"/>
      <c r="AD257" s="166"/>
      <c r="AE257" s="75">
        <v>5.2309999999999999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5.2312099999999999</v>
      </c>
      <c r="AK257" s="82">
        <v>5.2311100000000001</v>
      </c>
      <c r="AL257" s="162">
        <v>0</v>
      </c>
      <c r="AM257" s="162">
        <v>0</v>
      </c>
      <c r="AN257" s="162">
        <v>0</v>
      </c>
      <c r="AO257" s="162">
        <v>-62.299991004994205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51">
        <v>0</v>
      </c>
      <c r="AX257" s="951">
        <v>62.299991004994205</v>
      </c>
      <c r="AY257" s="951">
        <v>-62.299991004994205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5"/>
      <c r="M258" s="946"/>
      <c r="N258" s="943"/>
      <c r="O258" s="944"/>
      <c r="Q258" s="162" t="str">
        <f t="shared" si="1087"/>
        <v/>
      </c>
      <c r="R258" s="162" t="str">
        <f t="shared" si="1088"/>
        <v/>
      </c>
      <c r="S258" s="162" t="str">
        <f t="shared" si="1089"/>
        <v/>
      </c>
      <c r="T258" s="162" t="str">
        <f t="shared" si="1090"/>
        <v/>
      </c>
      <c r="U258" s="162" t="str">
        <f t="shared" si="1091"/>
        <v/>
      </c>
      <c r="V258" s="162" t="str">
        <f t="shared" si="1092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93"/>
        <v/>
      </c>
      <c r="Y258" s="162"/>
      <c r="Z258" s="917" t="str">
        <f t="shared" si="1094"/>
        <v/>
      </c>
      <c r="AA258" s="82"/>
      <c r="AB258" s="75"/>
      <c r="AC258" s="75"/>
      <c r="AD258" s="166"/>
      <c r="AE258" s="75">
        <v>5.2249999999999996</v>
      </c>
      <c r="AF258" s="82">
        <v>5</v>
      </c>
      <c r="AG258" s="82">
        <v>2</v>
      </c>
      <c r="AH258" s="82">
        <v>2</v>
      </c>
      <c r="AI258" s="82">
        <v>0.99999999998544808</v>
      </c>
      <c r="AJ258" s="166">
        <v>5.2252099999999997</v>
      </c>
      <c r="AK258" s="82">
        <v>5.2251099999999999</v>
      </c>
      <c r="AL258" s="162">
        <v>0</v>
      </c>
      <c r="AM258" s="162">
        <v>0</v>
      </c>
      <c r="AN258" s="162">
        <v>0</v>
      </c>
      <c r="AO258" s="162">
        <v>-44.999993502804806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51">
        <v>0</v>
      </c>
      <c r="AX258" s="951">
        <v>44.999993502804806</v>
      </c>
      <c r="AY258" s="951">
        <v>-44.999993502804806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5"/>
      <c r="M259" s="946"/>
      <c r="N259" s="943"/>
      <c r="O259" s="944"/>
      <c r="Q259" s="162" t="str">
        <f t="shared" si="1087"/>
        <v/>
      </c>
      <c r="R259" s="162" t="str">
        <f t="shared" si="1088"/>
        <v/>
      </c>
      <c r="S259" s="162" t="str">
        <f t="shared" si="1089"/>
        <v/>
      </c>
      <c r="T259" s="162" t="str">
        <f t="shared" si="1090"/>
        <v/>
      </c>
      <c r="U259" s="162" t="str">
        <f t="shared" si="1091"/>
        <v/>
      </c>
      <c r="V259" s="162" t="str">
        <f t="shared" si="1092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93"/>
        <v/>
      </c>
      <c r="Y259" s="162"/>
      <c r="Z259" s="917" t="str">
        <f t="shared" si="1094"/>
        <v/>
      </c>
      <c r="AA259" s="82"/>
      <c r="AB259" s="75"/>
      <c r="AC259" s="75"/>
      <c r="AD259" s="166"/>
      <c r="AE259" s="75">
        <v>5.2190000000000003</v>
      </c>
      <c r="AF259" s="82">
        <v>5</v>
      </c>
      <c r="AG259" s="82">
        <v>2</v>
      </c>
      <c r="AH259" s="82">
        <v>2</v>
      </c>
      <c r="AI259" s="82">
        <v>1.0000000000582077</v>
      </c>
      <c r="AJ259" s="166">
        <v>5.2192100000000003</v>
      </c>
      <c r="AK259" s="82">
        <v>5.2191100000000006</v>
      </c>
      <c r="AL259" s="162">
        <v>0</v>
      </c>
      <c r="AM259" s="162">
        <v>0</v>
      </c>
      <c r="AN259" s="162">
        <v>0</v>
      </c>
      <c r="AO259" s="162">
        <v>-29.999995668536492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51">
        <v>0</v>
      </c>
      <c r="AX259" s="951">
        <v>29.999995668536492</v>
      </c>
      <c r="AY259" s="951">
        <v>-29.999995668536492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5"/>
      <c r="M260" s="946"/>
      <c r="N260" s="943"/>
      <c r="O260" s="944"/>
      <c r="Q260" s="162" t="str">
        <f t="shared" ref="Q260:Q291" si="1095">IFERROR(INDEX(B$164:B$305,MATCH($Y260,$J$164:$J$305,0)),"")</f>
        <v/>
      </c>
      <c r="R260" s="162" t="str">
        <f t="shared" ref="R260:R291" si="1096">IFERROR(INDEX(C$164:C$305,MATCH($Y260,$J$164:$J$305,0)),"")</f>
        <v/>
      </c>
      <c r="S260" s="162" t="str">
        <f t="shared" ref="S260:S291" si="1097">IFERROR(INDEX(D$164:D$305,MATCH($Y260,$J$164:$J$305,0)),"")</f>
        <v/>
      </c>
      <c r="T260" s="162" t="str">
        <f t="shared" ref="T260:T291" si="1098">IFERROR(IF($N260="Y",-1*INDEX(E$164:E$305,MATCH($Y260,$J$164:$J$305,0)),INDEX(E$164:E$305,MATCH($Y260,$J$164:$J$305,0))),"")</f>
        <v/>
      </c>
      <c r="U260" s="162" t="str">
        <f t="shared" ref="U260:U291" si="1099">IFERROR(IF($N260="Y",-1*INDEX(F$164:F$305,MATCH($Y260,$J$164:$J$305,0)),INDEX(F$164:F$305,MATCH($Y260,$J$164:$J$305,0))),"")</f>
        <v/>
      </c>
      <c r="V260" s="162" t="str">
        <f t="shared" ref="V260:V291" si="1100">IFERROR(IF($N260="Y",-1*INDEX(G$164:G$305,MATCH($Y260,$J$164:$J$305,0)),INDEX(G$164:G$305,MATCH($Y260,$J$164:$J$305,0))),"")</f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ref="X260:X291" si="1101">IFERROR(INDEX(I$164:I$305,MATCH($Y260,$J$164:$J$305,0)),"")</f>
        <v/>
      </c>
      <c r="Y260" s="162"/>
      <c r="Z260" s="917" t="str">
        <f t="shared" ref="Z260:Z291" si="1102">IFERROR(INDEX(K$164:K$305,MATCH($Y260,$J$164:$J$305,0)),"")</f>
        <v/>
      </c>
      <c r="AA260" s="82"/>
      <c r="AB260" s="75"/>
      <c r="AC260" s="75"/>
      <c r="AD260" s="166"/>
      <c r="AE260" s="75">
        <v>5.2130000000000001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5.2132100000000001</v>
      </c>
      <c r="AK260" s="82">
        <v>5.2131100000000004</v>
      </c>
      <c r="AL260" s="162">
        <v>0</v>
      </c>
      <c r="AM260" s="162">
        <v>0</v>
      </c>
      <c r="AN260" s="162">
        <v>0</v>
      </c>
      <c r="AO260" s="162">
        <v>-14.999997834268259</v>
      </c>
      <c r="AP260" s="162">
        <v>0</v>
      </c>
      <c r="AQ260" s="162">
        <v>0</v>
      </c>
      <c r="AR260" s="710" t="str">
        <v>1313.par</v>
      </c>
      <c r="AV260" s="82" t="str">
        <v>121,188,255</v>
      </c>
      <c r="AW260" s="951">
        <v>0</v>
      </c>
      <c r="AX260" s="951">
        <v>14.999997834268259</v>
      </c>
      <c r="AY260" s="951">
        <v>-14.999997834268259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5"/>
      <c r="M261" s="946"/>
      <c r="N261" s="943"/>
      <c r="O261" s="944"/>
      <c r="Q261" s="162" t="str">
        <f t="shared" si="1095"/>
        <v/>
      </c>
      <c r="R261" s="162" t="str">
        <f t="shared" si="1096"/>
        <v/>
      </c>
      <c r="S261" s="162" t="str">
        <f t="shared" si="1097"/>
        <v/>
      </c>
      <c r="T261" s="162" t="str">
        <f t="shared" si="1098"/>
        <v/>
      </c>
      <c r="U261" s="162" t="str">
        <f t="shared" si="1099"/>
        <v/>
      </c>
      <c r="V261" s="162" t="str">
        <f t="shared" si="110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101"/>
        <v/>
      </c>
      <c r="Y261" s="162"/>
      <c r="Z261" s="917" t="str">
        <f t="shared" si="1102"/>
        <v/>
      </c>
      <c r="AA261" s="82"/>
      <c r="AB261" s="75"/>
      <c r="AC261" s="75"/>
      <c r="AD261" s="166"/>
      <c r="AE261" s="75">
        <v>5.1429999999999998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5.1432099999999998</v>
      </c>
      <c r="AK261" s="82">
        <v>5.1431100000000001</v>
      </c>
      <c r="AL261" s="162">
        <v>0</v>
      </c>
      <c r="AM261" s="162">
        <v>0</v>
      </c>
      <c r="AN261" s="162">
        <v>0</v>
      </c>
      <c r="AO261" s="162">
        <v>-84.999987727520178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51">
        <v>0</v>
      </c>
      <c r="AX261" s="951">
        <v>84.999987727520178</v>
      </c>
      <c r="AY261" s="951">
        <v>-84.999987727520178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5"/>
      <c r="M262" s="946"/>
      <c r="N262" s="943"/>
      <c r="O262" s="944"/>
      <c r="Q262" s="162" t="str">
        <f t="shared" si="1095"/>
        <v/>
      </c>
      <c r="R262" s="162" t="str">
        <f t="shared" si="1096"/>
        <v/>
      </c>
      <c r="S262" s="162" t="str">
        <f t="shared" si="1097"/>
        <v/>
      </c>
      <c r="T262" s="162" t="str">
        <f t="shared" si="1098"/>
        <v/>
      </c>
      <c r="U262" s="162" t="str">
        <f t="shared" si="1099"/>
        <v/>
      </c>
      <c r="V262" s="162" t="str">
        <f t="shared" si="110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101"/>
        <v/>
      </c>
      <c r="Y262" s="162"/>
      <c r="Z262" s="917" t="str">
        <f t="shared" si="1102"/>
        <v/>
      </c>
      <c r="AA262" s="82"/>
      <c r="AB262" s="75"/>
      <c r="AC262" s="75"/>
      <c r="AD262" s="166"/>
      <c r="AE262" s="75">
        <v>5.1369999999999996</v>
      </c>
      <c r="AF262" s="82">
        <v>5</v>
      </c>
      <c r="AG262" s="82">
        <v>1</v>
      </c>
      <c r="AH262" s="82">
        <v>2</v>
      </c>
      <c r="AI262" s="82">
        <v>0.99999999998544808</v>
      </c>
      <c r="AJ262" s="166">
        <v>5.1372099999999996</v>
      </c>
      <c r="AK262" s="82">
        <v>5.1371099999999998</v>
      </c>
      <c r="AL262" s="162">
        <v>0</v>
      </c>
      <c r="AM262" s="162">
        <v>0</v>
      </c>
      <c r="AN262" s="162">
        <v>0</v>
      </c>
      <c r="AO262" s="162">
        <v>-74.999989171341326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51">
        <v>0</v>
      </c>
      <c r="AX262" s="951">
        <v>74.999989171341326</v>
      </c>
      <c r="AY262" s="951">
        <v>-74.999989171341326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5"/>
      <c r="M263" s="946"/>
      <c r="N263" s="943"/>
      <c r="O263" s="944"/>
      <c r="Q263" s="162" t="str">
        <f t="shared" si="1095"/>
        <v/>
      </c>
      <c r="R263" s="162" t="str">
        <f t="shared" si="1096"/>
        <v/>
      </c>
      <c r="S263" s="162" t="str">
        <f t="shared" si="1097"/>
        <v/>
      </c>
      <c r="T263" s="162" t="str">
        <f t="shared" si="1098"/>
        <v/>
      </c>
      <c r="U263" s="162" t="str">
        <f t="shared" si="1099"/>
        <v/>
      </c>
      <c r="V263" s="162" t="str">
        <f t="shared" si="110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101"/>
        <v/>
      </c>
      <c r="Y263" s="162"/>
      <c r="Z263" s="917" t="str">
        <f t="shared" si="1102"/>
        <v/>
      </c>
      <c r="AA263" s="82"/>
      <c r="AB263" s="75"/>
      <c r="AC263" s="75"/>
      <c r="AD263" s="166"/>
      <c r="AE263" s="75">
        <v>5.1310000000000002</v>
      </c>
      <c r="AF263" s="82">
        <v>5</v>
      </c>
      <c r="AG263" s="82">
        <v>1</v>
      </c>
      <c r="AH263" s="82">
        <v>2</v>
      </c>
      <c r="AI263" s="82">
        <v>1.0000000000582077</v>
      </c>
      <c r="AJ263" s="166">
        <v>5.1312100000000003</v>
      </c>
      <c r="AK263" s="82">
        <v>5.1311100000000005</v>
      </c>
      <c r="AL263" s="162">
        <v>0</v>
      </c>
      <c r="AM263" s="162">
        <v>0</v>
      </c>
      <c r="AN263" s="162">
        <v>0</v>
      </c>
      <c r="AO263" s="162">
        <v>-59.999991337073098</v>
      </c>
      <c r="AP263" s="162">
        <v>0</v>
      </c>
      <c r="AQ263" s="162">
        <v>0</v>
      </c>
      <c r="AR263" s="710" t="str">
        <v>1613.par</v>
      </c>
      <c r="AV263" s="82" t="str">
        <v>0,102,204</v>
      </c>
      <c r="AW263" s="951">
        <v>0</v>
      </c>
      <c r="AX263" s="951">
        <v>59.999991337073098</v>
      </c>
      <c r="AY263" s="951">
        <v>-59.999991337073098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5"/>
      <c r="M264" s="946"/>
      <c r="N264" s="943"/>
      <c r="O264" s="944"/>
      <c r="Q264" s="162" t="str">
        <f t="shared" si="1095"/>
        <v/>
      </c>
      <c r="R264" s="162" t="str">
        <f t="shared" si="1096"/>
        <v/>
      </c>
      <c r="S264" s="162" t="str">
        <f t="shared" si="1097"/>
        <v/>
      </c>
      <c r="T264" s="162" t="str">
        <f t="shared" si="1098"/>
        <v/>
      </c>
      <c r="U264" s="162" t="str">
        <f t="shared" si="1099"/>
        <v/>
      </c>
      <c r="V264" s="162" t="str">
        <f t="shared" si="110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101"/>
        <v/>
      </c>
      <c r="Y264" s="162"/>
      <c r="Z264" s="917" t="str">
        <f t="shared" si="1102"/>
        <v/>
      </c>
      <c r="AA264" s="82"/>
      <c r="AB264" s="75"/>
      <c r="AC264" s="75"/>
      <c r="AD264" s="166"/>
      <c r="AE264" s="75">
        <v>5.125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5.12521</v>
      </c>
      <c r="AK264" s="82">
        <v>5.1251100000000003</v>
      </c>
      <c r="AL264" s="162">
        <v>0</v>
      </c>
      <c r="AM264" s="162">
        <v>0</v>
      </c>
      <c r="AN264" s="162">
        <v>0</v>
      </c>
      <c r="AO264" s="162">
        <v>-44.999993502804777</v>
      </c>
      <c r="AP264" s="162">
        <v>0</v>
      </c>
      <c r="AQ264" s="162">
        <v>0</v>
      </c>
      <c r="AR264" s="710" t="str">
        <v>1613.par</v>
      </c>
      <c r="AV264" s="82" t="str">
        <v>0,102,204</v>
      </c>
      <c r="AW264" s="951">
        <v>0</v>
      </c>
      <c r="AX264" s="951">
        <v>44.999993502804777</v>
      </c>
      <c r="AY264" s="951">
        <v>-44.999993502804777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5"/>
      <c r="M265" s="946"/>
      <c r="N265" s="943"/>
      <c r="O265" s="944"/>
      <c r="Q265" s="162" t="str">
        <f t="shared" si="1095"/>
        <v/>
      </c>
      <c r="R265" s="162" t="str">
        <f t="shared" si="1096"/>
        <v/>
      </c>
      <c r="S265" s="162" t="str">
        <f t="shared" si="1097"/>
        <v/>
      </c>
      <c r="T265" s="162" t="str">
        <f t="shared" si="1098"/>
        <v/>
      </c>
      <c r="U265" s="162" t="str">
        <f t="shared" si="1099"/>
        <v/>
      </c>
      <c r="V265" s="162" t="str">
        <f t="shared" si="110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101"/>
        <v/>
      </c>
      <c r="Y265" s="162"/>
      <c r="Z265" s="917" t="str">
        <f t="shared" si="1102"/>
        <v/>
      </c>
      <c r="AA265" s="82"/>
      <c r="AB265" s="75"/>
      <c r="AC265" s="75"/>
      <c r="AD265" s="166"/>
      <c r="AE265" s="75">
        <v>5.1189999999999998</v>
      </c>
      <c r="AF265" s="82">
        <v>5</v>
      </c>
      <c r="AG265" s="82">
        <v>1</v>
      </c>
      <c r="AH265" s="82">
        <v>2</v>
      </c>
      <c r="AI265" s="82">
        <v>0.99999999998544808</v>
      </c>
      <c r="AJ265" s="166">
        <v>5.1192099999999998</v>
      </c>
      <c r="AK265" s="82">
        <v>5.11911</v>
      </c>
      <c r="AL265" s="162">
        <v>0</v>
      </c>
      <c r="AM265" s="162">
        <v>0</v>
      </c>
      <c r="AN265" s="162">
        <v>0</v>
      </c>
      <c r="AO265" s="162">
        <v>-29.999995668536499</v>
      </c>
      <c r="AP265" s="162">
        <v>0</v>
      </c>
      <c r="AQ265" s="162">
        <v>0</v>
      </c>
      <c r="AR265" s="710" t="str">
        <v>1613.par</v>
      </c>
      <c r="AV265" s="82" t="str">
        <v>0,102,204</v>
      </c>
      <c r="AW265" s="951">
        <v>0</v>
      </c>
      <c r="AX265" s="951">
        <v>29.999995668536499</v>
      </c>
      <c r="AY265" s="951">
        <v>-29.999995668536499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5"/>
      <c r="M266" s="946"/>
      <c r="N266" s="943"/>
      <c r="O266" s="944"/>
      <c r="Q266" s="162" t="str">
        <f t="shared" si="1095"/>
        <v/>
      </c>
      <c r="R266" s="162" t="str">
        <f t="shared" si="1096"/>
        <v/>
      </c>
      <c r="S266" s="162" t="str">
        <f t="shared" si="1097"/>
        <v/>
      </c>
      <c r="T266" s="162" t="str">
        <f t="shared" si="1098"/>
        <v/>
      </c>
      <c r="U266" s="162" t="str">
        <f t="shared" si="1099"/>
        <v/>
      </c>
      <c r="V266" s="162" t="str">
        <f t="shared" si="110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101"/>
        <v/>
      </c>
      <c r="Y266" s="162"/>
      <c r="Z266" s="917" t="str">
        <f t="shared" si="1102"/>
        <v/>
      </c>
      <c r="AA266" s="82"/>
      <c r="AB266" s="75"/>
      <c r="AC266" s="75"/>
      <c r="AD266" s="166"/>
      <c r="AE266" s="75">
        <v>5.1130000000000004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5.1132100000000005</v>
      </c>
      <c r="AK266" s="82">
        <v>5.1131100000000007</v>
      </c>
      <c r="AL266" s="162">
        <v>0</v>
      </c>
      <c r="AM266" s="162">
        <v>0</v>
      </c>
      <c r="AN266" s="162">
        <v>0</v>
      </c>
      <c r="AO266" s="162">
        <v>-14.999997834268246</v>
      </c>
      <c r="AP266" s="162">
        <v>0</v>
      </c>
      <c r="AQ266" s="162">
        <v>0</v>
      </c>
      <c r="AR266" s="710" t="str">
        <v>1613.par</v>
      </c>
      <c r="AV266" s="82" t="str">
        <v>0,102,204</v>
      </c>
      <c r="AW266" s="951">
        <v>0</v>
      </c>
      <c r="AX266" s="951">
        <v>14.999997834268246</v>
      </c>
      <c r="AY266" s="951">
        <v>-14.999997834268246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5"/>
      <c r="M267" s="946"/>
      <c r="N267" s="943"/>
      <c r="O267" s="944"/>
      <c r="Q267" s="162" t="str">
        <f t="shared" si="1095"/>
        <v/>
      </c>
      <c r="R267" s="162" t="str">
        <f t="shared" si="1096"/>
        <v/>
      </c>
      <c r="S267" s="162" t="str">
        <f t="shared" si="1097"/>
        <v/>
      </c>
      <c r="T267" s="162" t="str">
        <f t="shared" si="1098"/>
        <v/>
      </c>
      <c r="U267" s="162" t="str">
        <f t="shared" si="1099"/>
        <v/>
      </c>
      <c r="V267" s="162" t="str">
        <f t="shared" si="110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101"/>
        <v/>
      </c>
      <c r="Y267" s="162"/>
      <c r="Z267" s="917" t="str">
        <f t="shared" si="1102"/>
        <v/>
      </c>
      <c r="AA267" s="82"/>
      <c r="AB267" s="75"/>
      <c r="AC267" s="75"/>
      <c r="AD267" s="166"/>
      <c r="AE267" s="75">
        <v>5.1079999999999997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5.1082099999999997</v>
      </c>
      <c r="AK267" s="82">
        <v>5.1081099999999999</v>
      </c>
      <c r="AL267" s="162">
        <v>0</v>
      </c>
      <c r="AM267" s="162">
        <v>0</v>
      </c>
      <c r="AN267" s="162">
        <v>0</v>
      </c>
      <c r="AO267" s="162">
        <v>-2.4999996390447317</v>
      </c>
      <c r="AP267" s="162">
        <v>0</v>
      </c>
      <c r="AQ267" s="162">
        <v>0</v>
      </c>
      <c r="AR267" s="710" t="str">
        <v>1613.par</v>
      </c>
      <c r="AV267" s="82" t="str">
        <v>0,102,204</v>
      </c>
      <c r="AW267" s="951">
        <v>0</v>
      </c>
      <c r="AX267" s="951">
        <v>2.4999996390447317</v>
      </c>
      <c r="AY267" s="951">
        <v>-2.4999996390447317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5"/>
      <c r="M268" s="946"/>
      <c r="N268" s="943"/>
      <c r="O268" s="944"/>
      <c r="Q268" s="162" t="str">
        <f t="shared" si="1095"/>
        <v/>
      </c>
      <c r="R268" s="162" t="str">
        <f t="shared" si="1096"/>
        <v/>
      </c>
      <c r="S268" s="162" t="str">
        <f t="shared" si="1097"/>
        <v/>
      </c>
      <c r="T268" s="162" t="str">
        <f t="shared" si="1098"/>
        <v/>
      </c>
      <c r="U268" s="162" t="str">
        <f t="shared" si="1099"/>
        <v/>
      </c>
      <c r="V268" s="162" t="str">
        <f t="shared" si="110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101"/>
        <v/>
      </c>
      <c r="Y268" s="162"/>
      <c r="Z268" s="917" t="str">
        <f t="shared" si="1102"/>
        <v/>
      </c>
      <c r="AA268" s="82"/>
      <c r="AB268" s="75"/>
      <c r="AC268" s="75"/>
      <c r="AD268" s="166"/>
      <c r="AE268" s="75">
        <v>5.1050000000000004</v>
      </c>
      <c r="AF268" s="82">
        <v>5</v>
      </c>
      <c r="AG268" s="82">
        <v>1</v>
      </c>
      <c r="AH268" s="82">
        <v>2</v>
      </c>
      <c r="AI268" s="82">
        <v>1.0000000000582077</v>
      </c>
      <c r="AJ268" s="166">
        <v>5.1052100000000005</v>
      </c>
      <c r="AK268" s="82">
        <v>5.1051100000000007</v>
      </c>
      <c r="AL268" s="162">
        <v>0</v>
      </c>
      <c r="AM268" s="162">
        <v>0</v>
      </c>
      <c r="AN268" s="162">
        <v>0</v>
      </c>
      <c r="AO268" s="162">
        <v>1.9999997112357779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51">
        <v>0</v>
      </c>
      <c r="AX268" s="951">
        <v>-1.9999997112357779</v>
      </c>
      <c r="AY268" s="951">
        <v>1.9999997112357779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5"/>
      <c r="M269" s="946"/>
      <c r="N269" s="943"/>
      <c r="O269" s="944"/>
      <c r="Q269" s="162" t="str">
        <f t="shared" si="1095"/>
        <v/>
      </c>
      <c r="R269" s="162" t="str">
        <f t="shared" si="1096"/>
        <v/>
      </c>
      <c r="S269" s="162" t="str">
        <f t="shared" si="1097"/>
        <v/>
      </c>
      <c r="T269" s="162" t="str">
        <f t="shared" si="1098"/>
        <v/>
      </c>
      <c r="U269" s="162" t="str">
        <f t="shared" si="1099"/>
        <v/>
      </c>
      <c r="V269" s="162" t="str">
        <f t="shared" si="110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101"/>
        <v/>
      </c>
      <c r="Y269" s="162"/>
      <c r="Z269" s="917" t="str">
        <f t="shared" si="1102"/>
        <v/>
      </c>
      <c r="AA269" s="82"/>
      <c r="AB269" s="75"/>
      <c r="AC269" s="75"/>
      <c r="AD269" s="166"/>
      <c r="AE269" s="75">
        <v>5.1020000000000003</v>
      </c>
      <c r="AF269" s="82">
        <v>5</v>
      </c>
      <c r="AG269" s="82">
        <v>1</v>
      </c>
      <c r="AH269" s="82">
        <v>2</v>
      </c>
      <c r="AI269" s="82">
        <v>1.0000000000582077</v>
      </c>
      <c r="AJ269" s="166">
        <v>5.1022100000000004</v>
      </c>
      <c r="AK269" s="82">
        <v>5.1021100000000006</v>
      </c>
      <c r="AL269" s="162">
        <v>0</v>
      </c>
      <c r="AM269" s="162">
        <v>0</v>
      </c>
      <c r="AN269" s="162">
        <v>0</v>
      </c>
      <c r="AO269" s="162">
        <v>5.9999991337073002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51">
        <v>0</v>
      </c>
      <c r="AX269" s="951">
        <v>-5.9999991337073002</v>
      </c>
      <c r="AY269" s="951">
        <v>5.9999991337073002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5"/>
      <c r="M270" s="946"/>
      <c r="N270" s="943"/>
      <c r="O270" s="944"/>
      <c r="Q270" s="162" t="str">
        <f t="shared" si="1095"/>
        <v/>
      </c>
      <c r="R270" s="162" t="str">
        <f t="shared" si="1096"/>
        <v/>
      </c>
      <c r="S270" s="162" t="str">
        <f t="shared" si="1097"/>
        <v/>
      </c>
      <c r="T270" s="162" t="str">
        <f t="shared" si="1098"/>
        <v/>
      </c>
      <c r="U270" s="162" t="str">
        <f t="shared" si="1099"/>
        <v/>
      </c>
      <c r="V270" s="162" t="str">
        <f t="shared" si="110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101"/>
        <v/>
      </c>
      <c r="Y270" s="162"/>
      <c r="Z270" s="917" t="str">
        <f t="shared" si="1102"/>
        <v/>
      </c>
      <c r="AA270" s="82"/>
      <c r="AB270" s="75"/>
      <c r="AC270" s="75"/>
      <c r="AD270" s="166"/>
      <c r="AE270" s="75">
        <v>4.2439999999999998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4.2442099999999998</v>
      </c>
      <c r="AK270" s="82">
        <v>4.24411</v>
      </c>
      <c r="AL270" s="162">
        <v>0</v>
      </c>
      <c r="AM270" s="162">
        <v>0</v>
      </c>
      <c r="AN270" s="162">
        <v>0</v>
      </c>
      <c r="AO270" s="162">
        <v>-85.029987723188711</v>
      </c>
      <c r="AP270" s="162">
        <v>0</v>
      </c>
      <c r="AQ270" s="162">
        <v>0</v>
      </c>
      <c r="AR270" s="710" t="str">
        <v>1613.par</v>
      </c>
      <c r="AV270" s="82" t="str">
        <v>91,255,255</v>
      </c>
      <c r="AW270" s="951">
        <v>0</v>
      </c>
      <c r="AX270" s="951">
        <v>85.029987723188711</v>
      </c>
      <c r="AY270" s="951">
        <v>-85.029987723188711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5"/>
      <c r="M271" s="946"/>
      <c r="N271" s="943"/>
      <c r="O271" s="944"/>
      <c r="Q271" s="162" t="str">
        <f t="shared" si="1095"/>
        <v/>
      </c>
      <c r="R271" s="162" t="str">
        <f t="shared" si="1096"/>
        <v/>
      </c>
      <c r="S271" s="162" t="str">
        <f t="shared" si="1097"/>
        <v/>
      </c>
      <c r="T271" s="162" t="str">
        <f t="shared" si="1098"/>
        <v/>
      </c>
      <c r="U271" s="162" t="str">
        <f t="shared" si="1099"/>
        <v/>
      </c>
      <c r="V271" s="162" t="str">
        <f t="shared" si="110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101"/>
        <v/>
      </c>
      <c r="Y271" s="162"/>
      <c r="Z271" s="917" t="str">
        <f t="shared" si="1102"/>
        <v/>
      </c>
      <c r="AA271" s="82"/>
      <c r="AB271" s="75"/>
      <c r="AC271" s="75"/>
      <c r="AD271" s="166"/>
      <c r="AE271" s="75">
        <v>4.2380000000000004</v>
      </c>
      <c r="AF271" s="82">
        <v>4</v>
      </c>
      <c r="AG271" s="82">
        <v>2</v>
      </c>
      <c r="AH271" s="82">
        <v>2</v>
      </c>
      <c r="AI271" s="82">
        <v>1.0000000000582077</v>
      </c>
      <c r="AJ271" s="166">
        <v>4.2382100000000005</v>
      </c>
      <c r="AK271" s="82">
        <v>4.2381100000000007</v>
      </c>
      <c r="AL271" s="162">
        <v>0</v>
      </c>
      <c r="AM271" s="162">
        <v>0</v>
      </c>
      <c r="AN271" s="162">
        <v>0</v>
      </c>
      <c r="AO271" s="162">
        <v>-81.919988172217103</v>
      </c>
      <c r="AP271" s="162">
        <v>0</v>
      </c>
      <c r="AQ271" s="162">
        <v>0</v>
      </c>
      <c r="AR271" s="710" t="str">
        <v>1613.par</v>
      </c>
      <c r="AV271" s="82" t="str">
        <v>91,255,255</v>
      </c>
      <c r="AW271" s="951">
        <v>0</v>
      </c>
      <c r="AX271" s="951">
        <v>81.919988172217103</v>
      </c>
      <c r="AY271" s="951">
        <v>-81.919988172217103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5"/>
      <c r="M272" s="946"/>
      <c r="N272" s="943"/>
      <c r="O272" s="944"/>
      <c r="Q272" s="162" t="str">
        <f t="shared" si="1095"/>
        <v/>
      </c>
      <c r="R272" s="162" t="str">
        <f t="shared" si="1096"/>
        <v/>
      </c>
      <c r="S272" s="162" t="str">
        <f t="shared" si="1097"/>
        <v/>
      </c>
      <c r="T272" s="162" t="str">
        <f t="shared" si="1098"/>
        <v/>
      </c>
      <c r="U272" s="162" t="str">
        <f t="shared" si="1099"/>
        <v/>
      </c>
      <c r="V272" s="162" t="str">
        <f t="shared" si="110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1"/>
        <v/>
      </c>
      <c r="Y272" s="162"/>
      <c r="Z272" s="917" t="str">
        <f t="shared" si="1102"/>
        <v/>
      </c>
      <c r="AA272" s="82"/>
      <c r="AB272" s="75"/>
      <c r="AC272" s="75"/>
      <c r="AD272" s="166"/>
      <c r="AE272" s="75">
        <v>4.2320000000000002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4.2322100000000002</v>
      </c>
      <c r="AK272" s="82">
        <v>4.2321100000000005</v>
      </c>
      <c r="AL272" s="162">
        <v>0</v>
      </c>
      <c r="AM272" s="162">
        <v>0</v>
      </c>
      <c r="AN272" s="162">
        <v>0</v>
      </c>
      <c r="AO272" s="162">
        <v>-65.089990602168101</v>
      </c>
      <c r="AP272" s="162">
        <v>0</v>
      </c>
      <c r="AQ272" s="162">
        <v>0</v>
      </c>
      <c r="AR272" s="710" t="str">
        <v>1313.par</v>
      </c>
      <c r="AV272" s="82" t="str">
        <v>91,255,255</v>
      </c>
      <c r="AW272" s="951">
        <v>0</v>
      </c>
      <c r="AX272" s="951">
        <v>65.089990602168101</v>
      </c>
      <c r="AY272" s="951">
        <v>-65.089990602168101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5"/>
      <c r="M273" s="946"/>
      <c r="N273" s="943"/>
      <c r="O273" s="944"/>
      <c r="Q273" s="162" t="str">
        <f t="shared" si="1095"/>
        <v/>
      </c>
      <c r="R273" s="162" t="str">
        <f t="shared" si="1096"/>
        <v/>
      </c>
      <c r="S273" s="162" t="str">
        <f t="shared" si="1097"/>
        <v/>
      </c>
      <c r="T273" s="162" t="str">
        <f t="shared" si="1098"/>
        <v/>
      </c>
      <c r="U273" s="162" t="str">
        <f t="shared" si="1099"/>
        <v/>
      </c>
      <c r="V273" s="162" t="str">
        <f t="shared" si="110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1"/>
        <v/>
      </c>
      <c r="Y273" s="162"/>
      <c r="Z273" s="917" t="str">
        <f t="shared" si="1102"/>
        <v/>
      </c>
      <c r="AA273" s="82"/>
      <c r="AB273" s="75"/>
      <c r="AC273" s="75"/>
      <c r="AD273" s="166"/>
      <c r="AE273" s="75">
        <v>4.226</v>
      </c>
      <c r="AF273" s="82">
        <v>4</v>
      </c>
      <c r="AG273" s="82">
        <v>2</v>
      </c>
      <c r="AH273" s="82">
        <v>2</v>
      </c>
      <c r="AI273" s="82">
        <v>0.99999999998544808</v>
      </c>
      <c r="AJ273" s="166">
        <v>4.22621</v>
      </c>
      <c r="AK273" s="82">
        <v>4.2261100000000003</v>
      </c>
      <c r="AL273" s="162">
        <v>0</v>
      </c>
      <c r="AM273" s="162">
        <v>0</v>
      </c>
      <c r="AN273" s="162">
        <v>0</v>
      </c>
      <c r="AO273" s="162">
        <v>-47.49999314184948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51">
        <v>0</v>
      </c>
      <c r="AX273" s="951">
        <v>47.49999314184948</v>
      </c>
      <c r="AY273" s="951">
        <v>-47.49999314184948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5"/>
      <c r="M274" s="946"/>
      <c r="N274" s="943"/>
      <c r="O274" s="944"/>
      <c r="Q274" s="162" t="str">
        <f t="shared" si="1095"/>
        <v/>
      </c>
      <c r="R274" s="162" t="str">
        <f t="shared" si="1096"/>
        <v/>
      </c>
      <c r="S274" s="162" t="str">
        <f t="shared" si="1097"/>
        <v/>
      </c>
      <c r="T274" s="162" t="str">
        <f t="shared" si="1098"/>
        <v/>
      </c>
      <c r="U274" s="162" t="str">
        <f t="shared" si="1099"/>
        <v/>
      </c>
      <c r="V274" s="162" t="str">
        <f t="shared" si="1100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1"/>
        <v/>
      </c>
      <c r="Y274" s="162"/>
      <c r="Z274" s="917" t="str">
        <f t="shared" si="1102"/>
        <v/>
      </c>
      <c r="AA274" s="82"/>
      <c r="AB274" s="75"/>
      <c r="AC274" s="75"/>
      <c r="AD274" s="166"/>
      <c r="AE274" s="75">
        <v>4.22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4.2202099999999998</v>
      </c>
      <c r="AK274" s="82">
        <v>4.22011</v>
      </c>
      <c r="AL274" s="162">
        <v>0</v>
      </c>
      <c r="AM274" s="162">
        <v>0</v>
      </c>
      <c r="AN274" s="162">
        <v>0</v>
      </c>
      <c r="AO274" s="162">
        <v>-32.499995307581187</v>
      </c>
      <c r="AP274" s="162">
        <v>0</v>
      </c>
      <c r="AQ274" s="162">
        <v>0</v>
      </c>
      <c r="AR274" s="710" t="str">
        <v>1313.par</v>
      </c>
      <c r="AV274" s="82" t="str">
        <v>91,255,255</v>
      </c>
      <c r="AW274" s="951">
        <v>0</v>
      </c>
      <c r="AX274" s="951">
        <v>32.499995307581187</v>
      </c>
      <c r="AY274" s="951">
        <v>-32.499995307581187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5"/>
      <c r="M275" s="946"/>
      <c r="N275" s="943"/>
      <c r="O275" s="944"/>
      <c r="Q275" s="162" t="str">
        <f t="shared" si="1095"/>
        <v/>
      </c>
      <c r="R275" s="162" t="str">
        <f t="shared" si="1096"/>
        <v/>
      </c>
      <c r="S275" s="162" t="str">
        <f t="shared" si="1097"/>
        <v/>
      </c>
      <c r="T275" s="162" t="str">
        <f t="shared" si="1098"/>
        <v/>
      </c>
      <c r="U275" s="162" t="str">
        <f t="shared" si="1099"/>
        <v/>
      </c>
      <c r="V275" s="162" t="str">
        <f t="shared" si="110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1"/>
        <v/>
      </c>
      <c r="Y275" s="162"/>
      <c r="Z275" s="917" t="str">
        <f t="shared" si="1102"/>
        <v/>
      </c>
      <c r="AA275" s="82"/>
      <c r="AB275" s="75"/>
      <c r="AC275" s="75"/>
      <c r="AD275" s="166"/>
      <c r="AE275" s="75">
        <v>4.1440000000000001</v>
      </c>
      <c r="AF275" s="82">
        <v>4</v>
      </c>
      <c r="AG275" s="82">
        <v>1</v>
      </c>
      <c r="AH275" s="82">
        <v>2</v>
      </c>
      <c r="AI275" s="82">
        <v>0.99999999998544808</v>
      </c>
      <c r="AJ275" s="166">
        <v>4.1442100000000002</v>
      </c>
      <c r="AK275" s="82">
        <v>4.1441100000000004</v>
      </c>
      <c r="AL275" s="162">
        <v>0</v>
      </c>
      <c r="AM275" s="162">
        <v>0</v>
      </c>
      <c r="AN275" s="162">
        <v>0</v>
      </c>
      <c r="AO275" s="162">
        <v>-84.999987727520178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51">
        <v>0</v>
      </c>
      <c r="AX275" s="951">
        <v>84.999987727520178</v>
      </c>
      <c r="AY275" s="951">
        <v>-84.999987727520178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5"/>
      <c r="M276" s="946"/>
      <c r="N276" s="943"/>
      <c r="O276" s="944"/>
      <c r="Q276" s="162" t="str">
        <f t="shared" si="1095"/>
        <v/>
      </c>
      <c r="R276" s="162" t="str">
        <f t="shared" si="1096"/>
        <v/>
      </c>
      <c r="S276" s="162" t="str">
        <f t="shared" si="1097"/>
        <v/>
      </c>
      <c r="T276" s="162" t="str">
        <f t="shared" si="1098"/>
        <v/>
      </c>
      <c r="U276" s="162" t="str">
        <f t="shared" si="1099"/>
        <v/>
      </c>
      <c r="V276" s="162" t="str">
        <f t="shared" si="110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1"/>
        <v/>
      </c>
      <c r="Y276" s="162"/>
      <c r="Z276" s="917" t="str">
        <f t="shared" si="1102"/>
        <v/>
      </c>
      <c r="AA276" s="82"/>
      <c r="AB276" s="75"/>
      <c r="AC276" s="75"/>
      <c r="AD276" s="166"/>
      <c r="AE276" s="75">
        <v>4.1379999999999999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4.1382099999999999</v>
      </c>
      <c r="AK276" s="82">
        <v>4.1381100000000002</v>
      </c>
      <c r="AL276" s="162">
        <v>0</v>
      </c>
      <c r="AM276" s="162">
        <v>0</v>
      </c>
      <c r="AN276" s="162">
        <v>0</v>
      </c>
      <c r="AO276" s="162">
        <v>-77.499988810386057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51">
        <v>0</v>
      </c>
      <c r="AX276" s="951">
        <v>77.499988810386057</v>
      </c>
      <c r="AY276" s="951">
        <v>-77.499988810386057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5"/>
      <c r="M277" s="946"/>
      <c r="N277" s="943"/>
      <c r="O277" s="944"/>
      <c r="Q277" s="162" t="str">
        <f t="shared" si="1095"/>
        <v/>
      </c>
      <c r="R277" s="162" t="str">
        <f t="shared" si="1096"/>
        <v/>
      </c>
      <c r="S277" s="162" t="str">
        <f t="shared" si="1097"/>
        <v/>
      </c>
      <c r="T277" s="162" t="str">
        <f t="shared" si="1098"/>
        <v/>
      </c>
      <c r="U277" s="162" t="str">
        <f t="shared" si="1099"/>
        <v/>
      </c>
      <c r="V277" s="162" t="str">
        <f t="shared" si="110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1"/>
        <v/>
      </c>
      <c r="Y277" s="162"/>
      <c r="Z277" s="917" t="str">
        <f t="shared" si="1102"/>
        <v/>
      </c>
      <c r="AA277" s="82"/>
      <c r="AB277" s="75"/>
      <c r="AC277" s="75"/>
      <c r="AD277" s="166"/>
      <c r="AE277" s="75">
        <v>4.1319999999999997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4.1322099999999997</v>
      </c>
      <c r="AK277" s="82">
        <v>4.1321099999999999</v>
      </c>
      <c r="AL277" s="162">
        <v>0</v>
      </c>
      <c r="AM277" s="162">
        <v>0</v>
      </c>
      <c r="AN277" s="162">
        <v>0</v>
      </c>
      <c r="AO277" s="162">
        <v>-62.499990976117807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51">
        <v>0</v>
      </c>
      <c r="AX277" s="951">
        <v>62.499990976117807</v>
      </c>
      <c r="AY277" s="951">
        <v>-62.499990976117807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5"/>
      <c r="M278" s="946"/>
      <c r="N278" s="943"/>
      <c r="O278" s="944"/>
      <c r="Q278" s="162" t="str">
        <f t="shared" si="1095"/>
        <v/>
      </c>
      <c r="R278" s="162" t="str">
        <f t="shared" si="1096"/>
        <v/>
      </c>
      <c r="S278" s="162" t="str">
        <f t="shared" si="1097"/>
        <v/>
      </c>
      <c r="T278" s="162" t="str">
        <f t="shared" si="1098"/>
        <v/>
      </c>
      <c r="U278" s="162" t="str">
        <f t="shared" si="1099"/>
        <v/>
      </c>
      <c r="V278" s="162" t="str">
        <f t="shared" si="110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1"/>
        <v/>
      </c>
      <c r="Y278" s="162"/>
      <c r="Z278" s="917" t="str">
        <f t="shared" si="1102"/>
        <v/>
      </c>
      <c r="AA278" s="82"/>
      <c r="AB278" s="75"/>
      <c r="AC278" s="75"/>
      <c r="AD278" s="166"/>
      <c r="AE278" s="75">
        <v>4.1260000000000003</v>
      </c>
      <c r="AF278" s="82">
        <v>4</v>
      </c>
      <c r="AG278" s="82">
        <v>1</v>
      </c>
      <c r="AH278" s="82">
        <v>2</v>
      </c>
      <c r="AI278" s="82">
        <v>1.0000000000582077</v>
      </c>
      <c r="AJ278" s="166">
        <v>4.1262100000000004</v>
      </c>
      <c r="AK278" s="82">
        <v>4.1261100000000006</v>
      </c>
      <c r="AL278" s="162">
        <v>0</v>
      </c>
      <c r="AM278" s="162">
        <v>0</v>
      </c>
      <c r="AN278" s="162">
        <v>0</v>
      </c>
      <c r="AO278" s="162">
        <v>-47.499993141849522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51">
        <v>0</v>
      </c>
      <c r="AX278" s="951">
        <v>47.499993141849522</v>
      </c>
      <c r="AY278" s="951">
        <v>-47.499993141849522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5"/>
      <c r="M279" s="946"/>
      <c r="N279" s="943"/>
      <c r="O279" s="944"/>
      <c r="Q279" s="162" t="str">
        <f t="shared" si="1095"/>
        <v/>
      </c>
      <c r="R279" s="162" t="str">
        <f t="shared" si="1096"/>
        <v/>
      </c>
      <c r="S279" s="162" t="str">
        <f t="shared" si="1097"/>
        <v/>
      </c>
      <c r="T279" s="162" t="str">
        <f t="shared" si="1098"/>
        <v/>
      </c>
      <c r="U279" s="162" t="str">
        <f t="shared" si="1099"/>
        <v/>
      </c>
      <c r="V279" s="162" t="str">
        <f t="shared" si="110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1"/>
        <v/>
      </c>
      <c r="Y279" s="162"/>
      <c r="Z279" s="917" t="str">
        <f t="shared" si="1102"/>
        <v/>
      </c>
      <c r="AA279" s="82"/>
      <c r="AB279" s="75"/>
      <c r="AC279" s="75"/>
      <c r="AD279" s="166"/>
      <c r="AE279" s="75">
        <v>4.12</v>
      </c>
      <c r="AF279" s="82">
        <v>4</v>
      </c>
      <c r="AG279" s="82">
        <v>1</v>
      </c>
      <c r="AH279" s="82">
        <v>2</v>
      </c>
      <c r="AI279" s="82">
        <v>0.99999999998544808</v>
      </c>
      <c r="AJ279" s="166">
        <v>4.1202100000000002</v>
      </c>
      <c r="AK279" s="82">
        <v>4.1201100000000004</v>
      </c>
      <c r="AL279" s="162">
        <v>0</v>
      </c>
      <c r="AM279" s="162">
        <v>0</v>
      </c>
      <c r="AN279" s="162">
        <v>0</v>
      </c>
      <c r="AO279" s="162">
        <v>-32.499995307581308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51">
        <v>0</v>
      </c>
      <c r="AX279" s="951">
        <v>32.499995307581308</v>
      </c>
      <c r="AY279" s="951">
        <v>-32.499995307581308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5"/>
      <c r="M280" s="946"/>
      <c r="N280" s="943"/>
      <c r="O280" s="944"/>
      <c r="Q280" s="162" t="str">
        <f t="shared" si="1095"/>
        <v/>
      </c>
      <c r="R280" s="162" t="str">
        <f t="shared" si="1096"/>
        <v/>
      </c>
      <c r="S280" s="162" t="str">
        <f t="shared" si="1097"/>
        <v/>
      </c>
      <c r="T280" s="162" t="str">
        <f t="shared" si="1098"/>
        <v/>
      </c>
      <c r="U280" s="162" t="str">
        <f t="shared" si="1099"/>
        <v/>
      </c>
      <c r="V280" s="162" t="str">
        <f t="shared" si="110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1"/>
        <v/>
      </c>
      <c r="Y280" s="162"/>
      <c r="Z280" s="917" t="str">
        <f t="shared" si="1102"/>
        <v/>
      </c>
      <c r="AA280" s="82"/>
      <c r="AB280" s="75"/>
      <c r="AC280" s="75"/>
      <c r="AD280" s="166"/>
      <c r="AE280" s="75">
        <v>4.1139999999999999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4.1142099999999999</v>
      </c>
      <c r="AK280" s="82">
        <v>4.1141100000000002</v>
      </c>
      <c r="AL280" s="162">
        <v>0</v>
      </c>
      <c r="AM280" s="162">
        <v>0</v>
      </c>
      <c r="AN280" s="162">
        <v>0</v>
      </c>
      <c r="AO280" s="162">
        <v>-17.499997473312991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51">
        <v>0</v>
      </c>
      <c r="AX280" s="951">
        <v>17.499997473312991</v>
      </c>
      <c r="AY280" s="951">
        <v>-17.499997473312991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5"/>
      <c r="M281" s="946"/>
      <c r="N281" s="943"/>
      <c r="O281" s="944"/>
      <c r="Q281" s="162" t="str">
        <f t="shared" si="1095"/>
        <v/>
      </c>
      <c r="R281" s="162" t="str">
        <f t="shared" si="1096"/>
        <v/>
      </c>
      <c r="S281" s="162" t="str">
        <f t="shared" si="1097"/>
        <v/>
      </c>
      <c r="T281" s="162" t="str">
        <f t="shared" si="1098"/>
        <v/>
      </c>
      <c r="U281" s="162" t="str">
        <f t="shared" si="1099"/>
        <v/>
      </c>
      <c r="V281" s="162" t="str">
        <f t="shared" si="110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1"/>
        <v/>
      </c>
      <c r="Y281" s="162"/>
      <c r="Z281" s="917" t="str">
        <f t="shared" si="1102"/>
        <v/>
      </c>
      <c r="AA281" s="82"/>
      <c r="AB281" s="75"/>
      <c r="AC281" s="75"/>
      <c r="AD281" s="166"/>
      <c r="AE281" s="75">
        <v>3.2450000000000001</v>
      </c>
      <c r="AF281" s="82">
        <v>3</v>
      </c>
      <c r="AG281" s="82">
        <v>2</v>
      </c>
      <c r="AH281" s="82">
        <v>2</v>
      </c>
      <c r="AI281" s="82">
        <v>1.0000000000218279</v>
      </c>
      <c r="AJ281" s="166">
        <v>3.2452100000000002</v>
      </c>
      <c r="AK281" s="82">
        <v>3.2451099999999999</v>
      </c>
      <c r="AL281" s="162">
        <v>0</v>
      </c>
      <c r="AM281" s="162">
        <v>0</v>
      </c>
      <c r="AN281" s="162">
        <v>0</v>
      </c>
      <c r="AO281" s="162">
        <v>-85.029987723188739</v>
      </c>
      <c r="AP281" s="162">
        <v>0</v>
      </c>
      <c r="AQ281" s="162">
        <v>0</v>
      </c>
      <c r="AR281" s="710" t="str">
        <v>1613.par</v>
      </c>
      <c r="AV281" s="82" t="str">
        <v>97,255,97</v>
      </c>
      <c r="AW281" s="951">
        <v>0</v>
      </c>
      <c r="AX281" s="951">
        <v>85.029987723188739</v>
      </c>
      <c r="AY281" s="951">
        <v>-85.029987723188739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5"/>
      <c r="M282" s="946"/>
      <c r="N282" s="943"/>
      <c r="O282" s="944"/>
      <c r="Q282" s="162" t="str">
        <f t="shared" si="1095"/>
        <v/>
      </c>
      <c r="R282" s="162" t="str">
        <f t="shared" si="1096"/>
        <v/>
      </c>
      <c r="S282" s="162" t="str">
        <f t="shared" si="1097"/>
        <v/>
      </c>
      <c r="T282" s="162" t="str">
        <f t="shared" si="1098"/>
        <v/>
      </c>
      <c r="U282" s="162" t="str">
        <f t="shared" si="1099"/>
        <v/>
      </c>
      <c r="V282" s="162" t="str">
        <f t="shared" si="110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1"/>
        <v/>
      </c>
      <c r="Y282" s="162"/>
      <c r="Z282" s="917" t="str">
        <f t="shared" si="1102"/>
        <v/>
      </c>
      <c r="AA282" s="82"/>
      <c r="AB282" s="75"/>
      <c r="AC282" s="75"/>
      <c r="AD282" s="166"/>
      <c r="AE282" s="75">
        <v>3.2389999999999999</v>
      </c>
      <c r="AF282" s="82">
        <v>3</v>
      </c>
      <c r="AG282" s="82">
        <v>2</v>
      </c>
      <c r="AH282" s="82">
        <v>2</v>
      </c>
      <c r="AI282" s="82">
        <v>0.99999999998544808</v>
      </c>
      <c r="AJ282" s="166">
        <v>3.2392099999999999</v>
      </c>
      <c r="AK282" s="82">
        <v>3.2391099999999997</v>
      </c>
      <c r="AL282" s="162">
        <v>0</v>
      </c>
      <c r="AM282" s="162">
        <v>0</v>
      </c>
      <c r="AN282" s="162">
        <v>0</v>
      </c>
      <c r="AO282" s="162">
        <v>-84.709987769390992</v>
      </c>
      <c r="AP282" s="162">
        <v>0</v>
      </c>
      <c r="AQ282" s="162">
        <v>0</v>
      </c>
      <c r="AR282" s="710" t="str">
        <v>1613.par</v>
      </c>
      <c r="AV282" s="82" t="str">
        <v>97,255,97</v>
      </c>
      <c r="AW282" s="951">
        <v>0</v>
      </c>
      <c r="AX282" s="951">
        <v>84.709987769390992</v>
      </c>
      <c r="AY282" s="951">
        <v>-84.709987769390992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5"/>
      <c r="M283" s="946"/>
      <c r="N283" s="943"/>
      <c r="O283" s="944"/>
      <c r="Q283" s="162" t="str">
        <f t="shared" si="1095"/>
        <v/>
      </c>
      <c r="R283" s="162" t="str">
        <f t="shared" si="1096"/>
        <v/>
      </c>
      <c r="S283" s="162" t="str">
        <f t="shared" si="1097"/>
        <v/>
      </c>
      <c r="T283" s="162" t="str">
        <f t="shared" si="1098"/>
        <v/>
      </c>
      <c r="U283" s="162" t="str">
        <f t="shared" si="1099"/>
        <v/>
      </c>
      <c r="V283" s="162" t="str">
        <f t="shared" si="110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1"/>
        <v/>
      </c>
      <c r="Y283" s="162"/>
      <c r="Z283" s="917" t="str">
        <f t="shared" si="1102"/>
        <v/>
      </c>
      <c r="AA283" s="82"/>
      <c r="AB283" s="75"/>
      <c r="AC283" s="75"/>
      <c r="AD283" s="166"/>
      <c r="AE283" s="75">
        <v>3.2330000000000001</v>
      </c>
      <c r="AF283" s="82">
        <v>3</v>
      </c>
      <c r="AG283" s="82">
        <v>2</v>
      </c>
      <c r="AH283" s="82">
        <v>2</v>
      </c>
      <c r="AI283" s="82">
        <v>1.0000000000218279</v>
      </c>
      <c r="AJ283" s="166">
        <v>3.2332100000000001</v>
      </c>
      <c r="AK283" s="82">
        <v>3.2331099999999999</v>
      </c>
      <c r="AL283" s="162">
        <v>0</v>
      </c>
      <c r="AM283" s="162">
        <v>0</v>
      </c>
      <c r="AN283" s="162">
        <v>0</v>
      </c>
      <c r="AO283" s="162">
        <v>-67.869990200785836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51">
        <v>0</v>
      </c>
      <c r="AX283" s="951">
        <v>67.869990200785836</v>
      </c>
      <c r="AY283" s="951">
        <v>-67.869990200785836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5"/>
      <c r="M284" s="946"/>
      <c r="N284" s="943"/>
      <c r="O284" s="944"/>
      <c r="Q284" s="162" t="str">
        <f t="shared" si="1095"/>
        <v/>
      </c>
      <c r="R284" s="162" t="str">
        <f t="shared" si="1096"/>
        <v/>
      </c>
      <c r="S284" s="162" t="str">
        <f t="shared" si="1097"/>
        <v/>
      </c>
      <c r="T284" s="162" t="str">
        <f t="shared" si="1098"/>
        <v/>
      </c>
      <c r="U284" s="162" t="str">
        <f t="shared" si="1099"/>
        <v/>
      </c>
      <c r="V284" s="162" t="str">
        <f t="shared" si="110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1"/>
        <v/>
      </c>
      <c r="Y284" s="162"/>
      <c r="Z284" s="917" t="str">
        <f t="shared" si="1102"/>
        <v/>
      </c>
      <c r="AA284" s="82"/>
      <c r="AB284" s="75"/>
      <c r="AC284" s="75"/>
      <c r="AD284" s="166"/>
      <c r="AE284" s="75">
        <v>3.2269999999999999</v>
      </c>
      <c r="AF284" s="82">
        <v>3</v>
      </c>
      <c r="AG284" s="82">
        <v>2</v>
      </c>
      <c r="AH284" s="82">
        <v>2</v>
      </c>
      <c r="AI284" s="82">
        <v>0.99999999998544808</v>
      </c>
      <c r="AJ284" s="166">
        <v>3.2272099999999999</v>
      </c>
      <c r="AK284" s="82">
        <v>3.2271099999999997</v>
      </c>
      <c r="AL284" s="162">
        <v>0</v>
      </c>
      <c r="AM284" s="162">
        <v>0</v>
      </c>
      <c r="AN284" s="162">
        <v>0</v>
      </c>
      <c r="AO284" s="162">
        <v>-49.999992780894232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51">
        <v>0</v>
      </c>
      <c r="AX284" s="951">
        <v>49.999992780894232</v>
      </c>
      <c r="AY284" s="951">
        <v>-49.999992780894232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5"/>
      <c r="M285" s="946"/>
      <c r="N285" s="943"/>
      <c r="O285" s="944"/>
      <c r="Q285" s="162" t="str">
        <f t="shared" si="1095"/>
        <v/>
      </c>
      <c r="R285" s="162" t="str">
        <f t="shared" si="1096"/>
        <v/>
      </c>
      <c r="S285" s="162" t="str">
        <f t="shared" si="1097"/>
        <v/>
      </c>
      <c r="T285" s="162" t="str">
        <f t="shared" si="1098"/>
        <v/>
      </c>
      <c r="U285" s="162" t="str">
        <f t="shared" si="1099"/>
        <v/>
      </c>
      <c r="V285" s="162" t="str">
        <f t="shared" si="110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1"/>
        <v/>
      </c>
      <c r="Y285" s="162"/>
      <c r="Z285" s="917" t="str">
        <f t="shared" si="1102"/>
        <v/>
      </c>
      <c r="AA285" s="82"/>
      <c r="AB285" s="75"/>
      <c r="AC285" s="75"/>
      <c r="AD285" s="166"/>
      <c r="AE285" s="75">
        <v>3.2210000000000001</v>
      </c>
      <c r="AF285" s="82">
        <v>3</v>
      </c>
      <c r="AG285" s="82">
        <v>2</v>
      </c>
      <c r="AH285" s="82">
        <v>2</v>
      </c>
      <c r="AI285" s="82">
        <v>1.0000000000218279</v>
      </c>
      <c r="AJ285" s="166">
        <v>3.2212100000000001</v>
      </c>
      <c r="AK285" s="82">
        <v>3.2211099999999999</v>
      </c>
      <c r="AL285" s="162">
        <v>0</v>
      </c>
      <c r="AM285" s="162">
        <v>0</v>
      </c>
      <c r="AN285" s="162">
        <v>0</v>
      </c>
      <c r="AO285" s="162">
        <v>-34.999994946626003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51">
        <v>0</v>
      </c>
      <c r="AX285" s="951">
        <v>34.999994946626003</v>
      </c>
      <c r="AY285" s="951">
        <v>-34.999994946626003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5"/>
      <c r="M286" s="946"/>
      <c r="N286" s="943"/>
      <c r="O286" s="944"/>
      <c r="Q286" s="162" t="str">
        <f t="shared" si="1095"/>
        <v/>
      </c>
      <c r="R286" s="162" t="str">
        <f t="shared" si="1096"/>
        <v/>
      </c>
      <c r="S286" s="162" t="str">
        <f t="shared" si="1097"/>
        <v/>
      </c>
      <c r="T286" s="162" t="str">
        <f t="shared" si="1098"/>
        <v/>
      </c>
      <c r="U286" s="162" t="str">
        <f t="shared" si="1099"/>
        <v/>
      </c>
      <c r="V286" s="162" t="str">
        <f t="shared" si="110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1"/>
        <v/>
      </c>
      <c r="Y286" s="162"/>
      <c r="Z286" s="917" t="str">
        <f t="shared" si="1102"/>
        <v/>
      </c>
      <c r="AA286" s="82"/>
      <c r="AB286" s="75"/>
      <c r="AC286" s="75"/>
      <c r="AD286" s="166"/>
      <c r="AE286" s="75">
        <v>3.2149999999999999</v>
      </c>
      <c r="AF286" s="82">
        <v>3</v>
      </c>
      <c r="AG286" s="82">
        <v>2</v>
      </c>
      <c r="AH286" s="82">
        <v>2</v>
      </c>
      <c r="AI286" s="82">
        <v>0.99999999998544808</v>
      </c>
      <c r="AJ286" s="166">
        <v>3.2152099999999999</v>
      </c>
      <c r="AK286" s="82">
        <v>3.2151099999999997</v>
      </c>
      <c r="AL286" s="162">
        <v>0</v>
      </c>
      <c r="AM286" s="162">
        <v>0</v>
      </c>
      <c r="AN286" s="162">
        <v>0</v>
      </c>
      <c r="AO286" s="162">
        <v>-19.999997112357644</v>
      </c>
      <c r="AP286" s="162">
        <v>0</v>
      </c>
      <c r="AQ286" s="162">
        <v>0</v>
      </c>
      <c r="AR286" s="710" t="str">
        <v>1313.par</v>
      </c>
      <c r="AV286" s="82" t="str">
        <v>97,255,97</v>
      </c>
      <c r="AW286" s="951">
        <v>0</v>
      </c>
      <c r="AX286" s="951">
        <v>19.999997112357644</v>
      </c>
      <c r="AY286" s="951">
        <v>-19.999997112357644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5"/>
      <c r="M287" s="946"/>
      <c r="N287" s="943"/>
      <c r="O287" s="944"/>
      <c r="Q287" s="162" t="str">
        <f t="shared" si="1095"/>
        <v/>
      </c>
      <c r="R287" s="162" t="str">
        <f t="shared" si="1096"/>
        <v/>
      </c>
      <c r="S287" s="162" t="str">
        <f t="shared" si="1097"/>
        <v/>
      </c>
      <c r="T287" s="162" t="str">
        <f t="shared" si="1098"/>
        <v/>
      </c>
      <c r="U287" s="162" t="str">
        <f t="shared" si="1099"/>
        <v/>
      </c>
      <c r="V287" s="162" t="str">
        <f t="shared" si="110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1"/>
        <v/>
      </c>
      <c r="Y287" s="162"/>
      <c r="Z287" s="917" t="str">
        <f t="shared" si="1102"/>
        <v/>
      </c>
      <c r="AA287" s="82"/>
      <c r="AB287" s="75"/>
      <c r="AC287" s="75"/>
      <c r="AD287" s="166"/>
      <c r="AE287" s="75">
        <v>3.145</v>
      </c>
      <c r="AF287" s="82">
        <v>3</v>
      </c>
      <c r="AG287" s="82">
        <v>1</v>
      </c>
      <c r="AH287" s="82">
        <v>2</v>
      </c>
      <c r="AI287" s="82">
        <v>1.0000000000218279</v>
      </c>
      <c r="AJ287" s="166">
        <v>3.1452100000000001</v>
      </c>
      <c r="AK287" s="82">
        <v>3.1451099999999999</v>
      </c>
      <c r="AL287" s="162">
        <v>0</v>
      </c>
      <c r="AM287" s="162">
        <v>0</v>
      </c>
      <c r="AN287" s="162">
        <v>0</v>
      </c>
      <c r="AO287" s="162">
        <v>-84.999987727520178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51">
        <v>0</v>
      </c>
      <c r="AX287" s="951">
        <v>84.999987727520178</v>
      </c>
      <c r="AY287" s="951">
        <v>-84.999987727520178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5"/>
      <c r="M288" s="946"/>
      <c r="N288" s="943"/>
      <c r="O288" s="944"/>
      <c r="Q288" s="162" t="str">
        <f t="shared" si="1095"/>
        <v/>
      </c>
      <c r="R288" s="162" t="str">
        <f t="shared" si="1096"/>
        <v/>
      </c>
      <c r="S288" s="162" t="str">
        <f t="shared" si="1097"/>
        <v/>
      </c>
      <c r="T288" s="162" t="str">
        <f t="shared" si="1098"/>
        <v/>
      </c>
      <c r="U288" s="162" t="str">
        <f t="shared" si="1099"/>
        <v/>
      </c>
      <c r="V288" s="162" t="str">
        <f t="shared" si="110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1"/>
        <v/>
      </c>
      <c r="Y288" s="162"/>
      <c r="Z288" s="917" t="str">
        <f t="shared" si="1102"/>
        <v/>
      </c>
      <c r="AA288" s="82"/>
      <c r="AB288" s="75"/>
      <c r="AC288" s="75"/>
      <c r="AD288" s="166"/>
      <c r="AE288" s="75">
        <v>3.1389999999999998</v>
      </c>
      <c r="AF288" s="82">
        <v>3</v>
      </c>
      <c r="AG288" s="82">
        <v>1</v>
      </c>
      <c r="AH288" s="82">
        <v>2</v>
      </c>
      <c r="AI288" s="82">
        <v>0.99999999998544808</v>
      </c>
      <c r="AJ288" s="166">
        <v>3.1392099999999998</v>
      </c>
      <c r="AK288" s="82">
        <v>3.1391099999999996</v>
      </c>
      <c r="AL288" s="162">
        <v>0</v>
      </c>
      <c r="AM288" s="162">
        <v>0</v>
      </c>
      <c r="AN288" s="162">
        <v>0</v>
      </c>
      <c r="AO288" s="162">
        <v>-79.999988449430745</v>
      </c>
      <c r="AP288" s="162">
        <v>0</v>
      </c>
      <c r="AQ288" s="162">
        <v>0</v>
      </c>
      <c r="AR288" s="710" t="str">
        <v>1613.par</v>
      </c>
      <c r="AV288" s="82" t="str">
        <v>0,204,0</v>
      </c>
      <c r="AW288" s="951">
        <v>0</v>
      </c>
      <c r="AX288" s="951">
        <v>79.999988449430745</v>
      </c>
      <c r="AY288" s="951">
        <v>-79.999988449430745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5"/>
      <c r="M289" s="946"/>
      <c r="N289" s="943"/>
      <c r="O289" s="944"/>
      <c r="Q289" s="162" t="str">
        <f t="shared" si="1095"/>
        <v/>
      </c>
      <c r="R289" s="162" t="str">
        <f t="shared" si="1096"/>
        <v/>
      </c>
      <c r="S289" s="162" t="str">
        <f t="shared" si="1097"/>
        <v/>
      </c>
      <c r="T289" s="162" t="str">
        <f t="shared" si="1098"/>
        <v/>
      </c>
      <c r="U289" s="162" t="str">
        <f t="shared" si="1099"/>
        <v/>
      </c>
      <c r="V289" s="162" t="str">
        <f t="shared" si="110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1"/>
        <v/>
      </c>
      <c r="Y289" s="162"/>
      <c r="Z289" s="917" t="str">
        <f t="shared" si="1102"/>
        <v/>
      </c>
      <c r="AA289" s="82"/>
      <c r="AB289" s="75"/>
      <c r="AC289" s="75"/>
      <c r="AD289" s="166"/>
      <c r="AE289" s="75">
        <v>3.133</v>
      </c>
      <c r="AF289" s="82">
        <v>3</v>
      </c>
      <c r="AG289" s="82">
        <v>1</v>
      </c>
      <c r="AH289" s="82">
        <v>2</v>
      </c>
      <c r="AI289" s="82">
        <v>1.0000000000218279</v>
      </c>
      <c r="AJ289" s="166">
        <v>3.1332100000000001</v>
      </c>
      <c r="AK289" s="82">
        <v>3.1331099999999998</v>
      </c>
      <c r="AL289" s="162">
        <v>0</v>
      </c>
      <c r="AM289" s="162">
        <v>0</v>
      </c>
      <c r="AN289" s="162">
        <v>0</v>
      </c>
      <c r="AO289" s="162">
        <v>-64.999990615162503</v>
      </c>
      <c r="AP289" s="162">
        <v>0</v>
      </c>
      <c r="AQ289" s="162">
        <v>0</v>
      </c>
      <c r="AR289" s="710" t="str">
        <v>1613.par</v>
      </c>
      <c r="AV289" s="82" t="str">
        <v>0,204,0</v>
      </c>
      <c r="AW289" s="951">
        <v>0</v>
      </c>
      <c r="AX289" s="951">
        <v>64.999990615162503</v>
      </c>
      <c r="AY289" s="951">
        <v>-64.999990615162503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5"/>
      <c r="M290" s="946"/>
      <c r="N290" s="943"/>
      <c r="O290" s="944"/>
      <c r="Q290" s="162" t="str">
        <f t="shared" si="1095"/>
        <v/>
      </c>
      <c r="R290" s="162" t="str">
        <f t="shared" si="1096"/>
        <v/>
      </c>
      <c r="S290" s="162" t="str">
        <f t="shared" si="1097"/>
        <v/>
      </c>
      <c r="T290" s="162" t="str">
        <f t="shared" si="1098"/>
        <v/>
      </c>
      <c r="U290" s="162" t="str">
        <f t="shared" si="1099"/>
        <v/>
      </c>
      <c r="V290" s="162" t="str">
        <f t="shared" si="110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1"/>
        <v/>
      </c>
      <c r="Y290" s="162"/>
      <c r="Z290" s="917" t="str">
        <f t="shared" si="1102"/>
        <v/>
      </c>
      <c r="AA290" s="82"/>
      <c r="AB290" s="75"/>
      <c r="AC290" s="75"/>
      <c r="AD290" s="166"/>
      <c r="AE290" s="75">
        <v>3.1269999999999998</v>
      </c>
      <c r="AF290" s="82">
        <v>3</v>
      </c>
      <c r="AG290" s="82">
        <v>1</v>
      </c>
      <c r="AH290" s="82">
        <v>2</v>
      </c>
      <c r="AI290" s="82">
        <v>0.99999999998544808</v>
      </c>
      <c r="AJ290" s="166">
        <v>3.1272099999999998</v>
      </c>
      <c r="AK290" s="82">
        <v>3.1271099999999996</v>
      </c>
      <c r="AL290" s="162">
        <v>0</v>
      </c>
      <c r="AM290" s="162">
        <v>0</v>
      </c>
      <c r="AN290" s="162">
        <v>0</v>
      </c>
      <c r="AO290" s="162">
        <v>-49.999992780894218</v>
      </c>
      <c r="AP290" s="162">
        <v>0</v>
      </c>
      <c r="AQ290" s="162">
        <v>0</v>
      </c>
      <c r="AR290" s="710" t="str">
        <v>1613.par</v>
      </c>
      <c r="AV290" s="82" t="str">
        <v>0,204,0</v>
      </c>
      <c r="AW290" s="951">
        <v>0</v>
      </c>
      <c r="AX290" s="951">
        <v>49.999992780894218</v>
      </c>
      <c r="AY290" s="951">
        <v>-49.999992780894218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5"/>
      <c r="M291" s="946"/>
      <c r="N291" s="943"/>
      <c r="O291" s="944"/>
      <c r="Q291" s="162" t="str">
        <f t="shared" si="1095"/>
        <v/>
      </c>
      <c r="R291" s="162" t="str">
        <f t="shared" si="1096"/>
        <v/>
      </c>
      <c r="S291" s="162" t="str">
        <f t="shared" si="1097"/>
        <v/>
      </c>
      <c r="T291" s="162" t="str">
        <f t="shared" si="1098"/>
        <v/>
      </c>
      <c r="U291" s="162" t="str">
        <f t="shared" si="1099"/>
        <v/>
      </c>
      <c r="V291" s="162" t="str">
        <f t="shared" si="110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1"/>
        <v/>
      </c>
      <c r="Y291" s="162"/>
      <c r="Z291" s="917" t="str">
        <f t="shared" si="1102"/>
        <v/>
      </c>
      <c r="AA291" s="82"/>
      <c r="AB291" s="75"/>
      <c r="AC291" s="75"/>
      <c r="AD291" s="166"/>
      <c r="AE291" s="75">
        <v>3.121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3.12121</v>
      </c>
      <c r="AK291" s="82">
        <v>3.1211099999999998</v>
      </c>
      <c r="AL291" s="162">
        <v>0</v>
      </c>
      <c r="AM291" s="162">
        <v>0</v>
      </c>
      <c r="AN291" s="162">
        <v>0</v>
      </c>
      <c r="AO291" s="162">
        <v>-34.999994946626082</v>
      </c>
      <c r="AP291" s="162">
        <v>0</v>
      </c>
      <c r="AQ291" s="162">
        <v>0</v>
      </c>
      <c r="AR291" s="710" t="str">
        <v>1613.par</v>
      </c>
      <c r="AV291" s="82" t="str">
        <v>0,204,0</v>
      </c>
      <c r="AW291" s="951">
        <v>0</v>
      </c>
      <c r="AX291" s="951">
        <v>34.999994946626082</v>
      </c>
      <c r="AY291" s="951">
        <v>-34.999994946626082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5"/>
      <c r="M292" s="946"/>
      <c r="N292" s="943"/>
      <c r="O292" s="944"/>
      <c r="Q292" s="162" t="str">
        <f t="shared" ref="Q292:Q305" si="1103">IFERROR(INDEX(B$164:B$305,MATCH($Y292,$J$164:$J$305,0)),"")</f>
        <v/>
      </c>
      <c r="R292" s="162" t="str">
        <f t="shared" ref="R292:R305" si="1104">IFERROR(INDEX(C$164:C$305,MATCH($Y292,$J$164:$J$305,0)),"")</f>
        <v/>
      </c>
      <c r="S292" s="162" t="str">
        <f t="shared" ref="S292:S305" si="1105">IFERROR(INDEX(D$164:D$305,MATCH($Y292,$J$164:$J$305,0)),"")</f>
        <v/>
      </c>
      <c r="T292" s="162" t="str">
        <f t="shared" ref="T292:T305" si="1106">IFERROR(IF($N292="Y",-1*INDEX(E$164:E$305,MATCH($Y292,$J$164:$J$305,0)),INDEX(E$164:E$305,MATCH($Y292,$J$164:$J$305,0))),"")</f>
        <v/>
      </c>
      <c r="U292" s="162" t="str">
        <f t="shared" ref="U292:U305" si="1107">IFERROR(IF($N292="Y",-1*INDEX(F$164:F$305,MATCH($Y292,$J$164:$J$305,0)),INDEX(F$164:F$305,MATCH($Y292,$J$164:$J$305,0))),"")</f>
        <v/>
      </c>
      <c r="V292" s="162" t="str">
        <f t="shared" ref="V292:V305" si="1108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9">IFERROR(INDEX(I$164:I$305,MATCH($Y292,$J$164:$J$305,0)),"")</f>
        <v/>
      </c>
      <c r="Y292" s="162"/>
      <c r="Z292" s="917" t="str">
        <f t="shared" ref="Z292:Z305" si="1110">IFERROR(INDEX(K$164:K$305,MATCH($Y292,$J$164:$J$305,0)),"")</f>
        <v/>
      </c>
      <c r="AA292" s="82"/>
      <c r="AB292" s="75"/>
      <c r="AC292" s="75"/>
      <c r="AD292" s="166"/>
      <c r="AE292" s="75">
        <v>3.1150000000000002</v>
      </c>
      <c r="AF292" s="82">
        <v>3</v>
      </c>
      <c r="AG292" s="82">
        <v>1</v>
      </c>
      <c r="AH292" s="82">
        <v>2</v>
      </c>
      <c r="AI292" s="82">
        <v>1.0000000000218279</v>
      </c>
      <c r="AJ292" s="166">
        <v>3.1152100000000003</v>
      </c>
      <c r="AK292" s="82">
        <v>3.11511</v>
      </c>
      <c r="AL292" s="162">
        <v>0</v>
      </c>
      <c r="AM292" s="162">
        <v>0</v>
      </c>
      <c r="AN292" s="162">
        <v>0</v>
      </c>
      <c r="AO292" s="162">
        <v>-19.999997112357622</v>
      </c>
      <c r="AP292" s="162">
        <v>0</v>
      </c>
      <c r="AQ292" s="162">
        <v>0</v>
      </c>
      <c r="AR292" s="710" t="str">
        <v>1613.par</v>
      </c>
      <c r="AV292" s="82" t="str">
        <v>0,204,0</v>
      </c>
      <c r="AW292" s="951">
        <v>0</v>
      </c>
      <c r="AX292" s="951">
        <v>19.999997112357622</v>
      </c>
      <c r="AY292" s="951">
        <v>-19.999997112357622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5"/>
      <c r="M293" s="946"/>
      <c r="N293" s="943"/>
      <c r="O293" s="944"/>
      <c r="Q293" s="162" t="str">
        <f t="shared" si="1103"/>
        <v/>
      </c>
      <c r="R293" s="162" t="str">
        <f t="shared" si="1104"/>
        <v/>
      </c>
      <c r="S293" s="162" t="str">
        <f t="shared" si="1105"/>
        <v/>
      </c>
      <c r="T293" s="162" t="str">
        <f t="shared" si="1106"/>
        <v/>
      </c>
      <c r="U293" s="162" t="str">
        <f t="shared" si="1107"/>
        <v/>
      </c>
      <c r="V293" s="162" t="str">
        <f t="shared" si="110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9"/>
        <v/>
      </c>
      <c r="Y293" s="162"/>
      <c r="Z293" s="917" t="str">
        <f t="shared" si="1110"/>
        <v/>
      </c>
      <c r="AA293" s="82"/>
      <c r="AB293" s="75"/>
      <c r="AC293" s="75"/>
      <c r="AD293" s="166"/>
      <c r="AE293" s="75">
        <v>3.109</v>
      </c>
      <c r="AF293" s="82">
        <v>3</v>
      </c>
      <c r="AG293" s="82">
        <v>1</v>
      </c>
      <c r="AH293" s="82">
        <v>2</v>
      </c>
      <c r="AI293" s="82">
        <v>0.99999999998544808</v>
      </c>
      <c r="AJ293" s="166">
        <v>3.10921</v>
      </c>
      <c r="AK293" s="82">
        <v>3.1091099999999998</v>
      </c>
      <c r="AL293" s="162">
        <v>0</v>
      </c>
      <c r="AM293" s="162">
        <v>0</v>
      </c>
      <c r="AN293" s="162">
        <v>0</v>
      </c>
      <c r="AO293" s="162">
        <v>-4.9999992780894003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51">
        <v>0</v>
      </c>
      <c r="AX293" s="951">
        <v>4.9999992780894003</v>
      </c>
      <c r="AY293" s="951">
        <v>-4.9999992780894003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5"/>
      <c r="M294" s="946"/>
      <c r="N294" s="943"/>
      <c r="O294" s="944"/>
      <c r="Q294" s="162" t="str">
        <f t="shared" si="1103"/>
        <v/>
      </c>
      <c r="R294" s="162" t="str">
        <f t="shared" si="1104"/>
        <v/>
      </c>
      <c r="S294" s="162" t="str">
        <f t="shared" si="1105"/>
        <v/>
      </c>
      <c r="T294" s="162" t="str">
        <f t="shared" si="1106"/>
        <v/>
      </c>
      <c r="U294" s="162" t="str">
        <f t="shared" si="1107"/>
        <v/>
      </c>
      <c r="V294" s="162" t="str">
        <f t="shared" si="110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9"/>
        <v/>
      </c>
      <c r="Y294" s="162"/>
      <c r="Z294" s="917" t="str">
        <f t="shared" si="1110"/>
        <v/>
      </c>
      <c r="AA294" s="82"/>
      <c r="AB294" s="75"/>
      <c r="AC294" s="75"/>
      <c r="AD294" s="166"/>
      <c r="AE294" s="75">
        <v>3.1059999999999999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3.1062099999999999</v>
      </c>
      <c r="AK294" s="82">
        <v>3.1061099999999997</v>
      </c>
      <c r="AL294" s="162">
        <v>0</v>
      </c>
      <c r="AM294" s="162">
        <v>0</v>
      </c>
      <c r="AN294" s="162">
        <v>0</v>
      </c>
      <c r="AO294" s="162">
        <v>0.99999985561785909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51">
        <v>0</v>
      </c>
      <c r="AX294" s="951">
        <v>-0.99999985561785909</v>
      </c>
      <c r="AY294" s="951">
        <v>0.99999985561785909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5"/>
      <c r="M295" s="946"/>
      <c r="N295" s="943"/>
      <c r="O295" s="944"/>
      <c r="Q295" s="162" t="str">
        <f t="shared" si="1103"/>
        <v/>
      </c>
      <c r="R295" s="162" t="str">
        <f t="shared" si="1104"/>
        <v/>
      </c>
      <c r="S295" s="162" t="str">
        <f t="shared" si="1105"/>
        <v/>
      </c>
      <c r="T295" s="162" t="str">
        <f t="shared" si="1106"/>
        <v/>
      </c>
      <c r="U295" s="162" t="str">
        <f t="shared" si="1107"/>
        <v/>
      </c>
      <c r="V295" s="162" t="str">
        <f t="shared" si="110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9"/>
        <v/>
      </c>
      <c r="Y295" s="162"/>
      <c r="Z295" s="917" t="str">
        <f t="shared" si="1110"/>
        <v/>
      </c>
      <c r="AA295" s="82"/>
      <c r="AB295" s="75"/>
      <c r="AC295" s="75"/>
      <c r="AD295" s="166"/>
      <c r="AE295" s="75">
        <v>3.1030000000000002</v>
      </c>
      <c r="AF295" s="82">
        <v>3</v>
      </c>
      <c r="AG295" s="82">
        <v>1</v>
      </c>
      <c r="AH295" s="82">
        <v>2</v>
      </c>
      <c r="AI295" s="82">
        <v>1.0000000000218279</v>
      </c>
      <c r="AJ295" s="166">
        <v>3.1032100000000002</v>
      </c>
      <c r="AK295" s="82">
        <v>3.10311</v>
      </c>
      <c r="AL295" s="162">
        <v>0</v>
      </c>
      <c r="AM295" s="162">
        <v>0</v>
      </c>
      <c r="AN295" s="162">
        <v>0</v>
      </c>
      <c r="AO295" s="162">
        <v>3.9999994224715669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51">
        <v>0</v>
      </c>
      <c r="AX295" s="951">
        <v>-3.9999994224715669</v>
      </c>
      <c r="AY295" s="951">
        <v>3.9999994224715669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5"/>
      <c r="M296" s="946"/>
      <c r="N296" s="943"/>
      <c r="O296" s="944"/>
      <c r="Q296" s="162" t="str">
        <f t="shared" si="1103"/>
        <v/>
      </c>
      <c r="R296" s="162" t="str">
        <f t="shared" si="1104"/>
        <v/>
      </c>
      <c r="S296" s="162" t="str">
        <f t="shared" si="1105"/>
        <v/>
      </c>
      <c r="T296" s="162" t="str">
        <f t="shared" si="1106"/>
        <v/>
      </c>
      <c r="U296" s="162" t="str">
        <f t="shared" si="1107"/>
        <v/>
      </c>
      <c r="V296" s="162" t="str">
        <f t="shared" si="110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9"/>
        <v/>
      </c>
      <c r="Y296" s="162"/>
      <c r="Z296" s="917" t="str">
        <f t="shared" si="1110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-84.999987727520178</v>
      </c>
      <c r="AP296" s="162">
        <v>0</v>
      </c>
      <c r="AQ296" s="162">
        <v>0</v>
      </c>
      <c r="AR296" s="710" t="str">
        <v>1613.par</v>
      </c>
      <c r="AV296" s="82" t="str">
        <v>255,255,91</v>
      </c>
      <c r="AW296" s="951">
        <v>0</v>
      </c>
      <c r="AX296" s="951">
        <v>84.999987727520178</v>
      </c>
      <c r="AY296" s="951">
        <v>-84.999987727520178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5"/>
      <c r="M297" s="946"/>
      <c r="N297" s="943"/>
      <c r="O297" s="944"/>
      <c r="Q297" s="162" t="str">
        <f t="shared" si="1103"/>
        <v/>
      </c>
      <c r="R297" s="162" t="str">
        <f t="shared" si="1104"/>
        <v/>
      </c>
      <c r="S297" s="162" t="str">
        <f t="shared" si="1105"/>
        <v/>
      </c>
      <c r="T297" s="162" t="str">
        <f t="shared" si="1106"/>
        <v/>
      </c>
      <c r="U297" s="162" t="str">
        <f t="shared" si="1107"/>
        <v/>
      </c>
      <c r="V297" s="162" t="str">
        <f t="shared" si="110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9"/>
        <v/>
      </c>
      <c r="Y297" s="162"/>
      <c r="Z297" s="917" t="str">
        <f t="shared" si="1110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-85.029987723188725</v>
      </c>
      <c r="AP297" s="162">
        <v>0</v>
      </c>
      <c r="AQ297" s="162">
        <v>0</v>
      </c>
      <c r="AR297" s="710" t="str">
        <v>1613.par</v>
      </c>
      <c r="AV297" s="82" t="str">
        <v>255,255,91</v>
      </c>
      <c r="AW297" s="951">
        <v>0</v>
      </c>
      <c r="AX297" s="951">
        <v>85.029987723188725</v>
      </c>
      <c r="AY297" s="951">
        <v>-85.029987723188725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5"/>
      <c r="M298" s="946"/>
      <c r="N298" s="943"/>
      <c r="O298" s="944"/>
      <c r="Q298" s="162" t="str">
        <f t="shared" si="1103"/>
        <v/>
      </c>
      <c r="R298" s="162" t="str">
        <f t="shared" si="1104"/>
        <v/>
      </c>
      <c r="S298" s="162" t="str">
        <f t="shared" si="1105"/>
        <v/>
      </c>
      <c r="T298" s="162" t="str">
        <f t="shared" si="1106"/>
        <v/>
      </c>
      <c r="U298" s="162" t="str">
        <f t="shared" si="1107"/>
        <v/>
      </c>
      <c r="V298" s="162" t="str">
        <f t="shared" si="110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9"/>
        <v/>
      </c>
      <c r="Y298" s="162"/>
      <c r="Z298" s="917" t="str">
        <f t="shared" si="1110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-70.659989797959724</v>
      </c>
      <c r="AP298" s="162">
        <v>0</v>
      </c>
      <c r="AQ298" s="162">
        <v>0</v>
      </c>
      <c r="AR298" s="710" t="str">
        <v>1313.par</v>
      </c>
      <c r="AV298" s="82" t="str">
        <v>255,255,91</v>
      </c>
      <c r="AW298" s="951">
        <v>0</v>
      </c>
      <c r="AX298" s="951">
        <v>70.659989797959724</v>
      </c>
      <c r="AY298" s="951">
        <v>-70.659989797959724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5"/>
      <c r="M299" s="946"/>
      <c r="N299" s="943"/>
      <c r="O299" s="944"/>
      <c r="Q299" s="162" t="str">
        <f t="shared" si="1103"/>
        <v/>
      </c>
      <c r="R299" s="162" t="str">
        <f t="shared" si="1104"/>
        <v/>
      </c>
      <c r="S299" s="162" t="str">
        <f t="shared" si="1105"/>
        <v/>
      </c>
      <c r="T299" s="162" t="str">
        <f t="shared" si="1106"/>
        <v/>
      </c>
      <c r="U299" s="162" t="str">
        <f t="shared" si="1107"/>
        <v/>
      </c>
      <c r="V299" s="162" t="str">
        <f t="shared" si="110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9"/>
        <v/>
      </c>
      <c r="Y299" s="162"/>
      <c r="Z299" s="917" t="str">
        <f t="shared" si="1110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-52.499992419938899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51">
        <v>0</v>
      </c>
      <c r="AX299" s="951">
        <v>52.499992419938899</v>
      </c>
      <c r="AY299" s="951">
        <v>-52.499992419938899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5"/>
      <c r="M300" s="946"/>
      <c r="N300" s="943"/>
      <c r="O300" s="944"/>
      <c r="Q300" s="162" t="str">
        <f t="shared" si="1103"/>
        <v/>
      </c>
      <c r="R300" s="162" t="str">
        <f t="shared" si="1104"/>
        <v/>
      </c>
      <c r="S300" s="162" t="str">
        <f t="shared" si="1105"/>
        <v/>
      </c>
      <c r="T300" s="162" t="str">
        <f t="shared" si="1106"/>
        <v/>
      </c>
      <c r="U300" s="162" t="str">
        <f t="shared" si="1107"/>
        <v/>
      </c>
      <c r="V300" s="162" t="str">
        <f t="shared" si="110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9"/>
        <v/>
      </c>
      <c r="Y300" s="162"/>
      <c r="Z300" s="917" t="str">
        <f t="shared" si="1110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-37.49999458567072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51">
        <v>0</v>
      </c>
      <c r="AX300" s="951">
        <v>37.49999458567072</v>
      </c>
      <c r="AY300" s="951">
        <v>-37.49999458567072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5"/>
      <c r="M301" s="946"/>
      <c r="N301" s="943"/>
      <c r="O301" s="944"/>
      <c r="Q301" s="162" t="str">
        <f t="shared" si="1103"/>
        <v/>
      </c>
      <c r="R301" s="162" t="str">
        <f t="shared" si="1104"/>
        <v/>
      </c>
      <c r="S301" s="162" t="str">
        <f t="shared" si="1105"/>
        <v/>
      </c>
      <c r="T301" s="162" t="str">
        <f t="shared" si="1106"/>
        <v/>
      </c>
      <c r="U301" s="162" t="str">
        <f t="shared" si="1107"/>
        <v/>
      </c>
      <c r="V301" s="162" t="str">
        <f t="shared" si="110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9"/>
        <v/>
      </c>
      <c r="Y301" s="162"/>
      <c r="Z301" s="917" t="str">
        <f t="shared" si="1110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-22.499996751402406</v>
      </c>
      <c r="AP301" s="162">
        <v>0</v>
      </c>
      <c r="AQ301" s="162">
        <v>0</v>
      </c>
      <c r="AR301" s="710" t="str">
        <v>1313.par</v>
      </c>
      <c r="AV301" s="82" t="str">
        <v>255,255,91</v>
      </c>
      <c r="AW301" s="951">
        <v>0</v>
      </c>
      <c r="AX301" s="951">
        <v>22.499996751402406</v>
      </c>
      <c r="AY301" s="951">
        <v>-22.499996751402406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5"/>
      <c r="M302" s="946"/>
      <c r="N302" s="943"/>
      <c r="O302" s="944"/>
      <c r="Q302" s="162" t="str">
        <f t="shared" si="1103"/>
        <v/>
      </c>
      <c r="R302" s="162" t="str">
        <f t="shared" si="1104"/>
        <v/>
      </c>
      <c r="S302" s="162" t="str">
        <f t="shared" si="1105"/>
        <v/>
      </c>
      <c r="T302" s="162" t="str">
        <f t="shared" si="1106"/>
        <v/>
      </c>
      <c r="U302" s="162" t="str">
        <f t="shared" si="1107"/>
        <v/>
      </c>
      <c r="V302" s="162" t="str">
        <f t="shared" si="110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9"/>
        <v/>
      </c>
      <c r="Y302" s="162"/>
      <c r="Z302" s="917" t="str">
        <f t="shared" si="1110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-84.999987727520178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51">
        <v>0</v>
      </c>
      <c r="AX302" s="951">
        <v>84.999987727520178</v>
      </c>
      <c r="AY302" s="951">
        <v>-84.999987727520178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5"/>
      <c r="M303" s="946"/>
      <c r="N303" s="943"/>
      <c r="O303" s="944"/>
      <c r="Q303" s="162" t="str">
        <f t="shared" si="1103"/>
        <v/>
      </c>
      <c r="R303" s="162" t="str">
        <f t="shared" si="1104"/>
        <v/>
      </c>
      <c r="S303" s="162" t="str">
        <f t="shared" si="1105"/>
        <v/>
      </c>
      <c r="T303" s="162" t="str">
        <f t="shared" si="1106"/>
        <v/>
      </c>
      <c r="U303" s="162" t="str">
        <f t="shared" si="1107"/>
        <v/>
      </c>
      <c r="V303" s="162" t="str">
        <f t="shared" si="110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9"/>
        <v/>
      </c>
      <c r="Y303" s="162"/>
      <c r="Z303" s="917" t="str">
        <f t="shared" si="1110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-82.499988088475476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51">
        <v>0</v>
      </c>
      <c r="AX303" s="951">
        <v>82.499988088475476</v>
      </c>
      <c r="AY303" s="951">
        <v>-82.499988088475476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5"/>
      <c r="M304" s="946"/>
      <c r="N304" s="943"/>
      <c r="O304" s="944"/>
      <c r="Q304" s="162" t="str">
        <f t="shared" si="1103"/>
        <v/>
      </c>
      <c r="R304" s="162" t="str">
        <f t="shared" si="1104"/>
        <v/>
      </c>
      <c r="S304" s="162" t="str">
        <f t="shared" si="1105"/>
        <v/>
      </c>
      <c r="T304" s="162" t="str">
        <f t="shared" si="1106"/>
        <v/>
      </c>
      <c r="U304" s="162" t="str">
        <f t="shared" si="1107"/>
        <v/>
      </c>
      <c r="V304" s="162" t="str">
        <f t="shared" si="110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9"/>
        <v/>
      </c>
      <c r="Y304" s="162"/>
      <c r="Z304" s="917" t="str">
        <f t="shared" si="1110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-67.499990254207177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51">
        <v>0</v>
      </c>
      <c r="AX304" s="951">
        <v>67.499990254207177</v>
      </c>
      <c r="AY304" s="951">
        <v>-67.499990254207177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7"/>
      <c r="M305" s="948"/>
      <c r="N305" s="949"/>
      <c r="O305" s="950"/>
      <c r="Q305" s="162" t="str">
        <f t="shared" si="1103"/>
        <v/>
      </c>
      <c r="R305" s="162" t="str">
        <f t="shared" si="1104"/>
        <v/>
      </c>
      <c r="S305" s="162" t="str">
        <f t="shared" si="1105"/>
        <v/>
      </c>
      <c r="T305" s="162" t="str">
        <f t="shared" si="1106"/>
        <v/>
      </c>
      <c r="U305" s="162" t="str">
        <f t="shared" si="1107"/>
        <v/>
      </c>
      <c r="V305" s="162" t="str">
        <f t="shared" si="110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9"/>
        <v/>
      </c>
      <c r="Y305" s="162"/>
      <c r="Z305" s="917" t="str">
        <f t="shared" si="1110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-52.499992419938948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51">
        <v>0</v>
      </c>
      <c r="AX305" s="951">
        <v>52.499992419938948</v>
      </c>
      <c r="AY305" s="951">
        <v>-52.499992419938948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-37.499994585670692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51">
        <v>0</v>
      </c>
      <c r="AX306" s="951">
        <v>37.499994585670692</v>
      </c>
      <c r="AY306" s="951">
        <v>-37.499994585670692</v>
      </c>
    </row>
    <row r="307" spans="2:51" x14ac:dyDescent="0.25"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-22.499996751402488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51">
        <v>0</v>
      </c>
      <c r="AX307" s="951">
        <v>22.499996751402488</v>
      </c>
      <c r="AY307" s="951">
        <v>-22.499996751402488</v>
      </c>
    </row>
    <row r="308" spans="2:51" x14ac:dyDescent="0.25"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-7.4999989171341195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51">
        <v>0</v>
      </c>
      <c r="AX308" s="951">
        <v>7.4999989171341195</v>
      </c>
      <c r="AY308" s="951">
        <v>-7.4999989171341195</v>
      </c>
    </row>
    <row r="309" spans="2:51" x14ac:dyDescent="0.25"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-85.029987723188711</v>
      </c>
      <c r="AP309" s="162">
        <v>0</v>
      </c>
      <c r="AQ309" s="162">
        <v>0</v>
      </c>
      <c r="AR309" s="710" t="str">
        <v>1613.par</v>
      </c>
      <c r="AV309" s="82" t="str">
        <v>255,188,121</v>
      </c>
      <c r="AW309" s="951">
        <v>0</v>
      </c>
      <c r="AX309" s="951">
        <v>85.029987723188711</v>
      </c>
      <c r="AY309" s="951">
        <v>-85.029987723188711</v>
      </c>
    </row>
    <row r="310" spans="2:51" x14ac:dyDescent="0.25"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-73.469989392245964</v>
      </c>
      <c r="AP310" s="162">
        <v>0</v>
      </c>
      <c r="AQ310" s="162">
        <v>0</v>
      </c>
      <c r="AR310" s="710" t="str">
        <v>1613.par</v>
      </c>
      <c r="AV310" s="82" t="str">
        <v>255,188,121</v>
      </c>
      <c r="AW310" s="951">
        <v>0</v>
      </c>
      <c r="AX310" s="951">
        <v>73.469989392245964</v>
      </c>
      <c r="AY310" s="951">
        <v>-73.469989392245964</v>
      </c>
    </row>
    <row r="311" spans="2:51" x14ac:dyDescent="0.25"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-56.709991812090223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51">
        <v>0</v>
      </c>
      <c r="AX311" s="951">
        <v>56.709991812090223</v>
      </c>
      <c r="AY311" s="951">
        <v>-56.709991812090223</v>
      </c>
    </row>
    <row r="312" spans="2:51" x14ac:dyDescent="0.25"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-39.999994224715337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51">
        <v>0</v>
      </c>
      <c r="AX312" s="951">
        <v>39.999994224715337</v>
      </c>
      <c r="AY312" s="951">
        <v>-39.999994224715337</v>
      </c>
    </row>
    <row r="313" spans="2:51" x14ac:dyDescent="0.25"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-24.999996390447119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51">
        <v>0</v>
      </c>
      <c r="AX313" s="951">
        <v>24.999996390447119</v>
      </c>
      <c r="AY313" s="951">
        <v>-24.999996390447119</v>
      </c>
    </row>
    <row r="314" spans="2:51" x14ac:dyDescent="0.25"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-9.9999985561788076</v>
      </c>
      <c r="AP314" s="162">
        <v>0</v>
      </c>
      <c r="AQ314" s="162">
        <v>0</v>
      </c>
      <c r="AR314" s="710" t="str">
        <v>1313.par</v>
      </c>
      <c r="AV314" s="82" t="str">
        <v>255,188,121</v>
      </c>
      <c r="AW314" s="951">
        <v>0</v>
      </c>
      <c r="AX314" s="951">
        <v>9.9999985561788076</v>
      </c>
      <c r="AY314" s="951">
        <v>-9.9999985561788076</v>
      </c>
    </row>
    <row r="315" spans="2:51" x14ac:dyDescent="0.25"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-84.999987727520178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51">
        <v>0</v>
      </c>
      <c r="AX315" s="951">
        <v>84.999987727520178</v>
      </c>
      <c r="AY315" s="951">
        <v>-84.999987727520178</v>
      </c>
    </row>
    <row r="316" spans="2:51" x14ac:dyDescent="0.25"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-69.999989893251936</v>
      </c>
      <c r="AP316" s="162">
        <v>0</v>
      </c>
      <c r="AQ316" s="162">
        <v>0</v>
      </c>
      <c r="AR316" s="710" t="str">
        <v>1613.par</v>
      </c>
      <c r="AV316" s="82" t="str">
        <v>255,127,0</v>
      </c>
      <c r="AW316" s="951">
        <v>0</v>
      </c>
      <c r="AX316" s="951">
        <v>69.999989893251936</v>
      </c>
      <c r="AY316" s="951">
        <v>-69.999989893251936</v>
      </c>
    </row>
    <row r="317" spans="2:51" x14ac:dyDescent="0.25"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-54.999992058983644</v>
      </c>
      <c r="AP317" s="162">
        <v>0</v>
      </c>
      <c r="AQ317" s="162">
        <v>0</v>
      </c>
      <c r="AR317" s="710" t="str">
        <v>1613.par</v>
      </c>
      <c r="AV317" s="82" t="str">
        <v>255,127,0</v>
      </c>
      <c r="AW317" s="951">
        <v>0</v>
      </c>
      <c r="AX317" s="951">
        <v>54.999992058983644</v>
      </c>
      <c r="AY317" s="951">
        <v>-54.999992058983644</v>
      </c>
    </row>
    <row r="318" spans="2:51" x14ac:dyDescent="0.25"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-39.999994224715344</v>
      </c>
      <c r="AP318" s="162">
        <v>0</v>
      </c>
      <c r="AQ318" s="162">
        <v>0</v>
      </c>
      <c r="AR318" s="710" t="str">
        <v>1613.par</v>
      </c>
      <c r="AV318" s="82" t="str">
        <v>255,127,0</v>
      </c>
      <c r="AW318" s="951">
        <v>0</v>
      </c>
      <c r="AX318" s="951">
        <v>39.999994224715344</v>
      </c>
      <c r="AY318" s="951">
        <v>-39.999994224715344</v>
      </c>
    </row>
    <row r="319" spans="2:51" x14ac:dyDescent="0.25"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-24.99999639044708</v>
      </c>
      <c r="AP319" s="162">
        <v>0</v>
      </c>
      <c r="AQ319" s="162">
        <v>0</v>
      </c>
      <c r="AR319" s="710" t="str">
        <v>1613.par</v>
      </c>
      <c r="AV319" s="82" t="str">
        <v>255,127,0</v>
      </c>
      <c r="AW319" s="951">
        <v>0</v>
      </c>
      <c r="AX319" s="951">
        <v>24.99999639044708</v>
      </c>
      <c r="AY319" s="951">
        <v>-24.99999639044708</v>
      </c>
    </row>
    <row r="320" spans="2:51" x14ac:dyDescent="0.25"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-9.999998556178836</v>
      </c>
      <c r="AP320" s="162">
        <v>0</v>
      </c>
      <c r="AQ320" s="162">
        <v>0</v>
      </c>
      <c r="AR320" s="710" t="str">
        <v>1613.par</v>
      </c>
      <c r="AV320" s="82" t="str">
        <v>255,127,0</v>
      </c>
      <c r="AW320" s="951">
        <v>0</v>
      </c>
      <c r="AX320" s="951">
        <v>9.999998556178836</v>
      </c>
      <c r="AY320" s="951">
        <v>-9.999998556178836</v>
      </c>
    </row>
    <row r="321" spans="27:51" x14ac:dyDescent="0.25"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51">
        <v>0</v>
      </c>
      <c r="AX321" s="951">
        <v>0</v>
      </c>
      <c r="AY321" s="951">
        <v>0</v>
      </c>
    </row>
    <row r="322" spans="27:51" x14ac:dyDescent="0.25"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2.9999995668536554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51">
        <v>0</v>
      </c>
      <c r="AX322" s="951">
        <v>-2.9999995668536554</v>
      </c>
      <c r="AY322" s="951">
        <v>2.9999995668536554</v>
      </c>
    </row>
    <row r="323" spans="27:51" x14ac:dyDescent="0.25"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8.9999987005609601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51">
        <v>0</v>
      </c>
      <c r="AX323" s="951">
        <v>-8.9999987005609601</v>
      </c>
      <c r="AY323" s="951">
        <v>8.9999987005609601</v>
      </c>
    </row>
    <row r="324" spans="27:51" x14ac:dyDescent="0.25">
      <c r="AA324" s="82"/>
      <c r="AB324" s="75"/>
      <c r="AC324" s="75"/>
      <c r="AD324" s="166"/>
      <c r="AE324" s="75">
        <v>6.242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6.2421199999999999</v>
      </c>
      <c r="AK324" s="82" t="str">
        <v>Base</v>
      </c>
      <c r="AL324" s="162">
        <v>-17.25</v>
      </c>
      <c r="AM324" s="162">
        <v>-4.6871636932366263</v>
      </c>
      <c r="AN324" s="162">
        <v>-2.9984802668488686</v>
      </c>
      <c r="AO324" s="162">
        <v>85.029987723188711</v>
      </c>
      <c r="AP324" s="162">
        <v>0</v>
      </c>
      <c r="AQ324" s="162">
        <v>0</v>
      </c>
      <c r="AR324" s="710" t="str">
        <v>1613.par</v>
      </c>
      <c r="AV324" s="82" t="str">
        <v>188,121,255</v>
      </c>
      <c r="AW324" s="951">
        <v>0</v>
      </c>
      <c r="AX324" s="951">
        <v>85.029987723188711</v>
      </c>
      <c r="AY324" s="951">
        <v>0</v>
      </c>
    </row>
    <row r="325" spans="27:51" x14ac:dyDescent="0.25">
      <c r="AA325" s="82"/>
      <c r="AB325" s="75"/>
      <c r="AC325" s="75"/>
      <c r="AD325" s="166"/>
      <c r="AE325" s="75">
        <v>6.2359999999999998</v>
      </c>
      <c r="AF325" s="82">
        <v>6</v>
      </c>
      <c r="AG325" s="82">
        <v>2</v>
      </c>
      <c r="AH325" s="82">
        <v>1</v>
      </c>
      <c r="AI325" s="82">
        <v>1.9999999999708962</v>
      </c>
      <c r="AJ325" s="166">
        <v>6.2361199999999997</v>
      </c>
      <c r="AK325" s="82" t="str">
        <v>Base</v>
      </c>
      <c r="AL325" s="162">
        <v>-17.25</v>
      </c>
      <c r="AM325" s="162">
        <v>-4.5852385809365135</v>
      </c>
      <c r="AN325" s="162">
        <v>-2.194713448931751</v>
      </c>
      <c r="AO325" s="162">
        <v>76.29998898364461</v>
      </c>
      <c r="AP325" s="162">
        <v>0</v>
      </c>
      <c r="AQ325" s="162">
        <v>0</v>
      </c>
      <c r="AR325" s="710" t="str">
        <v>1613.par</v>
      </c>
      <c r="AV325" s="82" t="str">
        <v>188,121,255</v>
      </c>
      <c r="AW325" s="951">
        <v>0</v>
      </c>
      <c r="AX325" s="951">
        <v>76.29998898364461</v>
      </c>
      <c r="AY325" s="951">
        <v>0</v>
      </c>
    </row>
    <row r="326" spans="27:51" x14ac:dyDescent="0.25">
      <c r="AA326" s="82"/>
      <c r="AB326" s="75"/>
      <c r="AC326" s="75"/>
      <c r="AD326" s="166"/>
      <c r="AE326" s="75">
        <v>6.23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6.2301200000000003</v>
      </c>
      <c r="AK326" s="82" t="str">
        <v>Base</v>
      </c>
      <c r="AL326" s="162">
        <v>-17.25</v>
      </c>
      <c r="AM326" s="162">
        <v>-4.3374689425018378</v>
      </c>
      <c r="AN326" s="162">
        <v>-1.4859591381598292</v>
      </c>
      <c r="AO326" s="162">
        <v>59.509991407820316</v>
      </c>
      <c r="AP326" s="162">
        <v>0</v>
      </c>
      <c r="AQ326" s="162">
        <v>0</v>
      </c>
      <c r="AR326" s="710" t="str">
        <v>1313.par</v>
      </c>
      <c r="AV326" s="82" t="str">
        <v>188,121,255</v>
      </c>
      <c r="AW326" s="951">
        <v>0</v>
      </c>
      <c r="AX326" s="951">
        <v>59.509991407820316</v>
      </c>
      <c r="AY326" s="951">
        <v>0</v>
      </c>
    </row>
    <row r="327" spans="27:51" x14ac:dyDescent="0.25">
      <c r="AA327" s="82"/>
      <c r="AB327" s="75"/>
      <c r="AC327" s="75"/>
      <c r="AD327" s="166"/>
      <c r="AE327" s="75">
        <v>6.2240000000000002</v>
      </c>
      <c r="AF327" s="82">
        <v>6</v>
      </c>
      <c r="AG327" s="82">
        <v>2</v>
      </c>
      <c r="AH327" s="82">
        <v>1</v>
      </c>
      <c r="AI327" s="82">
        <v>2.0000000000436557</v>
      </c>
      <c r="AJ327" s="166">
        <v>6.2241200000000001</v>
      </c>
      <c r="AK327" s="82" t="str">
        <v>Base</v>
      </c>
      <c r="AL327" s="162">
        <v>-17.25</v>
      </c>
      <c r="AM327" s="162">
        <v>-3.9125499819631724</v>
      </c>
      <c r="AN327" s="162">
        <v>-0.85614372963790242</v>
      </c>
      <c r="AO327" s="162">
        <v>42.499993863760089</v>
      </c>
      <c r="AP327" s="162">
        <v>-25.479996321143663</v>
      </c>
      <c r="AQ327" s="162">
        <v>0</v>
      </c>
      <c r="AR327" s="710" t="str">
        <v>1313.par</v>
      </c>
      <c r="AV327" s="82" t="str">
        <v>188,121,255</v>
      </c>
      <c r="AW327" s="951">
        <v>0</v>
      </c>
      <c r="AX327" s="951">
        <v>42.499993863760089</v>
      </c>
      <c r="AY327" s="951">
        <v>0</v>
      </c>
    </row>
    <row r="328" spans="27:51" x14ac:dyDescent="0.25">
      <c r="AA328" s="82"/>
      <c r="AB328" s="75"/>
      <c r="AC328" s="75"/>
      <c r="AD328" s="166"/>
      <c r="AE328" s="75">
        <v>6.218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6.2181199999999999</v>
      </c>
      <c r="AK328" s="82" t="str">
        <v>Base</v>
      </c>
      <c r="AL328" s="162">
        <v>-17.25</v>
      </c>
      <c r="AM328" s="162">
        <v>-3.3074933656265726</v>
      </c>
      <c r="AN328" s="162">
        <v>-0.40307308364032646</v>
      </c>
      <c r="AO328" s="162">
        <v>27.499996029491825</v>
      </c>
      <c r="AP328" s="162">
        <v>-22.11999680626759</v>
      </c>
      <c r="AQ328" s="162">
        <v>0</v>
      </c>
      <c r="AR328" s="710" t="str">
        <v>1313.par</v>
      </c>
      <c r="AV328" s="82" t="str">
        <v>188,121,255</v>
      </c>
      <c r="AW328" s="951">
        <v>0</v>
      </c>
      <c r="AX328" s="951">
        <v>27.499996029491825</v>
      </c>
      <c r="AY328" s="951">
        <v>0</v>
      </c>
    </row>
    <row r="329" spans="27:51" x14ac:dyDescent="0.25">
      <c r="AA329" s="82"/>
      <c r="AB329" s="75"/>
      <c r="AC329" s="75"/>
      <c r="AD329" s="166"/>
      <c r="AE329" s="75">
        <v>6.1420000000000003</v>
      </c>
      <c r="AF329" s="82">
        <v>6</v>
      </c>
      <c r="AG329" s="82">
        <v>1</v>
      </c>
      <c r="AH329" s="82">
        <v>1</v>
      </c>
      <c r="AI329" s="82">
        <v>2.0000000000436557</v>
      </c>
      <c r="AJ329" s="166">
        <v>6.1421200000000002</v>
      </c>
      <c r="AK329" s="82" t="str">
        <v>Base</v>
      </c>
      <c r="AL329" s="162">
        <v>-16.5</v>
      </c>
      <c r="AM329" s="162">
        <v>-4.6915141496066735</v>
      </c>
      <c r="AN329" s="162">
        <v>-2.9911598681008753</v>
      </c>
      <c r="AO329" s="162">
        <v>84.999987727520164</v>
      </c>
      <c r="AP329" s="162">
        <v>-29.99999566853651</v>
      </c>
      <c r="AQ329" s="162">
        <v>0</v>
      </c>
      <c r="AR329" s="710" t="str">
        <v>1613.par</v>
      </c>
      <c r="AV329" s="82" t="str">
        <v>127,0,255</v>
      </c>
      <c r="AW329" s="951">
        <v>0</v>
      </c>
      <c r="AX329" s="951">
        <v>84.999987727520164</v>
      </c>
      <c r="AY329" s="951">
        <v>0</v>
      </c>
    </row>
    <row r="330" spans="27:51" x14ac:dyDescent="0.25">
      <c r="AA330" s="82"/>
      <c r="AB330" s="75"/>
      <c r="AC330" s="75"/>
      <c r="AD330" s="166"/>
      <c r="AE330" s="75">
        <v>6.1360000000000001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6.13612</v>
      </c>
      <c r="AK330" s="82" t="str">
        <v>Base</v>
      </c>
      <c r="AL330" s="162">
        <v>-16.5</v>
      </c>
      <c r="AM330" s="162">
        <v>-4.5816138181472752</v>
      </c>
      <c r="AN330" s="162">
        <v>-2.1893407828723577</v>
      </c>
      <c r="AO330" s="162">
        <v>72.499989532296652</v>
      </c>
      <c r="AP330" s="162">
        <v>-27.199996072806407</v>
      </c>
      <c r="AQ330" s="162">
        <v>0</v>
      </c>
      <c r="AR330" s="710" t="str">
        <v>1613.par</v>
      </c>
      <c r="AV330" s="82" t="str">
        <v>127,0,255</v>
      </c>
      <c r="AW330" s="951">
        <v>0</v>
      </c>
      <c r="AX330" s="951">
        <v>72.499989532296652</v>
      </c>
      <c r="AY330" s="951">
        <v>0</v>
      </c>
    </row>
    <row r="331" spans="27:51" x14ac:dyDescent="0.25">
      <c r="AA331" s="82"/>
      <c r="AB331" s="75"/>
      <c r="AC331" s="75"/>
      <c r="AD331" s="166"/>
      <c r="AE331" s="75">
        <v>6.13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6.1301199999999998</v>
      </c>
      <c r="AK331" s="82" t="str">
        <v>Base</v>
      </c>
      <c r="AL331" s="162">
        <v>-16.5</v>
      </c>
      <c r="AM331" s="162">
        <v>-4.3267130493665569</v>
      </c>
      <c r="AN331" s="162">
        <v>-1.4865284774053722</v>
      </c>
      <c r="AO331" s="162">
        <v>57.499991698028374</v>
      </c>
      <c r="AP331" s="162">
        <v>-23.839996557930323</v>
      </c>
      <c r="AQ331" s="162">
        <v>0</v>
      </c>
      <c r="AR331" s="710" t="str">
        <v>1613.par</v>
      </c>
      <c r="AV331" s="82" t="str">
        <v>127,0,255</v>
      </c>
      <c r="AW331" s="951">
        <v>0</v>
      </c>
      <c r="AX331" s="951">
        <v>57.499991698028374</v>
      </c>
      <c r="AY331" s="951">
        <v>0</v>
      </c>
    </row>
    <row r="332" spans="27:51" x14ac:dyDescent="0.25">
      <c r="AA332" s="82"/>
      <c r="AB332" s="75"/>
      <c r="AC332" s="75"/>
      <c r="AD332" s="166"/>
      <c r="AE332" s="75">
        <v>6.1239999999999997</v>
      </c>
      <c r="AF332" s="82">
        <v>6</v>
      </c>
      <c r="AG332" s="82">
        <v>1</v>
      </c>
      <c r="AH332" s="82">
        <v>1</v>
      </c>
      <c r="AI332" s="82">
        <v>1.9999999999708962</v>
      </c>
      <c r="AJ332" s="166">
        <v>6.1241199999999996</v>
      </c>
      <c r="AK332" s="82" t="str">
        <v>Base</v>
      </c>
      <c r="AL332" s="162">
        <v>-16.5</v>
      </c>
      <c r="AM332" s="162">
        <v>-3.888511727751371</v>
      </c>
      <c r="AN332" s="162">
        <v>-0.88123220642170197</v>
      </c>
      <c r="AO332" s="162">
        <v>42.499993863760125</v>
      </c>
      <c r="AP332" s="162">
        <v>-20.47999704305424</v>
      </c>
      <c r="AQ332" s="162">
        <v>0</v>
      </c>
      <c r="AR332" s="710" t="str">
        <v>1613.par</v>
      </c>
      <c r="AV332" s="82" t="str">
        <v>127,0,255</v>
      </c>
      <c r="AW332" s="951">
        <v>0</v>
      </c>
      <c r="AX332" s="951">
        <v>42.499993863760125</v>
      </c>
      <c r="AY332" s="951">
        <v>0</v>
      </c>
    </row>
    <row r="333" spans="27:51" x14ac:dyDescent="0.25">
      <c r="AA333" s="82"/>
      <c r="AB333" s="75"/>
      <c r="AC333" s="75"/>
      <c r="AD333" s="166"/>
      <c r="AE333" s="75">
        <v>6.1180000000000003</v>
      </c>
      <c r="AF333" s="82">
        <v>6</v>
      </c>
      <c r="AG333" s="82">
        <v>1</v>
      </c>
      <c r="AH333" s="82">
        <v>1</v>
      </c>
      <c r="AI333" s="82">
        <v>2.0000000000436557</v>
      </c>
      <c r="AJ333" s="166">
        <v>6.1181200000000002</v>
      </c>
      <c r="AK333" s="82" t="str">
        <v>Base</v>
      </c>
      <c r="AL333" s="162">
        <v>-16.5</v>
      </c>
      <c r="AM333" s="162">
        <v>-3.2912099262891377</v>
      </c>
      <c r="AN333" s="162">
        <v>-0.43299659414008185</v>
      </c>
      <c r="AO333" s="162">
        <v>27.499996029491861</v>
      </c>
      <c r="AP333" s="162">
        <v>-17.119997528178182</v>
      </c>
      <c r="AQ333" s="162">
        <v>0</v>
      </c>
      <c r="AR333" s="710" t="str">
        <v>1613.par</v>
      </c>
      <c r="AV333" s="82" t="str">
        <v>127,0,255</v>
      </c>
      <c r="AW333" s="951">
        <v>0</v>
      </c>
      <c r="AX333" s="951">
        <v>27.499996029491861</v>
      </c>
      <c r="AY333" s="951">
        <v>0</v>
      </c>
    </row>
    <row r="334" spans="27:51" x14ac:dyDescent="0.25">
      <c r="AA334" s="82"/>
      <c r="AB334" s="75"/>
      <c r="AC334" s="75"/>
      <c r="AD334" s="166"/>
      <c r="AE334" s="75">
        <v>6.1120000000000001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6.11212</v>
      </c>
      <c r="AK334" s="82" t="str">
        <v>Base</v>
      </c>
      <c r="AL334" s="162">
        <v>-16.5</v>
      </c>
      <c r="AM334" s="162">
        <v>-2.5826077891450923</v>
      </c>
      <c r="AN334" s="162">
        <v>-0.19801069923037626</v>
      </c>
      <c r="AO334" s="162">
        <v>12.49999819522351</v>
      </c>
      <c r="AP334" s="162">
        <v>-15.999997689886111</v>
      </c>
      <c r="AQ334" s="162">
        <v>0</v>
      </c>
      <c r="AR334" s="710" t="str">
        <v>1613.par</v>
      </c>
      <c r="AV334" s="82" t="str">
        <v>127,0,255</v>
      </c>
      <c r="AW334" s="951">
        <v>0</v>
      </c>
      <c r="AX334" s="951">
        <v>12.49999819522351</v>
      </c>
      <c r="AY334" s="951">
        <v>0</v>
      </c>
    </row>
    <row r="335" spans="27:51" x14ac:dyDescent="0.25">
      <c r="AA335" s="82"/>
      <c r="AB335" s="75"/>
      <c r="AC335" s="75"/>
      <c r="AD335" s="166"/>
      <c r="AE335" s="75">
        <v>5.2430000000000003</v>
      </c>
      <c r="AF335" s="82">
        <v>5</v>
      </c>
      <c r="AG335" s="82">
        <v>2</v>
      </c>
      <c r="AH335" s="82">
        <v>1</v>
      </c>
      <c r="AI335" s="82">
        <v>2.0000000000436557</v>
      </c>
      <c r="AJ335" s="166">
        <v>5.2431200000000002</v>
      </c>
      <c r="AK335" s="82" t="str">
        <v>Base</v>
      </c>
      <c r="AL335" s="162">
        <v>-15.75</v>
      </c>
      <c r="AM335" s="162">
        <v>-4.6871636932366263</v>
      </c>
      <c r="AN335" s="162">
        <v>-3.1527447646780122</v>
      </c>
      <c r="AO335" s="162">
        <v>85.029987723188711</v>
      </c>
      <c r="AP335" s="162">
        <v>0</v>
      </c>
      <c r="AQ335" s="162">
        <v>0</v>
      </c>
      <c r="AR335" s="710" t="str">
        <v>1613.par</v>
      </c>
      <c r="AV335" s="82" t="str">
        <v>121,188,255</v>
      </c>
      <c r="AW335" s="951">
        <v>0</v>
      </c>
      <c r="AX335" s="951">
        <v>85.029987723188711</v>
      </c>
      <c r="AY335" s="951">
        <v>0</v>
      </c>
    </row>
    <row r="336" spans="27:51" x14ac:dyDescent="0.25">
      <c r="AA336" s="82"/>
      <c r="AB336" s="75"/>
      <c r="AC336" s="75"/>
      <c r="AD336" s="166"/>
      <c r="AE336" s="75">
        <v>5.2370000000000001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5.23712</v>
      </c>
      <c r="AK336" s="82" t="str">
        <v>Base</v>
      </c>
      <c r="AL336" s="162">
        <v>-15.75</v>
      </c>
      <c r="AM336" s="162">
        <v>-4.6075561823203888</v>
      </c>
      <c r="AN336" s="162">
        <v>-2.3471992643860293</v>
      </c>
      <c r="AO336" s="162">
        <v>79.129988575043214</v>
      </c>
      <c r="AP336" s="162">
        <v>0</v>
      </c>
      <c r="AQ336" s="162">
        <v>0</v>
      </c>
      <c r="AR336" s="710" t="str">
        <v>1613.par</v>
      </c>
      <c r="AV336" s="82" t="str">
        <v>121,188,255</v>
      </c>
      <c r="AW336" s="951">
        <v>0</v>
      </c>
      <c r="AX336" s="951">
        <v>79.129988575043214</v>
      </c>
      <c r="AY336" s="951">
        <v>0</v>
      </c>
    </row>
    <row r="337" spans="27:51" x14ac:dyDescent="0.25">
      <c r="AA337" s="82"/>
      <c r="AB337" s="75"/>
      <c r="AC337" s="75"/>
      <c r="AD337" s="166"/>
      <c r="AE337" s="75">
        <v>5.2309999999999999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5.2311199999999998</v>
      </c>
      <c r="AK337" s="82" t="str">
        <v>Base</v>
      </c>
      <c r="AL337" s="162">
        <v>-15.75</v>
      </c>
      <c r="AM337" s="162">
        <v>-4.392122330503164</v>
      </c>
      <c r="AN337" s="162">
        <v>-1.628194531240867</v>
      </c>
      <c r="AO337" s="162">
        <v>62.299991004994205</v>
      </c>
      <c r="AP337" s="162">
        <v>0</v>
      </c>
      <c r="AQ337" s="162">
        <v>0</v>
      </c>
      <c r="AR337" s="710" t="str">
        <v>1313.par</v>
      </c>
      <c r="AV337" s="82" t="str">
        <v>121,188,255</v>
      </c>
      <c r="AW337" s="951">
        <v>0</v>
      </c>
      <c r="AX337" s="951">
        <v>62.299991004994205</v>
      </c>
      <c r="AY337" s="951">
        <v>0</v>
      </c>
    </row>
    <row r="338" spans="27:51" x14ac:dyDescent="0.25">
      <c r="AA338" s="82"/>
      <c r="AB338" s="75"/>
      <c r="AC338" s="75"/>
      <c r="AD338" s="166"/>
      <c r="AE338" s="75">
        <v>5.2249999999999996</v>
      </c>
      <c r="AF338" s="82">
        <v>5</v>
      </c>
      <c r="AG338" s="82">
        <v>2</v>
      </c>
      <c r="AH338" s="82">
        <v>1</v>
      </c>
      <c r="AI338" s="82">
        <v>1.9999999999708962</v>
      </c>
      <c r="AJ338" s="166">
        <v>5.2251199999999995</v>
      </c>
      <c r="AK338" s="82" t="str">
        <v>Base</v>
      </c>
      <c r="AL338" s="162">
        <v>-15.75</v>
      </c>
      <c r="AM338" s="162">
        <v>-3.9986957972740775</v>
      </c>
      <c r="AN338" s="162">
        <v>-0.97797958984925071</v>
      </c>
      <c r="AO338" s="162">
        <v>44.999993502804806</v>
      </c>
      <c r="AP338" s="162">
        <v>-26.039996240289703</v>
      </c>
      <c r="AQ338" s="162">
        <v>0</v>
      </c>
      <c r="AR338" s="710" t="str">
        <v>1313.par</v>
      </c>
      <c r="AV338" s="82" t="str">
        <v>121,188,255</v>
      </c>
      <c r="AW338" s="951">
        <v>0</v>
      </c>
      <c r="AX338" s="951">
        <v>44.999993502804806</v>
      </c>
      <c r="AY338" s="951">
        <v>0</v>
      </c>
    </row>
    <row r="339" spans="27:51" x14ac:dyDescent="0.25">
      <c r="AA339" s="82"/>
      <c r="AB339" s="75"/>
      <c r="AC339" s="75"/>
      <c r="AD339" s="166"/>
      <c r="AE339" s="75">
        <v>5.2190000000000003</v>
      </c>
      <c r="AF339" s="82">
        <v>5</v>
      </c>
      <c r="AG339" s="82">
        <v>2</v>
      </c>
      <c r="AH339" s="82">
        <v>1</v>
      </c>
      <c r="AI339" s="82">
        <v>2.0000000000436557</v>
      </c>
      <c r="AJ339" s="166">
        <v>5.2191200000000002</v>
      </c>
      <c r="AK339" s="82" t="str">
        <v>Base</v>
      </c>
      <c r="AL339" s="162">
        <v>-15.75</v>
      </c>
      <c r="AM339" s="162">
        <v>-3.4177756005728321</v>
      </c>
      <c r="AN339" s="162">
        <v>-0.49411828779289568</v>
      </c>
      <c r="AO339" s="162">
        <v>29.999995668536492</v>
      </c>
      <c r="AP339" s="162">
        <v>-22.679996725413609</v>
      </c>
      <c r="AQ339" s="162">
        <v>0</v>
      </c>
      <c r="AR339" s="710" t="str">
        <v>1313.par</v>
      </c>
      <c r="AV339" s="82" t="str">
        <v>121,188,255</v>
      </c>
      <c r="AW339" s="951">
        <v>0</v>
      </c>
      <c r="AX339" s="951">
        <v>29.999995668536492</v>
      </c>
      <c r="AY339" s="951">
        <v>0</v>
      </c>
    </row>
    <row r="340" spans="27:51" x14ac:dyDescent="0.25">
      <c r="AA340" s="82"/>
      <c r="AB340" s="75"/>
      <c r="AC340" s="75"/>
      <c r="AD340" s="166"/>
      <c r="AE340" s="75">
        <v>5.2130000000000001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5.21312</v>
      </c>
      <c r="AK340" s="82" t="str">
        <v>Base</v>
      </c>
      <c r="AL340" s="162">
        <v>-15.75</v>
      </c>
      <c r="AM340" s="162">
        <v>-2.7146971007579759</v>
      </c>
      <c r="AN340" s="162">
        <v>-0.21737469555844485</v>
      </c>
      <c r="AO340" s="162">
        <v>14.999997834268259</v>
      </c>
      <c r="AP340" s="162">
        <v>-20.999996967975559</v>
      </c>
      <c r="AQ340" s="162">
        <v>0</v>
      </c>
      <c r="AR340" s="710" t="str">
        <v>1313.par</v>
      </c>
      <c r="AV340" s="82" t="str">
        <v>121,188,255</v>
      </c>
      <c r="AW340" s="951">
        <v>0</v>
      </c>
      <c r="AX340" s="951">
        <v>14.999997834268259</v>
      </c>
      <c r="AY340" s="951">
        <v>0</v>
      </c>
    </row>
    <row r="341" spans="27:51" x14ac:dyDescent="0.25">
      <c r="AA341" s="82"/>
      <c r="AB341" s="75"/>
      <c r="AC341" s="75"/>
      <c r="AD341" s="166"/>
      <c r="AE341" s="75">
        <v>5.1429999999999998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5.1431199999999997</v>
      </c>
      <c r="AK341" s="82" t="str">
        <v>Base</v>
      </c>
      <c r="AL341" s="162">
        <v>-15</v>
      </c>
      <c r="AM341" s="162">
        <v>-4.6915141496066752</v>
      </c>
      <c r="AN341" s="162">
        <v>-3.1453269075454093</v>
      </c>
      <c r="AO341" s="162">
        <v>84.999987727520178</v>
      </c>
      <c r="AP341" s="162">
        <v>-29.99999566853651</v>
      </c>
      <c r="AQ341" s="162">
        <v>0</v>
      </c>
      <c r="AR341" s="710" t="str">
        <v>1613.par</v>
      </c>
      <c r="AV341" s="82" t="str">
        <v>0,102,204</v>
      </c>
      <c r="AW341" s="951">
        <v>0</v>
      </c>
      <c r="AX341" s="951">
        <v>84.999987727520178</v>
      </c>
      <c r="AY341" s="951">
        <v>0</v>
      </c>
    </row>
    <row r="342" spans="27:51" x14ac:dyDescent="0.25">
      <c r="AA342" s="82"/>
      <c r="AB342" s="75"/>
      <c r="AC342" s="75"/>
      <c r="AD342" s="166"/>
      <c r="AE342" s="75">
        <v>5.1369999999999996</v>
      </c>
      <c r="AF342" s="82">
        <v>5</v>
      </c>
      <c r="AG342" s="82">
        <v>1</v>
      </c>
      <c r="AH342" s="82">
        <v>1</v>
      </c>
      <c r="AI342" s="82">
        <v>1.9999999999708962</v>
      </c>
      <c r="AJ342" s="166">
        <v>5.1371199999999995</v>
      </c>
      <c r="AK342" s="82" t="str">
        <v>Base</v>
      </c>
      <c r="AL342" s="162">
        <v>-15</v>
      </c>
      <c r="AM342" s="162">
        <v>-4.6054138899282924</v>
      </c>
      <c r="AN342" s="162">
        <v>-2.3411939265053117</v>
      </c>
      <c r="AO342" s="162">
        <v>74.999989171341326</v>
      </c>
      <c r="AP342" s="162">
        <v>-27.759995991952422</v>
      </c>
      <c r="AQ342" s="162">
        <v>0</v>
      </c>
      <c r="AR342" s="710" t="str">
        <v>1613.par</v>
      </c>
      <c r="AV342" s="82" t="str">
        <v>0,102,204</v>
      </c>
      <c r="AW342" s="951">
        <v>0</v>
      </c>
      <c r="AX342" s="951">
        <v>74.999989171341326</v>
      </c>
      <c r="AY342" s="951">
        <v>0</v>
      </c>
    </row>
    <row r="343" spans="27:51" x14ac:dyDescent="0.25">
      <c r="AA343" s="82"/>
      <c r="AB343" s="75"/>
      <c r="AC343" s="75"/>
      <c r="AD343" s="166"/>
      <c r="AE343" s="75">
        <v>5.1310000000000002</v>
      </c>
      <c r="AF343" s="82">
        <v>5</v>
      </c>
      <c r="AG343" s="82">
        <v>1</v>
      </c>
      <c r="AH343" s="82">
        <v>1</v>
      </c>
      <c r="AI343" s="82">
        <v>2.0000000000436557</v>
      </c>
      <c r="AJ343" s="166">
        <v>5.1311200000000001</v>
      </c>
      <c r="AK343" s="82" t="str">
        <v>Base</v>
      </c>
      <c r="AL343" s="162">
        <v>-15</v>
      </c>
      <c r="AM343" s="162">
        <v>-4.3823132170566632</v>
      </c>
      <c r="AN343" s="162">
        <v>-1.627553810703787</v>
      </c>
      <c r="AO343" s="162">
        <v>59.999991337073098</v>
      </c>
      <c r="AP343" s="162">
        <v>-24.399996477076375</v>
      </c>
      <c r="AQ343" s="162">
        <v>0</v>
      </c>
      <c r="AR343" s="710" t="str">
        <v>1613.par</v>
      </c>
      <c r="AV343" s="82" t="str">
        <v>0,102,204</v>
      </c>
      <c r="AW343" s="951">
        <v>0</v>
      </c>
      <c r="AX343" s="951">
        <v>59.999991337073098</v>
      </c>
      <c r="AY343" s="951">
        <v>0</v>
      </c>
    </row>
    <row r="344" spans="27:51" x14ac:dyDescent="0.25">
      <c r="AA344" s="82"/>
      <c r="AB344" s="75"/>
      <c r="AC344" s="75"/>
      <c r="AD344" s="166"/>
      <c r="AE344" s="75">
        <v>5.125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5.1251199999999999</v>
      </c>
      <c r="AK344" s="82" t="str">
        <v>Base</v>
      </c>
      <c r="AL344" s="162">
        <v>-15</v>
      </c>
      <c r="AM344" s="162">
        <v>-3.9735119841121449</v>
      </c>
      <c r="AN344" s="162">
        <v>-1.0020435898977231</v>
      </c>
      <c r="AO344" s="162">
        <v>44.999993502804777</v>
      </c>
      <c r="AP344" s="162">
        <v>-21.039996962200266</v>
      </c>
      <c r="AQ344" s="162">
        <v>0</v>
      </c>
      <c r="AR344" s="710" t="str">
        <v>1613.par</v>
      </c>
      <c r="AV344" s="82" t="str">
        <v>0,102,204</v>
      </c>
      <c r="AW344" s="951">
        <v>0</v>
      </c>
      <c r="AX344" s="951">
        <v>44.999993502804777</v>
      </c>
      <c r="AY344" s="951">
        <v>0</v>
      </c>
    </row>
    <row r="345" spans="27:51" x14ac:dyDescent="0.25">
      <c r="AA345" s="82"/>
      <c r="AB345" s="75"/>
      <c r="AC345" s="75"/>
      <c r="AD345" s="166"/>
      <c r="AE345" s="75">
        <v>5.1189999999999998</v>
      </c>
      <c r="AF345" s="82">
        <v>5</v>
      </c>
      <c r="AG345" s="82">
        <v>1</v>
      </c>
      <c r="AH345" s="82">
        <v>1</v>
      </c>
      <c r="AI345" s="82">
        <v>1.9999999999708962</v>
      </c>
      <c r="AJ345" s="166">
        <v>5.1191199999999997</v>
      </c>
      <c r="AK345" s="82" t="str">
        <v>Base</v>
      </c>
      <c r="AL345" s="162">
        <v>-15</v>
      </c>
      <c r="AM345" s="162">
        <v>-3.4001102547325295</v>
      </c>
      <c r="AN345" s="162">
        <v>-0.52340325628833928</v>
      </c>
      <c r="AO345" s="162">
        <v>29.999995668536499</v>
      </c>
      <c r="AP345" s="162">
        <v>-17.679997447324173</v>
      </c>
      <c r="AQ345" s="162">
        <v>0</v>
      </c>
      <c r="AR345" s="710" t="str">
        <v>1613.par</v>
      </c>
      <c r="AV345" s="82" t="str">
        <v>0,102,204</v>
      </c>
      <c r="AW345" s="951">
        <v>0</v>
      </c>
      <c r="AX345" s="951">
        <v>29.999995668536499</v>
      </c>
      <c r="AY345" s="951">
        <v>0</v>
      </c>
    </row>
    <row r="346" spans="27:51" x14ac:dyDescent="0.25">
      <c r="AA346" s="82"/>
      <c r="AB346" s="75"/>
      <c r="AC346" s="75"/>
      <c r="AD346" s="166"/>
      <c r="AE346" s="75">
        <v>5.1130000000000004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5.1131200000000003</v>
      </c>
      <c r="AK346" s="82" t="str">
        <v>Base</v>
      </c>
      <c r="AL346" s="162">
        <v>-15</v>
      </c>
      <c r="AM346" s="162">
        <v>-2.7056081601142119</v>
      </c>
      <c r="AN346" s="162">
        <v>-0.24963576289757858</v>
      </c>
      <c r="AO346" s="162">
        <v>14.999997834268246</v>
      </c>
      <c r="AP346" s="162">
        <v>-15.999997689886136</v>
      </c>
      <c r="AQ346" s="162">
        <v>0</v>
      </c>
      <c r="AR346" s="710" t="str">
        <v>1613.par</v>
      </c>
      <c r="AV346" s="82" t="str">
        <v>0,102,204</v>
      </c>
      <c r="AW346" s="951">
        <v>0</v>
      </c>
      <c r="AX346" s="951">
        <v>14.999997834268246</v>
      </c>
      <c r="AY346" s="951">
        <v>0</v>
      </c>
    </row>
    <row r="347" spans="27:51" x14ac:dyDescent="0.25">
      <c r="AA347" s="82"/>
      <c r="AB347" s="75"/>
      <c r="AC347" s="75"/>
      <c r="AD347" s="166"/>
      <c r="AE347" s="75">
        <v>5.1079999999999997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5.1081199999999995</v>
      </c>
      <c r="AK347" s="82" t="str">
        <v>Base</v>
      </c>
      <c r="AL347" s="162">
        <v>-15</v>
      </c>
      <c r="AM347" s="162">
        <v>-1.9695059400299149</v>
      </c>
      <c r="AN347" s="162">
        <v>-0.21945604185336717</v>
      </c>
      <c r="AO347" s="162">
        <v>2.4999996390447317</v>
      </c>
      <c r="AP347" s="162">
        <v>-15.99999768988615</v>
      </c>
      <c r="AQ347" s="162">
        <v>0</v>
      </c>
      <c r="AR347" s="710" t="str">
        <v>1613.par</v>
      </c>
      <c r="AV347" s="82" t="str">
        <v>0,102,204</v>
      </c>
      <c r="AW347" s="951">
        <v>0</v>
      </c>
      <c r="AX347" s="951">
        <v>2.4999996390447317</v>
      </c>
      <c r="AY347" s="951">
        <v>0</v>
      </c>
    </row>
    <row r="348" spans="27:51" x14ac:dyDescent="0.25">
      <c r="AA348" s="82"/>
      <c r="AB348" s="75"/>
      <c r="AC348" s="75"/>
      <c r="AD348" s="166"/>
      <c r="AE348" s="75">
        <v>5.1050000000000004</v>
      </c>
      <c r="AF348" s="82">
        <v>5</v>
      </c>
      <c r="AG348" s="82">
        <v>1</v>
      </c>
      <c r="AH348" s="82">
        <v>1</v>
      </c>
      <c r="AI348" s="82">
        <v>2.0000000000436557</v>
      </c>
      <c r="AJ348" s="166">
        <v>5.1051200000000003</v>
      </c>
      <c r="AK348" s="82" t="str">
        <v>Base</v>
      </c>
      <c r="AL348" s="162">
        <v>-15</v>
      </c>
      <c r="AM348" s="162">
        <v>-1.2694038285219469</v>
      </c>
      <c r="AN348" s="162">
        <v>-0.38525654191980208</v>
      </c>
      <c r="AO348" s="162">
        <v>-1.9999997112357779</v>
      </c>
      <c r="AP348" s="162">
        <v>-15.999997689886136</v>
      </c>
      <c r="AQ348" s="162">
        <v>0</v>
      </c>
      <c r="AR348" s="710" t="str">
        <v>1613.par</v>
      </c>
      <c r="AV348" s="82" t="str">
        <v>0,102,204</v>
      </c>
      <c r="AW348" s="951">
        <v>0</v>
      </c>
      <c r="AX348" s="951">
        <v>-1.9999997112357779</v>
      </c>
      <c r="AY348" s="951">
        <v>0</v>
      </c>
    </row>
    <row r="349" spans="27:51" x14ac:dyDescent="0.25">
      <c r="AA349" s="82"/>
      <c r="AB349" s="75"/>
      <c r="AC349" s="75"/>
      <c r="AD349" s="166"/>
      <c r="AE349" s="75">
        <v>5.1020000000000003</v>
      </c>
      <c r="AF349" s="82">
        <v>5</v>
      </c>
      <c r="AG349" s="82">
        <v>1</v>
      </c>
      <c r="AH349" s="82">
        <v>1</v>
      </c>
      <c r="AI349" s="82">
        <v>2.0000000000436557</v>
      </c>
      <c r="AJ349" s="166">
        <v>5.1021200000000002</v>
      </c>
      <c r="AK349" s="82" t="str">
        <v>Base</v>
      </c>
      <c r="AL349" s="162">
        <v>-15</v>
      </c>
      <c r="AM349" s="162">
        <v>-0.57390173088762031</v>
      </c>
      <c r="AN349" s="162">
        <v>-0.57155710380229641</v>
      </c>
      <c r="AO349" s="162">
        <v>-5.9999991337073002</v>
      </c>
      <c r="AP349" s="162">
        <v>-18.999997256739807</v>
      </c>
      <c r="AQ349" s="162">
        <v>0</v>
      </c>
      <c r="AR349" s="710" t="str">
        <v>1613.par</v>
      </c>
      <c r="AV349" s="82" t="str">
        <v>0,102,204</v>
      </c>
      <c r="AW349" s="951">
        <v>0</v>
      </c>
      <c r="AX349" s="951">
        <v>-5.9999991337073002</v>
      </c>
      <c r="AY349" s="951">
        <v>0</v>
      </c>
    </row>
    <row r="350" spans="27:51" x14ac:dyDescent="0.25">
      <c r="AA350" s="82"/>
      <c r="AB350" s="75"/>
      <c r="AC350" s="75"/>
      <c r="AD350" s="166"/>
      <c r="AE350" s="75">
        <v>4.2439999999999998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4.2441199999999997</v>
      </c>
      <c r="AK350" s="82" t="str">
        <v>Base</v>
      </c>
      <c r="AL350" s="162">
        <v>-14.25</v>
      </c>
      <c r="AM350" s="162">
        <v>-4.6871636932366254</v>
      </c>
      <c r="AN350" s="162">
        <v>-3.302379787887169</v>
      </c>
      <c r="AO350" s="162">
        <v>85.029987723188711</v>
      </c>
      <c r="AP350" s="162">
        <v>0</v>
      </c>
      <c r="AQ350" s="162">
        <v>0</v>
      </c>
      <c r="AR350" s="710" t="str">
        <v>1613.par</v>
      </c>
      <c r="AV350" s="82" t="str">
        <v>91,255,255</v>
      </c>
      <c r="AW350" s="951">
        <v>0</v>
      </c>
      <c r="AX350" s="951">
        <v>85.029987723188711</v>
      </c>
      <c r="AY350" s="951">
        <v>0</v>
      </c>
    </row>
    <row r="351" spans="27:51" x14ac:dyDescent="0.25">
      <c r="AA351" s="82"/>
      <c r="AB351" s="75"/>
      <c r="AC351" s="75"/>
      <c r="AD351" s="166"/>
      <c r="AE351" s="75">
        <v>4.2380000000000004</v>
      </c>
      <c r="AF351" s="82">
        <v>4</v>
      </c>
      <c r="AG351" s="82">
        <v>2</v>
      </c>
      <c r="AH351" s="82">
        <v>1</v>
      </c>
      <c r="AI351" s="82">
        <v>2.0000000000436557</v>
      </c>
      <c r="AJ351" s="166">
        <v>4.2381200000000003</v>
      </c>
      <c r="AK351" s="82" t="str">
        <v>Base</v>
      </c>
      <c r="AL351" s="162">
        <v>-14.25</v>
      </c>
      <c r="AM351" s="162">
        <v>-4.6244090295939042</v>
      </c>
      <c r="AN351" s="162">
        <v>-2.4958361206568425</v>
      </c>
      <c r="AO351" s="162">
        <v>81.919988172217103</v>
      </c>
      <c r="AP351" s="162">
        <v>0</v>
      </c>
      <c r="AQ351" s="162">
        <v>0</v>
      </c>
      <c r="AR351" s="710" t="str">
        <v>1613.par</v>
      </c>
      <c r="AV351" s="82" t="str">
        <v>91,255,255</v>
      </c>
      <c r="AW351" s="951">
        <v>0</v>
      </c>
      <c r="AX351" s="951">
        <v>81.919988172217103</v>
      </c>
      <c r="AY351" s="951">
        <v>0</v>
      </c>
    </row>
    <row r="352" spans="27:51" x14ac:dyDescent="0.25">
      <c r="AA352" s="82"/>
      <c r="AB352" s="75"/>
      <c r="AC352" s="75"/>
      <c r="AD352" s="166"/>
      <c r="AE352" s="75">
        <v>4.2320000000000002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4.2321200000000001</v>
      </c>
      <c r="AK352" s="82" t="str">
        <v>Base</v>
      </c>
      <c r="AL352" s="162">
        <v>-14.25</v>
      </c>
      <c r="AM352" s="162">
        <v>-4.4414713908579211</v>
      </c>
      <c r="AN352" s="162">
        <v>-1.7682272491210476</v>
      </c>
      <c r="AO352" s="162">
        <v>65.089990602168101</v>
      </c>
      <c r="AP352" s="162">
        <v>0</v>
      </c>
      <c r="AQ352" s="162">
        <v>0</v>
      </c>
      <c r="AR352" s="710" t="str">
        <v>1313.par</v>
      </c>
      <c r="AV352" s="82" t="str">
        <v>91,255,255</v>
      </c>
      <c r="AW352" s="951">
        <v>0</v>
      </c>
      <c r="AX352" s="951">
        <v>65.089990602168101</v>
      </c>
      <c r="AY352" s="951">
        <v>0</v>
      </c>
    </row>
    <row r="353" spans="27:51" x14ac:dyDescent="0.25">
      <c r="AA353" s="82"/>
      <c r="AB353" s="75"/>
      <c r="AC353" s="75"/>
      <c r="AD353" s="166"/>
      <c r="AE353" s="75">
        <v>4.226</v>
      </c>
      <c r="AF353" s="82">
        <v>4</v>
      </c>
      <c r="AG353" s="82">
        <v>2</v>
      </c>
      <c r="AH353" s="82">
        <v>1</v>
      </c>
      <c r="AI353" s="82">
        <v>1.9999999999708962</v>
      </c>
      <c r="AJ353" s="166">
        <v>4.2261199999999999</v>
      </c>
      <c r="AK353" s="82" t="str">
        <v>Base</v>
      </c>
      <c r="AL353" s="162">
        <v>-14.25</v>
      </c>
      <c r="AM353" s="162">
        <v>-4.0800918506455561</v>
      </c>
      <c r="AN353" s="162">
        <v>-1.0993418235251897</v>
      </c>
      <c r="AO353" s="162">
        <v>47.49999314184948</v>
      </c>
      <c r="AP353" s="162">
        <v>-26.59999615943568</v>
      </c>
      <c r="AQ353" s="162">
        <v>0</v>
      </c>
      <c r="AR353" s="710" t="str">
        <v>1313.par</v>
      </c>
      <c r="AV353" s="82" t="str">
        <v>91,255,255</v>
      </c>
      <c r="AW353" s="951">
        <v>0</v>
      </c>
      <c r="AX353" s="951">
        <v>47.49999314184948</v>
      </c>
      <c r="AY353" s="951">
        <v>0</v>
      </c>
    </row>
    <row r="354" spans="27:51" x14ac:dyDescent="0.25">
      <c r="AA354" s="82"/>
      <c r="AB354" s="75"/>
      <c r="AC354" s="75"/>
      <c r="AD354" s="166"/>
      <c r="AE354" s="75">
        <v>4.22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4.2201199999999996</v>
      </c>
      <c r="AK354" s="82" t="str">
        <v>Base</v>
      </c>
      <c r="AL354" s="162">
        <v>-14.25</v>
      </c>
      <c r="AM354" s="162">
        <v>-3.5246263419381556</v>
      </c>
      <c r="AN354" s="162">
        <v>-0.58640355541278666</v>
      </c>
      <c r="AO354" s="162">
        <v>32.499995307581187</v>
      </c>
      <c r="AP354" s="162">
        <v>-23.239996644559596</v>
      </c>
      <c r="AQ354" s="162">
        <v>0</v>
      </c>
      <c r="AR354" s="710" t="str">
        <v>1313.par</v>
      </c>
      <c r="AV354" s="82" t="str">
        <v>91,255,255</v>
      </c>
      <c r="AW354" s="951">
        <v>0</v>
      </c>
      <c r="AX354" s="951">
        <v>32.499995307581187</v>
      </c>
      <c r="AY354" s="951">
        <v>0</v>
      </c>
    </row>
    <row r="355" spans="27:51" x14ac:dyDescent="0.25">
      <c r="AA355" s="82"/>
      <c r="AB355" s="75"/>
      <c r="AC355" s="75"/>
      <c r="AD355" s="166"/>
      <c r="AE355" s="75">
        <v>4.1440000000000001</v>
      </c>
      <c r="AF355" s="82">
        <v>4</v>
      </c>
      <c r="AG355" s="82">
        <v>1</v>
      </c>
      <c r="AH355" s="82">
        <v>1</v>
      </c>
      <c r="AI355" s="82">
        <v>1.9999999999708962</v>
      </c>
      <c r="AJ355" s="166">
        <v>4.14412</v>
      </c>
      <c r="AK355" s="82" t="str">
        <v>Base</v>
      </c>
      <c r="AL355" s="162">
        <v>-13.5</v>
      </c>
      <c r="AM355" s="162">
        <v>-4.6915141496066752</v>
      </c>
      <c r="AN355" s="162">
        <v>-3.2948643180408745</v>
      </c>
      <c r="AO355" s="162">
        <v>84.999987727520178</v>
      </c>
      <c r="AP355" s="162">
        <v>-29.999995668536549</v>
      </c>
      <c r="AQ355" s="162">
        <v>0</v>
      </c>
      <c r="AR355" s="710" t="str">
        <v>1613.par</v>
      </c>
      <c r="AV355" s="82" t="str">
        <v>0,204,204</v>
      </c>
      <c r="AW355" s="951">
        <v>0</v>
      </c>
      <c r="AX355" s="951">
        <v>84.999987727520178</v>
      </c>
      <c r="AY355" s="951">
        <v>0</v>
      </c>
    </row>
    <row r="356" spans="27:51" x14ac:dyDescent="0.25">
      <c r="AA356" s="82"/>
      <c r="AB356" s="75"/>
      <c r="AC356" s="75"/>
      <c r="AD356" s="166"/>
      <c r="AE356" s="75">
        <v>4.1379999999999999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4.1381199999999998</v>
      </c>
      <c r="AK356" s="82" t="str">
        <v>Base</v>
      </c>
      <c r="AL356" s="162">
        <v>-13.5</v>
      </c>
      <c r="AM356" s="162">
        <v>-4.6238139454228611</v>
      </c>
      <c r="AN356" s="162">
        <v>-2.4893174438914807</v>
      </c>
      <c r="AO356" s="162">
        <v>77.499988810386057</v>
      </c>
      <c r="AP356" s="162">
        <v>-28.319995911098463</v>
      </c>
      <c r="AQ356" s="162">
        <v>0</v>
      </c>
      <c r="AR356" s="710" t="str">
        <v>1613.par</v>
      </c>
      <c r="AV356" s="82" t="str">
        <v>0,204,204</v>
      </c>
      <c r="AW356" s="951">
        <v>0</v>
      </c>
      <c r="AX356" s="951">
        <v>77.499988810386057</v>
      </c>
      <c r="AY356" s="951">
        <v>0</v>
      </c>
    </row>
    <row r="357" spans="27:51" x14ac:dyDescent="0.25">
      <c r="AA357" s="82"/>
      <c r="AB357" s="75"/>
      <c r="AC357" s="75"/>
      <c r="AD357" s="166"/>
      <c r="AE357" s="75">
        <v>4.1319999999999997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4.1321199999999996</v>
      </c>
      <c r="AK357" s="82" t="str">
        <v>Base</v>
      </c>
      <c r="AL357" s="162">
        <v>-13.5</v>
      </c>
      <c r="AM357" s="162">
        <v>-4.4327133690635208</v>
      </c>
      <c r="AN357" s="162">
        <v>-1.7664541521857395</v>
      </c>
      <c r="AO357" s="162">
        <v>62.499990976117807</v>
      </c>
      <c r="AP357" s="162">
        <v>-24.959996396222365</v>
      </c>
      <c r="AQ357" s="162">
        <v>0</v>
      </c>
      <c r="AR357" s="710" t="str">
        <v>1613.par</v>
      </c>
      <c r="AV357" s="82" t="str">
        <v>0,204,204</v>
      </c>
      <c r="AW357" s="951">
        <v>0</v>
      </c>
      <c r="AX357" s="951">
        <v>62.499990976117807</v>
      </c>
      <c r="AY357" s="951">
        <v>0</v>
      </c>
    </row>
    <row r="358" spans="27:51" x14ac:dyDescent="0.25">
      <c r="AA358" s="82"/>
      <c r="AB358" s="75"/>
      <c r="AC358" s="75"/>
      <c r="AD358" s="166"/>
      <c r="AE358" s="75">
        <v>4.1260000000000003</v>
      </c>
      <c r="AF358" s="82">
        <v>4</v>
      </c>
      <c r="AG358" s="82">
        <v>1</v>
      </c>
      <c r="AH358" s="82">
        <v>1</v>
      </c>
      <c r="AI358" s="82">
        <v>2.0000000000436557</v>
      </c>
      <c r="AJ358" s="166">
        <v>4.1261200000000002</v>
      </c>
      <c r="AK358" s="82" t="str">
        <v>Base</v>
      </c>
      <c r="AL358" s="162">
        <v>-13.5</v>
      </c>
      <c r="AM358" s="162">
        <v>-4.0538122262976746</v>
      </c>
      <c r="AN358" s="162">
        <v>-1.122325356790314</v>
      </c>
      <c r="AO358" s="162">
        <v>47.499993141849522</v>
      </c>
      <c r="AP358" s="162">
        <v>-21.599996881346296</v>
      </c>
      <c r="AQ358" s="162">
        <v>0</v>
      </c>
      <c r="AR358" s="710" t="str">
        <v>1613.par</v>
      </c>
      <c r="AV358" s="82" t="str">
        <v>0,204,204</v>
      </c>
      <c r="AW358" s="951">
        <v>0</v>
      </c>
      <c r="AX358" s="951">
        <v>47.499993141849522</v>
      </c>
      <c r="AY358" s="951">
        <v>0</v>
      </c>
    </row>
    <row r="359" spans="27:51" x14ac:dyDescent="0.25">
      <c r="AA359" s="82"/>
      <c r="AB359" s="75"/>
      <c r="AC359" s="75"/>
      <c r="AD359" s="166"/>
      <c r="AE359" s="75">
        <v>4.12</v>
      </c>
      <c r="AF359" s="82">
        <v>4</v>
      </c>
      <c r="AG359" s="82">
        <v>1</v>
      </c>
      <c r="AH359" s="82">
        <v>1</v>
      </c>
      <c r="AI359" s="82">
        <v>1.9999999999708962</v>
      </c>
      <c r="AJ359" s="166">
        <v>4.12012</v>
      </c>
      <c r="AK359" s="82" t="str">
        <v>Base</v>
      </c>
      <c r="AL359" s="162">
        <v>-13.5</v>
      </c>
      <c r="AM359" s="162">
        <v>-3.5056105729214884</v>
      </c>
      <c r="AN359" s="162">
        <v>-0.61498030698038164</v>
      </c>
      <c r="AO359" s="162">
        <v>32.499995307581308</v>
      </c>
      <c r="AP359" s="162">
        <v>-18.239997366470227</v>
      </c>
      <c r="AQ359" s="162">
        <v>0</v>
      </c>
      <c r="AR359" s="710" t="str">
        <v>1613.par</v>
      </c>
      <c r="AV359" s="82" t="str">
        <v>0,204,204</v>
      </c>
      <c r="AW359" s="951">
        <v>0</v>
      </c>
      <c r="AX359" s="951">
        <v>32.499995307581308</v>
      </c>
      <c r="AY359" s="951">
        <v>0</v>
      </c>
    </row>
    <row r="360" spans="27:51" x14ac:dyDescent="0.25">
      <c r="AA360" s="82"/>
      <c r="AB360" s="75"/>
      <c r="AC360" s="75"/>
      <c r="AD360" s="166"/>
      <c r="AE360" s="75">
        <v>4.1139999999999999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4.1141199999999998</v>
      </c>
      <c r="AK360" s="82" t="str">
        <v>Base</v>
      </c>
      <c r="AL360" s="162">
        <v>-13.5</v>
      </c>
      <c r="AM360" s="162">
        <v>-2.8271085265593161</v>
      </c>
      <c r="AN360" s="162">
        <v>-0.30342658845923426</v>
      </c>
      <c r="AO360" s="162">
        <v>17.499997473312991</v>
      </c>
      <c r="AP360" s="162">
        <v>-15.999997689886136</v>
      </c>
      <c r="AQ360" s="162">
        <v>0</v>
      </c>
      <c r="AR360" s="710" t="str">
        <v>1613.par</v>
      </c>
      <c r="AV360" s="82" t="str">
        <v>0,204,204</v>
      </c>
      <c r="AW360" s="951">
        <v>0</v>
      </c>
      <c r="AX360" s="951">
        <v>17.499997473312991</v>
      </c>
      <c r="AY360" s="951">
        <v>0</v>
      </c>
    </row>
    <row r="361" spans="27:51" x14ac:dyDescent="0.25">
      <c r="AA361" s="82"/>
      <c r="AB361" s="75"/>
      <c r="AC361" s="75"/>
      <c r="AD361" s="166"/>
      <c r="AE361" s="75">
        <v>3.2450000000000001</v>
      </c>
      <c r="AF361" s="82">
        <v>3</v>
      </c>
      <c r="AG361" s="82">
        <v>2</v>
      </c>
      <c r="AH361" s="82">
        <v>1</v>
      </c>
      <c r="AI361" s="82">
        <v>2.000000000007276</v>
      </c>
      <c r="AJ361" s="166">
        <v>3.24512</v>
      </c>
      <c r="AK361" s="82" t="str">
        <v>Base</v>
      </c>
      <c r="AL361" s="162">
        <v>-12.75</v>
      </c>
      <c r="AM361" s="162">
        <v>-4.6871636932366263</v>
      </c>
      <c r="AN361" s="162">
        <v>-3.4552557085639539</v>
      </c>
      <c r="AO361" s="162">
        <v>85.029987723188739</v>
      </c>
      <c r="AP361" s="162">
        <v>0</v>
      </c>
      <c r="AQ361" s="162">
        <v>0</v>
      </c>
      <c r="AR361" s="710" t="str">
        <v>1613.par</v>
      </c>
      <c r="AV361" s="82" t="str">
        <v>97,255,97</v>
      </c>
      <c r="AW361" s="951">
        <v>0</v>
      </c>
      <c r="AX361" s="951">
        <v>85.029987723188739</v>
      </c>
      <c r="AY361" s="951">
        <v>0</v>
      </c>
    </row>
    <row r="362" spans="27:51" x14ac:dyDescent="0.25">
      <c r="AE362">
        <v>3.2389999999999999</v>
      </c>
      <c r="AF362" s="82">
        <v>3</v>
      </c>
      <c r="AG362">
        <v>2</v>
      </c>
      <c r="AH362">
        <v>1</v>
      </c>
      <c r="AI362">
        <v>1.9999999999708962</v>
      </c>
      <c r="AJ362">
        <v>3.2391199999999998</v>
      </c>
      <c r="AK362" t="str">
        <v>Base</v>
      </c>
      <c r="AL362">
        <v>-12.75</v>
      </c>
      <c r="AM362">
        <v>-4.6358053718246754</v>
      </c>
      <c r="AN362">
        <v>-2.6483890065214188</v>
      </c>
      <c r="AO362">
        <v>84.709987769390992</v>
      </c>
      <c r="AP362">
        <v>0</v>
      </c>
      <c r="AQ362">
        <v>0</v>
      </c>
      <c r="AR362" t="str">
        <v>1613.par</v>
      </c>
      <c r="AV362" t="str">
        <v>97,255,97</v>
      </c>
      <c r="AW362" s="31">
        <v>0</v>
      </c>
      <c r="AX362" s="31">
        <v>84.709987769390992</v>
      </c>
      <c r="AY362" s="31">
        <v>0</v>
      </c>
    </row>
    <row r="363" spans="27:51" x14ac:dyDescent="0.25">
      <c r="AE363">
        <v>3.2330000000000001</v>
      </c>
      <c r="AF363" s="82">
        <v>3</v>
      </c>
      <c r="AG363">
        <v>2</v>
      </c>
      <c r="AH363">
        <v>1</v>
      </c>
      <c r="AI363">
        <v>2.000000000007276</v>
      </c>
      <c r="AJ363">
        <v>3.23312</v>
      </c>
      <c r="AK363" t="str">
        <v>Base</v>
      </c>
      <c r="AL363">
        <v>-12.75</v>
      </c>
      <c r="AM363">
        <v>-4.4855214378891013</v>
      </c>
      <c r="AN363">
        <v>-1.9136196790575626</v>
      </c>
      <c r="AO363">
        <v>67.869990200785836</v>
      </c>
      <c r="AP363">
        <v>0</v>
      </c>
      <c r="AQ363">
        <v>0</v>
      </c>
      <c r="AR363" t="str">
        <v>1313.par</v>
      </c>
      <c r="AV363" t="str">
        <v>97,255,97</v>
      </c>
      <c r="AW363" s="31">
        <v>0</v>
      </c>
      <c r="AX363" s="31">
        <v>67.869990200785836</v>
      </c>
      <c r="AY363" s="31">
        <v>0</v>
      </c>
    </row>
    <row r="364" spans="27:51" x14ac:dyDescent="0.25">
      <c r="AE364">
        <v>3.2269999999999999</v>
      </c>
      <c r="AF364" s="82">
        <v>3</v>
      </c>
      <c r="AG364">
        <v>2</v>
      </c>
      <c r="AH364">
        <v>1</v>
      </c>
      <c r="AI364">
        <v>1.9999999999708962</v>
      </c>
      <c r="AJ364">
        <v>3.2271199999999998</v>
      </c>
      <c r="AK364" t="str">
        <v>Base</v>
      </c>
      <c r="AL364">
        <v>-12.75</v>
      </c>
      <c r="AM364">
        <v>-4.1567354941134766</v>
      </c>
      <c r="AN364">
        <v>-1.2276980555587804</v>
      </c>
      <c r="AO364">
        <v>49.999992780894232</v>
      </c>
      <c r="AP364">
        <v>-27.159996078581734</v>
      </c>
      <c r="AQ364">
        <v>0</v>
      </c>
      <c r="AR364" t="str">
        <v>1313.par</v>
      </c>
      <c r="AV364" t="str">
        <v>97,255,97</v>
      </c>
      <c r="AW364" s="31">
        <v>0</v>
      </c>
      <c r="AX364" s="31">
        <v>49.999992780894232</v>
      </c>
      <c r="AY364" s="31">
        <v>0</v>
      </c>
    </row>
    <row r="365" spans="27:51" x14ac:dyDescent="0.25">
      <c r="AE365">
        <v>3.2210000000000001</v>
      </c>
      <c r="AF365" s="82">
        <v>3</v>
      </c>
      <c r="AG365">
        <v>2</v>
      </c>
      <c r="AH365">
        <v>1</v>
      </c>
      <c r="AI365">
        <v>2.000000000007276</v>
      </c>
      <c r="AJ365">
        <v>3.22112</v>
      </c>
      <c r="AK365" t="str">
        <v>Base</v>
      </c>
      <c r="AL365">
        <v>-12.75</v>
      </c>
      <c r="AM365">
        <v>-3.6277423039980539</v>
      </c>
      <c r="AN365">
        <v>-0.68739265861439725</v>
      </c>
      <c r="AO365">
        <v>34.999994946626003</v>
      </c>
      <c r="AP365">
        <v>-23.799996563705651</v>
      </c>
      <c r="AQ365">
        <v>0</v>
      </c>
      <c r="AR365" t="str">
        <v>1313.par</v>
      </c>
      <c r="AV365" t="str">
        <v>97,255,97</v>
      </c>
      <c r="AW365" s="31">
        <v>0</v>
      </c>
      <c r="AX365" s="31">
        <v>34.999994946626003</v>
      </c>
      <c r="AY365" s="31">
        <v>0</v>
      </c>
    </row>
    <row r="366" spans="27:51" x14ac:dyDescent="0.25">
      <c r="AE366">
        <v>3.2149999999999999</v>
      </c>
      <c r="AF366" s="82">
        <v>3</v>
      </c>
      <c r="AG366">
        <v>2</v>
      </c>
      <c r="AH366">
        <v>1</v>
      </c>
      <c r="AI366">
        <v>1.9999999999708962</v>
      </c>
      <c r="AJ366">
        <v>3.2151199999999998</v>
      </c>
      <c r="AK366" t="str">
        <v>Base</v>
      </c>
      <c r="AL366">
        <v>-12.75</v>
      </c>
      <c r="AM366">
        <v>-2.9587195984197217</v>
      </c>
      <c r="AN366">
        <v>-0.33587391400027444</v>
      </c>
      <c r="AO366">
        <v>19.999997112357644</v>
      </c>
      <c r="AP366">
        <v>-20.999996967975559</v>
      </c>
      <c r="AQ366">
        <v>0</v>
      </c>
      <c r="AR366" t="str">
        <v>1313.par</v>
      </c>
      <c r="AV366" t="str">
        <v>97,255,97</v>
      </c>
      <c r="AW366" s="31">
        <v>0</v>
      </c>
      <c r="AX366" s="31">
        <v>19.999997112357644</v>
      </c>
      <c r="AY366" s="31">
        <v>0</v>
      </c>
    </row>
    <row r="367" spans="27:51" x14ac:dyDescent="0.25">
      <c r="AE367">
        <v>3.145</v>
      </c>
      <c r="AF367" s="82">
        <v>3</v>
      </c>
      <c r="AG367">
        <v>1</v>
      </c>
      <c r="AH367">
        <v>1</v>
      </c>
      <c r="AI367">
        <v>2.000000000007276</v>
      </c>
      <c r="AJ367">
        <v>3.1451199999999999</v>
      </c>
      <c r="AK367" t="str">
        <v>Base</v>
      </c>
      <c r="AL367">
        <v>-12</v>
      </c>
      <c r="AM367">
        <v>-4.6915141496066752</v>
      </c>
      <c r="AN367">
        <v>-3.4476424688152369</v>
      </c>
      <c r="AO367">
        <v>84.999987727520178</v>
      </c>
      <c r="AP367">
        <v>-29.99999566853651</v>
      </c>
      <c r="AQ367">
        <v>0</v>
      </c>
      <c r="AR367" t="str">
        <v>1613.par</v>
      </c>
      <c r="AV367" t="str">
        <v>0,204,0</v>
      </c>
      <c r="AW367" s="31">
        <v>0</v>
      </c>
      <c r="AX367" s="31">
        <v>84.999987727520178</v>
      </c>
      <c r="AY367" s="31">
        <v>0</v>
      </c>
    </row>
    <row r="368" spans="27:51" x14ac:dyDescent="0.25">
      <c r="AE368">
        <v>3.1389999999999998</v>
      </c>
      <c r="AF368" s="82">
        <v>3</v>
      </c>
      <c r="AG368">
        <v>1</v>
      </c>
      <c r="AH368">
        <v>1</v>
      </c>
      <c r="AI368">
        <v>1.9999999999708962</v>
      </c>
      <c r="AJ368">
        <v>3.1391199999999997</v>
      </c>
      <c r="AK368" t="str">
        <v>Base</v>
      </c>
      <c r="AL368">
        <v>-12</v>
      </c>
      <c r="AM368">
        <v>-4.6368139846309777</v>
      </c>
      <c r="AN368">
        <v>-2.641481703963291</v>
      </c>
      <c r="AO368">
        <v>79.999988449430745</v>
      </c>
      <c r="AP368">
        <v>-28.87999583024444</v>
      </c>
      <c r="AQ368">
        <v>0</v>
      </c>
      <c r="AR368" t="str">
        <v>1613.par</v>
      </c>
      <c r="AV368" t="str">
        <v>0,204,0</v>
      </c>
      <c r="AW368" s="31">
        <v>0</v>
      </c>
      <c r="AX368" s="31">
        <v>79.999988449430745</v>
      </c>
      <c r="AY368" s="31">
        <v>0</v>
      </c>
    </row>
    <row r="369" spans="31:51" x14ac:dyDescent="0.25">
      <c r="AE369">
        <v>3.133</v>
      </c>
      <c r="AF369" s="82">
        <v>3</v>
      </c>
      <c r="AG369">
        <v>1</v>
      </c>
      <c r="AH369">
        <v>1</v>
      </c>
      <c r="AI369">
        <v>2.000000000007276</v>
      </c>
      <c r="AJ369">
        <v>3.1331199999999999</v>
      </c>
      <c r="AK369" t="str">
        <v>Base</v>
      </c>
      <c r="AL369">
        <v>-12</v>
      </c>
      <c r="AM369">
        <v>-4.4779135053871322</v>
      </c>
      <c r="AN369">
        <v>-1.9107998702228983</v>
      </c>
      <c r="AO369">
        <v>64.999990615162503</v>
      </c>
      <c r="AP369">
        <v>-25.519996315368395</v>
      </c>
      <c r="AQ369">
        <v>0</v>
      </c>
      <c r="AR369" t="str">
        <v>1613.par</v>
      </c>
      <c r="AV369" t="str">
        <v>0,204,0</v>
      </c>
      <c r="AW369" s="31">
        <v>0</v>
      </c>
      <c r="AX369" s="31">
        <v>64.999990615162503</v>
      </c>
      <c r="AY369" s="31">
        <v>0</v>
      </c>
    </row>
    <row r="370" spans="31:51" x14ac:dyDescent="0.25">
      <c r="AE370">
        <v>3.1269999999999998</v>
      </c>
      <c r="AF370" s="82">
        <v>3</v>
      </c>
      <c r="AG370">
        <v>1</v>
      </c>
      <c r="AH370">
        <v>1</v>
      </c>
      <c r="AI370">
        <v>1.9999999999708962</v>
      </c>
      <c r="AJ370">
        <v>3.1271199999999997</v>
      </c>
      <c r="AK370" t="str">
        <v>Base</v>
      </c>
      <c r="AL370">
        <v>-12</v>
      </c>
      <c r="AM370">
        <v>-4.1294124543079631</v>
      </c>
      <c r="AN370">
        <v>-1.2495478750907223</v>
      </c>
      <c r="AO370">
        <v>49.999992780894218</v>
      </c>
      <c r="AP370">
        <v>-22.159996800492262</v>
      </c>
      <c r="AQ370">
        <v>0</v>
      </c>
      <c r="AR370" t="str">
        <v>1613.par</v>
      </c>
      <c r="AV370" t="str">
        <v>0,204,0</v>
      </c>
      <c r="AW370" s="31">
        <v>0</v>
      </c>
      <c r="AX370" s="31">
        <v>49.999992780894218</v>
      </c>
      <c r="AY370" s="31">
        <v>0</v>
      </c>
    </row>
    <row r="371" spans="31:51" x14ac:dyDescent="0.25">
      <c r="AE371">
        <v>3.121</v>
      </c>
      <c r="AF371" s="82">
        <v>3</v>
      </c>
      <c r="AG371">
        <v>1</v>
      </c>
      <c r="AH371">
        <v>1</v>
      </c>
      <c r="AI371">
        <v>2.000000000007276</v>
      </c>
      <c r="AJ371">
        <v>3.1211199999999999</v>
      </c>
      <c r="AK371" t="str">
        <v>Base</v>
      </c>
      <c r="AL371">
        <v>-12</v>
      </c>
      <c r="AM371">
        <v>-3.6074108799512135</v>
      </c>
      <c r="AN371">
        <v>-0.71519348460881083</v>
      </c>
      <c r="AO371">
        <v>34.999994946626082</v>
      </c>
      <c r="AP371">
        <v>-18.799997285616254</v>
      </c>
      <c r="AQ371">
        <v>0</v>
      </c>
      <c r="AR371" t="str">
        <v>1613.par</v>
      </c>
      <c r="AV371" t="str">
        <v>0,204,0</v>
      </c>
      <c r="AW371" s="31">
        <v>0</v>
      </c>
      <c r="AX371" s="31">
        <v>34.999994946626082</v>
      </c>
      <c r="AY371" s="31">
        <v>0</v>
      </c>
    </row>
    <row r="372" spans="31:51" x14ac:dyDescent="0.25">
      <c r="AE372">
        <v>3.1150000000000002</v>
      </c>
      <c r="AF372" s="82">
        <v>3</v>
      </c>
      <c r="AG372">
        <v>1</v>
      </c>
      <c r="AH372">
        <v>1</v>
      </c>
      <c r="AI372">
        <v>2.000000000007276</v>
      </c>
      <c r="AJ372">
        <v>3.1151200000000001</v>
      </c>
      <c r="AK372" t="str">
        <v>Base</v>
      </c>
      <c r="AL372">
        <v>-12</v>
      </c>
      <c r="AM372">
        <v>-2.9467088872740037</v>
      </c>
      <c r="AN372">
        <v>-0.36735354549341698</v>
      </c>
      <c r="AO372">
        <v>19.999997112357622</v>
      </c>
      <c r="AP372">
        <v>-15.999997689886111</v>
      </c>
      <c r="AQ372">
        <v>0</v>
      </c>
      <c r="AR372" t="str">
        <v>1613.par</v>
      </c>
      <c r="AV372" t="str">
        <v>0,204,0</v>
      </c>
      <c r="AW372" s="31">
        <v>0</v>
      </c>
      <c r="AX372" s="31">
        <v>19.999997112357622</v>
      </c>
      <c r="AY372" s="31">
        <v>0</v>
      </c>
    </row>
    <row r="373" spans="31:51" x14ac:dyDescent="0.25">
      <c r="AE373">
        <v>3.109</v>
      </c>
      <c r="AF373" s="82">
        <v>3</v>
      </c>
      <c r="AG373">
        <v>1</v>
      </c>
      <c r="AH373">
        <v>1</v>
      </c>
      <c r="AI373">
        <v>1.9999999999708962</v>
      </c>
      <c r="AJ373">
        <v>3.1091199999999999</v>
      </c>
      <c r="AK373" t="str">
        <v>Base</v>
      </c>
      <c r="AL373">
        <v>-12</v>
      </c>
      <c r="AM373">
        <v>-2.2088066617608919</v>
      </c>
      <c r="AN373">
        <v>-0.25456616761054074</v>
      </c>
      <c r="AO373">
        <v>4.9999992780894003</v>
      </c>
      <c r="AP373">
        <v>-15.99999768988615</v>
      </c>
      <c r="AQ373">
        <v>0</v>
      </c>
      <c r="AR373" t="str">
        <v>1613.par</v>
      </c>
      <c r="AV373" t="str">
        <v>0,204,0</v>
      </c>
      <c r="AW373" s="31">
        <v>0</v>
      </c>
      <c r="AX373" s="31">
        <v>4.9999992780894003</v>
      </c>
      <c r="AY373" s="31">
        <v>0</v>
      </c>
    </row>
    <row r="374" spans="31:51" x14ac:dyDescent="0.25">
      <c r="AE374">
        <v>3.1059999999999999</v>
      </c>
      <c r="AF374">
        <v>3</v>
      </c>
      <c r="AG374">
        <v>1</v>
      </c>
      <c r="AH374">
        <v>1</v>
      </c>
      <c r="AI374">
        <v>1.9999999999708962</v>
      </c>
      <c r="AJ374">
        <v>3.1061199999999998</v>
      </c>
      <c r="AK374" t="str">
        <v>Base</v>
      </c>
      <c r="AL374">
        <v>-12</v>
      </c>
      <c r="AM374">
        <v>-1.5012045276328554</v>
      </c>
      <c r="AN374">
        <v>-0.37547116187500162</v>
      </c>
      <c r="AO374">
        <v>-0.99999985561785909</v>
      </c>
      <c r="AP374">
        <v>-15.99999768988615</v>
      </c>
      <c r="AQ374">
        <v>0</v>
      </c>
      <c r="AR374" t="str">
        <v>1613.par</v>
      </c>
      <c r="AV374" t="str">
        <v>0,204,0</v>
      </c>
      <c r="AW374" s="31">
        <v>0</v>
      </c>
      <c r="AX374" s="31">
        <v>-0.99999985561785909</v>
      </c>
      <c r="AY374" s="31">
        <v>0</v>
      </c>
    </row>
    <row r="375" spans="31:51" x14ac:dyDescent="0.25">
      <c r="AE375">
        <v>3.1030000000000002</v>
      </c>
      <c r="AF375">
        <v>3</v>
      </c>
      <c r="AG375">
        <v>1</v>
      </c>
      <c r="AH375">
        <v>1</v>
      </c>
      <c r="AI375">
        <v>2.000000000007276</v>
      </c>
      <c r="AJ375">
        <v>3.1031200000000001</v>
      </c>
      <c r="AK375" t="str">
        <v>Base</v>
      </c>
      <c r="AL375">
        <v>-12</v>
      </c>
      <c r="AM375">
        <v>-0.80570242999852892</v>
      </c>
      <c r="AN375">
        <v>-0.56177172376355977</v>
      </c>
      <c r="AO375">
        <v>-3.9999994224715669</v>
      </c>
      <c r="AP375">
        <v>-16.999997545504019</v>
      </c>
      <c r="AQ375">
        <v>0</v>
      </c>
      <c r="AR375" t="str">
        <v>1613.par</v>
      </c>
      <c r="AV375" t="str">
        <v>0,204,0</v>
      </c>
      <c r="AW375" s="31">
        <v>0</v>
      </c>
      <c r="AX375" s="31">
        <v>-3.9999994224715669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-4.6915141496066752</v>
      </c>
      <c r="AN376">
        <v>-3.6096030242904575</v>
      </c>
      <c r="AO376">
        <v>84.999987727520178</v>
      </c>
      <c r="AP376">
        <v>0</v>
      </c>
      <c r="AQ376">
        <v>0</v>
      </c>
      <c r="AR376" t="str">
        <v>1613.par</v>
      </c>
      <c r="AV376" t="str">
        <v>255,255,91</v>
      </c>
      <c r="AW376" s="31">
        <v>0</v>
      </c>
      <c r="AX376" s="31">
        <v>84.999987727520178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-4.641753867709312</v>
      </c>
      <c r="AN377">
        <v>-2.8029734538062128</v>
      </c>
      <c r="AO377">
        <v>85.029987723188725</v>
      </c>
      <c r="AP377">
        <v>0</v>
      </c>
      <c r="AQ377">
        <v>0</v>
      </c>
      <c r="AR377" t="str">
        <v>1613.par</v>
      </c>
      <c r="AV377" t="str">
        <v>255,255,91</v>
      </c>
      <c r="AW377" s="31">
        <v>0</v>
      </c>
      <c r="AX377" s="31">
        <v>85.029987723188725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-4.5241783215267359</v>
      </c>
      <c r="AN378">
        <v>-2.0625754502278171</v>
      </c>
      <c r="AO378">
        <v>70.659989797959724</v>
      </c>
      <c r="AP378">
        <v>0</v>
      </c>
      <c r="AQ378">
        <v>0</v>
      </c>
      <c r="AR378" t="str">
        <v>1313.par</v>
      </c>
      <c r="AV378" t="str">
        <v>255,255,91</v>
      </c>
      <c r="AW378" s="31">
        <v>0</v>
      </c>
      <c r="AX378" s="31">
        <v>70.659989797959724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-4.2285242135679582</v>
      </c>
      <c r="AN379">
        <v>-1.3614658344640875</v>
      </c>
      <c r="AO379">
        <v>52.499992419938899</v>
      </c>
      <c r="AP379">
        <v>-27.719995997727715</v>
      </c>
      <c r="AQ379">
        <v>0</v>
      </c>
      <c r="AR379" t="str">
        <v>1313.par</v>
      </c>
      <c r="AV379" t="str">
        <v>255,255,91</v>
      </c>
      <c r="AW379" s="31">
        <v>0</v>
      </c>
      <c r="AX379" s="31">
        <v>52.499992419938899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-3.7269202858847215</v>
      </c>
      <c r="AN380">
        <v>-0.79560385317248805</v>
      </c>
      <c r="AO380">
        <v>37.49999458567072</v>
      </c>
      <c r="AP380">
        <v>-24.359996482851667</v>
      </c>
      <c r="AQ380">
        <v>0</v>
      </c>
      <c r="AR380" t="str">
        <v>1313.par</v>
      </c>
      <c r="AV380" t="str">
        <v>255,255,91</v>
      </c>
      <c r="AW380" s="31">
        <v>0</v>
      </c>
      <c r="AX380" s="31">
        <v>37.49999458567072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-3.077647924327358</v>
      </c>
      <c r="AN381">
        <v>-0.4086436028275382</v>
      </c>
      <c r="AO381">
        <v>22.499996751402406</v>
      </c>
      <c r="AP381">
        <v>-20.999996967975573</v>
      </c>
      <c r="AQ381">
        <v>0</v>
      </c>
      <c r="AR381" t="str">
        <v>1313.par</v>
      </c>
      <c r="AV381" t="str">
        <v>255,255,91</v>
      </c>
      <c r="AW381" s="31">
        <v>0</v>
      </c>
      <c r="AX381" s="31">
        <v>22.499996751402406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-4.6915141496066752</v>
      </c>
      <c r="AN382">
        <v>-3.6022724711619523</v>
      </c>
      <c r="AO382">
        <v>84.999987727520178</v>
      </c>
      <c r="AP382">
        <v>-29.999995668536549</v>
      </c>
      <c r="AQ382">
        <v>0</v>
      </c>
      <c r="AR382" t="str">
        <v>1613.par</v>
      </c>
      <c r="AV382" t="str">
        <v>204,204,0</v>
      </c>
      <c r="AW382" s="31">
        <v>0</v>
      </c>
      <c r="AX382" s="31">
        <v>84.999987727520178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-4.6444140075526468</v>
      </c>
      <c r="AN383">
        <v>-2.7958070757883693</v>
      </c>
      <c r="AO383">
        <v>82.499988088475476</v>
      </c>
      <c r="AP383">
        <v>-29.439995749390469</v>
      </c>
      <c r="AQ383">
        <v>0</v>
      </c>
      <c r="AR383" t="str">
        <v>1613.par</v>
      </c>
      <c r="AV383" t="str">
        <v>204,204,0</v>
      </c>
      <c r="AW383" s="31">
        <v>0</v>
      </c>
      <c r="AX383" s="31">
        <v>82.499988088475476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-4.5178136257258963</v>
      </c>
      <c r="AN384">
        <v>-2.0588020748901856</v>
      </c>
      <c r="AO384">
        <v>67.499990254207177</v>
      </c>
      <c r="AP384">
        <v>-26.079996234514347</v>
      </c>
      <c r="AQ384">
        <v>0</v>
      </c>
      <c r="AR384" t="str">
        <v>1613.par</v>
      </c>
      <c r="AV384" t="str">
        <v>204,204,0</v>
      </c>
      <c r="AW384" s="31">
        <v>0</v>
      </c>
      <c r="AX384" s="31">
        <v>67.499990254207177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-4.2002126678414058</v>
      </c>
      <c r="AN385">
        <v>-1.3821315148077515</v>
      </c>
      <c r="AO385">
        <v>52.499992419938948</v>
      </c>
      <c r="AP385">
        <v>-22.719996719638328</v>
      </c>
      <c r="AQ385">
        <v>0</v>
      </c>
      <c r="AR385" t="str">
        <v>1613.par</v>
      </c>
      <c r="AV385" t="str">
        <v>204,204,0</v>
      </c>
      <c r="AW385" s="31">
        <v>0</v>
      </c>
      <c r="AX385" s="31">
        <v>52.499992419938948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-3.7053111752185037</v>
      </c>
      <c r="AN386">
        <v>-0.8225631594234013</v>
      </c>
      <c r="AO386">
        <v>37.499994585670692</v>
      </c>
      <c r="AP386">
        <v>-19.35999720476222</v>
      </c>
      <c r="AQ386">
        <v>0</v>
      </c>
      <c r="AR386" t="str">
        <v>1613.par</v>
      </c>
      <c r="AV386" t="str">
        <v>204,204,0</v>
      </c>
      <c r="AW386" s="31">
        <v>0</v>
      </c>
      <c r="AX386" s="31">
        <v>37.499994585670692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-3.0642092416550737</v>
      </c>
      <c r="AN387">
        <v>-0.43962774408111255</v>
      </c>
      <c r="AO387">
        <v>22.499996751402488</v>
      </c>
      <c r="AP387">
        <v>-15.99999768988615</v>
      </c>
      <c r="AQ387">
        <v>0</v>
      </c>
      <c r="AR387" t="str">
        <v>1613.par</v>
      </c>
      <c r="AV387" t="str">
        <v>204,204,0</v>
      </c>
      <c r="AW387" s="31">
        <v>0</v>
      </c>
      <c r="AX387" s="31">
        <v>22.499996751402488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-2.3338070387620293</v>
      </c>
      <c r="AN388">
        <v>-0.28538190769450905</v>
      </c>
      <c r="AO388">
        <v>7.4999989171341195</v>
      </c>
      <c r="AP388">
        <v>-15.999997689886175</v>
      </c>
      <c r="AQ388">
        <v>0</v>
      </c>
      <c r="AR388" t="str">
        <v>1613.par</v>
      </c>
      <c r="AV388" t="str">
        <v>204,204,0</v>
      </c>
      <c r="AW388" s="31">
        <v>0</v>
      </c>
      <c r="AX388" s="31">
        <v>7.4999989171341195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-4.6871636932366254</v>
      </c>
      <c r="AN389">
        <v>-3.0136603646707738</v>
      </c>
      <c r="AO389">
        <v>85.029987723188711</v>
      </c>
      <c r="AP389">
        <v>0</v>
      </c>
      <c r="AQ389">
        <v>0</v>
      </c>
      <c r="AR389" t="str">
        <v>1613.par</v>
      </c>
      <c r="AV389" t="str">
        <v>255,188,121</v>
      </c>
      <c r="AW389" s="31">
        <v>0</v>
      </c>
      <c r="AX389" s="31">
        <v>85.029987723188711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-4.5574484119526826</v>
      </c>
      <c r="AN390">
        <v>-2.2127678999855793</v>
      </c>
      <c r="AO390">
        <v>73.469989392245964</v>
      </c>
      <c r="AP390">
        <v>0</v>
      </c>
      <c r="AQ390">
        <v>0</v>
      </c>
      <c r="AR390" t="str">
        <v>1613.par</v>
      </c>
      <c r="AV390" t="str">
        <v>255,188,121</v>
      </c>
      <c r="AW390" s="31">
        <v>0</v>
      </c>
      <c r="AX390" s="31">
        <v>73.469989392245964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-4.2776064625594827</v>
      </c>
      <c r="AN391">
        <v>-1.5156986667516357</v>
      </c>
      <c r="AO391">
        <v>56.709991812090223</v>
      </c>
      <c r="AP391">
        <v>0</v>
      </c>
      <c r="AQ391">
        <v>0</v>
      </c>
      <c r="AR391" t="str">
        <v>1313.par</v>
      </c>
      <c r="AV391" t="str">
        <v>255,188,121</v>
      </c>
      <c r="AW391" s="31">
        <v>0</v>
      </c>
      <c r="AX391" s="31">
        <v>56.709991812090223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-3.8218571799984828</v>
      </c>
      <c r="AN392">
        <v>-0.90821552223683177</v>
      </c>
      <c r="AO392">
        <v>39.999994224715337</v>
      </c>
      <c r="AP392">
        <v>-24.919996401997658</v>
      </c>
      <c r="AQ392">
        <v>0</v>
      </c>
      <c r="AR392" t="str">
        <v>1313.par</v>
      </c>
      <c r="AV392" t="str">
        <v>255,188,121</v>
      </c>
      <c r="AW392" s="31">
        <v>0</v>
      </c>
      <c r="AX392" s="31">
        <v>39.999994224715337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-3.1939829978236403</v>
      </c>
      <c r="AN393">
        <v>-0.48744391906163842</v>
      </c>
      <c r="AO393">
        <v>24.999996390447119</v>
      </c>
      <c r="AP393">
        <v>-21.559996887121574</v>
      </c>
      <c r="AQ393">
        <v>0</v>
      </c>
      <c r="AR393" t="str">
        <v>1313.par</v>
      </c>
      <c r="AV393" t="str">
        <v>255,188,121</v>
      </c>
      <c r="AW393" s="31">
        <v>0</v>
      </c>
      <c r="AX393" s="31">
        <v>24.999996390447119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-2.4647054129953871</v>
      </c>
      <c r="AN394">
        <v>-0.29017463359575313</v>
      </c>
      <c r="AO394">
        <v>9.9999985561788076</v>
      </c>
      <c r="AP394">
        <v>-20.999996967975559</v>
      </c>
      <c r="AQ394">
        <v>0</v>
      </c>
      <c r="AR394" t="str">
        <v>1313.par</v>
      </c>
      <c r="AV394" t="str">
        <v>255,188,121</v>
      </c>
      <c r="AW394" s="31">
        <v>0</v>
      </c>
      <c r="AX394" s="31">
        <v>9.9999985561788076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-4.6915141496066752</v>
      </c>
      <c r="AN395">
        <v>-3.006437272678506</v>
      </c>
      <c r="AO395">
        <v>84.999987727520178</v>
      </c>
      <c r="AP395">
        <v>-29.999995668536574</v>
      </c>
      <c r="AQ395">
        <v>0</v>
      </c>
      <c r="AR395" t="str">
        <v>1613.par</v>
      </c>
      <c r="AV395" t="str">
        <v>255,127,0</v>
      </c>
      <c r="AW395" s="31">
        <v>0</v>
      </c>
      <c r="AX395" s="31">
        <v>84.999987727520178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-4.5524137300798104</v>
      </c>
      <c r="AN396">
        <v>-2.2081413461629515</v>
      </c>
      <c r="AO396">
        <v>69.999989893251936</v>
      </c>
      <c r="AP396">
        <v>-26.639996153660427</v>
      </c>
      <c r="AQ396">
        <v>0</v>
      </c>
      <c r="AR396" t="str">
        <v>1613.par</v>
      </c>
      <c r="AV396" t="str">
        <v>255,127,0</v>
      </c>
      <c r="AW396" s="31">
        <v>0</v>
      </c>
      <c r="AX396" s="31">
        <v>69.999989893251936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-4.2660128662948056</v>
      </c>
      <c r="AN397">
        <v>-1.5175475960071219</v>
      </c>
      <c r="AO397">
        <v>54.999992058983644</v>
      </c>
      <c r="AP397">
        <v>-23.279996638784318</v>
      </c>
      <c r="AQ397">
        <v>0</v>
      </c>
      <c r="AR397" t="str">
        <v>1613.par</v>
      </c>
      <c r="AV397" t="str">
        <v>255,127,0</v>
      </c>
      <c r="AW397" s="31">
        <v>0</v>
      </c>
      <c r="AX397" s="31">
        <v>54.999992058983644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-3.7990114578185561</v>
      </c>
      <c r="AN398">
        <v>-0.9342699098914955</v>
      </c>
      <c r="AO398">
        <v>39.999994224715344</v>
      </c>
      <c r="AP398">
        <v>-19.919997123908249</v>
      </c>
      <c r="AQ398">
        <v>0</v>
      </c>
      <c r="AR398" t="str">
        <v>1613.par</v>
      </c>
      <c r="AV398" t="str">
        <v>255,127,0</v>
      </c>
      <c r="AW398" s="31">
        <v>0</v>
      </c>
      <c r="AX398" s="31">
        <v>39.999994224715344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-3.1791095881945184</v>
      </c>
      <c r="AN399">
        <v>-0.51793439380843986</v>
      </c>
      <c r="AO399">
        <v>24.99999639044708</v>
      </c>
      <c r="AP399">
        <v>-16.559997609032152</v>
      </c>
      <c r="AQ399">
        <v>0</v>
      </c>
      <c r="AR399" t="str">
        <v>1613.par</v>
      </c>
      <c r="AV399" t="str">
        <v>255,127,0</v>
      </c>
      <c r="AW399" s="31">
        <v>0</v>
      </c>
      <c r="AX399" s="31">
        <v>24.99999639044708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-2.4586074151599639</v>
      </c>
      <c r="AN400">
        <v>-0.3229254714064187</v>
      </c>
      <c r="AO400">
        <v>9.999998556178836</v>
      </c>
      <c r="AP400">
        <v>-15.999997689886136</v>
      </c>
      <c r="AQ400">
        <v>0</v>
      </c>
      <c r="AR400" t="str">
        <v>1613.par</v>
      </c>
      <c r="AV400" t="str">
        <v>255,127,0</v>
      </c>
      <c r="AW400" s="31">
        <v>0</v>
      </c>
      <c r="AX400" s="31">
        <v>9.999998556178836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-1.7333052276485668</v>
      </c>
      <c r="AN401">
        <v>-0.37306728916912518</v>
      </c>
      <c r="AO401">
        <v>0</v>
      </c>
      <c r="AP401">
        <v>-15.99999768988615</v>
      </c>
      <c r="AQ401">
        <v>0</v>
      </c>
      <c r="AR401" t="str">
        <v>1613.par</v>
      </c>
      <c r="AV401" t="str">
        <v>255,127,0</v>
      </c>
      <c r="AW401" s="31">
        <v>0</v>
      </c>
      <c r="AX401" s="31">
        <v>0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-1.0375031291094376</v>
      </c>
      <c r="AN402">
        <v>-0.55846784834024321</v>
      </c>
      <c r="AO402">
        <v>-2.9999995668536554</v>
      </c>
      <c r="AP402">
        <v>-15.99999768988615</v>
      </c>
      <c r="AQ402">
        <v>0</v>
      </c>
      <c r="AR402" t="str">
        <v>1613.par</v>
      </c>
      <c r="AV402" t="str">
        <v>255,127,0</v>
      </c>
      <c r="AW402" s="31">
        <v>0</v>
      </c>
      <c r="AX402" s="31">
        <v>-2.9999995668536554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-0.34210103177671197</v>
      </c>
      <c r="AN403">
        <v>-0.74486841052130714</v>
      </c>
      <c r="AO403">
        <v>-8.9999987005609601</v>
      </c>
      <c r="AP403">
        <v>-21.999996823593442</v>
      </c>
      <c r="AQ403">
        <v>0</v>
      </c>
      <c r="AR403" t="str">
        <v>1613.par</v>
      </c>
      <c r="AV403" t="str">
        <v>255,127,0</v>
      </c>
      <c r="AW403" s="31">
        <v>0</v>
      </c>
      <c r="AX403" s="31">
        <v>-8.9999987005609601</v>
      </c>
      <c r="AY403" s="31">
        <v>0</v>
      </c>
    </row>
    <row r="404" spans="31:51" x14ac:dyDescent="0.25">
      <c r="AE404">
        <v>6.242</v>
      </c>
      <c r="AF404">
        <v>6</v>
      </c>
      <c r="AG404">
        <v>2</v>
      </c>
      <c r="AH404">
        <v>2</v>
      </c>
      <c r="AI404">
        <v>1.9999999999708962</v>
      </c>
      <c r="AJ404">
        <v>6.2422199999999997</v>
      </c>
      <c r="AK404">
        <v>6.2421199999999999</v>
      </c>
      <c r="AL404">
        <v>0</v>
      </c>
      <c r="AM404">
        <v>0</v>
      </c>
      <c r="AN404">
        <v>0</v>
      </c>
      <c r="AO404">
        <v>-85.029987723188711</v>
      </c>
      <c r="AP404">
        <v>0</v>
      </c>
      <c r="AQ404">
        <v>0</v>
      </c>
      <c r="AR404" t="str">
        <v>1613.par</v>
      </c>
      <c r="AV404" t="str">
        <v>188,121,255</v>
      </c>
      <c r="AW404" s="31">
        <v>0</v>
      </c>
      <c r="AX404" s="31">
        <v>85.029987723188711</v>
      </c>
      <c r="AY404" s="31">
        <v>-85.029987723188711</v>
      </c>
    </row>
    <row r="405" spans="31:51" x14ac:dyDescent="0.25">
      <c r="AE405">
        <v>6.2359999999999998</v>
      </c>
      <c r="AF405">
        <v>6</v>
      </c>
      <c r="AG405">
        <v>2</v>
      </c>
      <c r="AH405">
        <v>2</v>
      </c>
      <c r="AI405">
        <v>1.9999999999708962</v>
      </c>
      <c r="AJ405">
        <v>6.2362199999999994</v>
      </c>
      <c r="AK405">
        <v>6.2361199999999997</v>
      </c>
      <c r="AL405">
        <v>0</v>
      </c>
      <c r="AM405">
        <v>0</v>
      </c>
      <c r="AN405">
        <v>0</v>
      </c>
      <c r="AO405">
        <v>-76.29998898364461</v>
      </c>
      <c r="AP405">
        <v>0</v>
      </c>
      <c r="AQ405">
        <v>0</v>
      </c>
      <c r="AR405" t="str">
        <v>1613.par</v>
      </c>
      <c r="AV405" t="str">
        <v>188,121,255</v>
      </c>
      <c r="AW405" s="31">
        <v>0</v>
      </c>
      <c r="AX405" s="31">
        <v>76.29998898364461</v>
      </c>
      <c r="AY405" s="31">
        <v>-76.29998898364461</v>
      </c>
    </row>
    <row r="406" spans="31:51" x14ac:dyDescent="0.25">
      <c r="AE406">
        <v>6.23</v>
      </c>
      <c r="AF406">
        <v>6</v>
      </c>
      <c r="AG406">
        <v>2</v>
      </c>
      <c r="AH406">
        <v>2</v>
      </c>
      <c r="AI406">
        <v>2.0000000000436557</v>
      </c>
      <c r="AJ406">
        <v>6.2302200000000001</v>
      </c>
      <c r="AK406">
        <v>6.2301200000000003</v>
      </c>
      <c r="AL406">
        <v>0</v>
      </c>
      <c r="AM406">
        <v>0</v>
      </c>
      <c r="AN406">
        <v>0</v>
      </c>
      <c r="AO406">
        <v>-59.509991407820316</v>
      </c>
      <c r="AP406">
        <v>0</v>
      </c>
      <c r="AQ406">
        <v>0</v>
      </c>
      <c r="AR406" t="str">
        <v>1313.par</v>
      </c>
      <c r="AV406" t="str">
        <v>188,121,255</v>
      </c>
      <c r="AW406" s="31">
        <v>0</v>
      </c>
      <c r="AX406" s="31">
        <v>59.509991407820316</v>
      </c>
      <c r="AY406" s="31">
        <v>-59.509991407820316</v>
      </c>
    </row>
    <row r="407" spans="31:51" x14ac:dyDescent="0.25">
      <c r="AE407">
        <v>6.2240000000000002</v>
      </c>
      <c r="AF407">
        <v>6</v>
      </c>
      <c r="AG407">
        <v>2</v>
      </c>
      <c r="AH407">
        <v>2</v>
      </c>
      <c r="AI407">
        <v>1.9999999999708962</v>
      </c>
      <c r="AJ407">
        <v>6.2242199999999999</v>
      </c>
      <c r="AK407">
        <v>6.2241200000000001</v>
      </c>
      <c r="AL407">
        <v>0</v>
      </c>
      <c r="AM407">
        <v>0</v>
      </c>
      <c r="AN407">
        <v>0</v>
      </c>
      <c r="AO407">
        <v>-42.499993863760089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0</v>
      </c>
      <c r="AX407" s="31">
        <v>42.499993863760089</v>
      </c>
      <c r="AY407" s="31">
        <v>-42.499993863760089</v>
      </c>
    </row>
    <row r="408" spans="31:51" x14ac:dyDescent="0.25">
      <c r="AE408">
        <v>6.218</v>
      </c>
      <c r="AF408">
        <v>6</v>
      </c>
      <c r="AG408">
        <v>2</v>
      </c>
      <c r="AH408">
        <v>2</v>
      </c>
      <c r="AI408">
        <v>1.9999999999708962</v>
      </c>
      <c r="AJ408">
        <v>6.2182199999999996</v>
      </c>
      <c r="AK408">
        <v>6.2181199999999999</v>
      </c>
      <c r="AL408">
        <v>0</v>
      </c>
      <c r="AM408">
        <v>0</v>
      </c>
      <c r="AN408">
        <v>0</v>
      </c>
      <c r="AO408">
        <v>-27.499996029491825</v>
      </c>
      <c r="AP408">
        <v>0</v>
      </c>
      <c r="AQ408">
        <v>0</v>
      </c>
      <c r="AR408" t="str">
        <v>1313.par</v>
      </c>
      <c r="AV408" t="str">
        <v>188,121,255</v>
      </c>
      <c r="AW408" s="31">
        <v>0</v>
      </c>
      <c r="AX408" s="31">
        <v>27.499996029491825</v>
      </c>
      <c r="AY408" s="31">
        <v>-27.499996029491825</v>
      </c>
    </row>
    <row r="409" spans="31:51" x14ac:dyDescent="0.25">
      <c r="AE409">
        <v>6.1420000000000003</v>
      </c>
      <c r="AF409">
        <v>6</v>
      </c>
      <c r="AG409">
        <v>1</v>
      </c>
      <c r="AH409">
        <v>2</v>
      </c>
      <c r="AI409">
        <v>1.9999999999708962</v>
      </c>
      <c r="AJ409">
        <v>6.14222</v>
      </c>
      <c r="AK409">
        <v>6.1421200000000002</v>
      </c>
      <c r="AL409">
        <v>0</v>
      </c>
      <c r="AM409">
        <v>0</v>
      </c>
      <c r="AN409">
        <v>0</v>
      </c>
      <c r="AO409">
        <v>-84.999987727520164</v>
      </c>
      <c r="AP409">
        <v>0</v>
      </c>
      <c r="AQ409">
        <v>0</v>
      </c>
      <c r="AR409" t="str">
        <v>1613.par</v>
      </c>
      <c r="AV409" t="str">
        <v>127,0,255</v>
      </c>
      <c r="AW409" s="31">
        <v>0</v>
      </c>
      <c r="AX409" s="31">
        <v>84.999987727520164</v>
      </c>
      <c r="AY409" s="31">
        <v>-84.999987727520164</v>
      </c>
    </row>
    <row r="410" spans="31:51" x14ac:dyDescent="0.25">
      <c r="AE410">
        <v>6.1360000000000001</v>
      </c>
      <c r="AF410">
        <v>6</v>
      </c>
      <c r="AG410">
        <v>1</v>
      </c>
      <c r="AH410">
        <v>2</v>
      </c>
      <c r="AI410">
        <v>1.9999999999708962</v>
      </c>
      <c r="AJ410">
        <v>6.1362199999999998</v>
      </c>
      <c r="AK410">
        <v>6.13612</v>
      </c>
      <c r="AL410">
        <v>0</v>
      </c>
      <c r="AM410">
        <v>0</v>
      </c>
      <c r="AN410">
        <v>0</v>
      </c>
      <c r="AO410">
        <v>-72.499989532296652</v>
      </c>
      <c r="AP410">
        <v>0</v>
      </c>
      <c r="AQ410">
        <v>0</v>
      </c>
      <c r="AR410" t="str">
        <v>1613.par</v>
      </c>
      <c r="AV410" t="str">
        <v>127,0,255</v>
      </c>
      <c r="AW410" s="31">
        <v>0</v>
      </c>
      <c r="AX410" s="31">
        <v>72.499989532296652</v>
      </c>
      <c r="AY410" s="31">
        <v>-72.499989532296652</v>
      </c>
    </row>
    <row r="411" spans="31:51" x14ac:dyDescent="0.25">
      <c r="AE411">
        <v>6.13</v>
      </c>
      <c r="AF411">
        <v>6</v>
      </c>
      <c r="AG411">
        <v>1</v>
      </c>
      <c r="AH411">
        <v>2</v>
      </c>
      <c r="AI411">
        <v>1.9999999999708962</v>
      </c>
      <c r="AJ411">
        <v>6.1302199999999996</v>
      </c>
      <c r="AK411">
        <v>6.1301199999999998</v>
      </c>
      <c r="AL411">
        <v>0</v>
      </c>
      <c r="AM411">
        <v>0</v>
      </c>
      <c r="AN411">
        <v>0</v>
      </c>
      <c r="AO411">
        <v>-57.499991698028374</v>
      </c>
      <c r="AP411">
        <v>0</v>
      </c>
      <c r="AQ411">
        <v>0</v>
      </c>
      <c r="AR411" t="str">
        <v>1613.par</v>
      </c>
      <c r="AV411" t="str">
        <v>127,0,255</v>
      </c>
      <c r="AW411" s="31">
        <v>0</v>
      </c>
      <c r="AX411" s="31">
        <v>57.499991698028374</v>
      </c>
      <c r="AY411" s="31">
        <v>-57.499991698028374</v>
      </c>
    </row>
    <row r="412" spans="31:51" x14ac:dyDescent="0.25">
      <c r="AE412">
        <v>6.1239999999999997</v>
      </c>
      <c r="AF412">
        <v>6</v>
      </c>
      <c r="AG412">
        <v>1</v>
      </c>
      <c r="AH412">
        <v>2</v>
      </c>
      <c r="AI412">
        <v>1.9999999998981366</v>
      </c>
      <c r="AJ412">
        <v>6.1242199999999993</v>
      </c>
      <c r="AK412">
        <v>6.1241199999999996</v>
      </c>
      <c r="AL412">
        <v>0</v>
      </c>
      <c r="AM412">
        <v>0</v>
      </c>
      <c r="AN412">
        <v>0</v>
      </c>
      <c r="AO412">
        <v>-42.499993863760125</v>
      </c>
      <c r="AP412">
        <v>0</v>
      </c>
      <c r="AQ412">
        <v>0</v>
      </c>
      <c r="AR412" t="str">
        <v>1613.par</v>
      </c>
      <c r="AV412" t="str">
        <v>127,0,255</v>
      </c>
      <c r="AW412" s="31">
        <v>0</v>
      </c>
      <c r="AX412" s="31">
        <v>42.499993863760125</v>
      </c>
      <c r="AY412" s="31">
        <v>-42.499993863760125</v>
      </c>
    </row>
    <row r="413" spans="31:51" x14ac:dyDescent="0.25">
      <c r="AE413">
        <v>6.1180000000000003</v>
      </c>
      <c r="AF413">
        <v>6</v>
      </c>
      <c r="AG413">
        <v>1</v>
      </c>
      <c r="AH413">
        <v>2</v>
      </c>
      <c r="AI413">
        <v>1.9999999999708962</v>
      </c>
      <c r="AJ413">
        <v>6.11822</v>
      </c>
      <c r="AK413">
        <v>6.1181200000000002</v>
      </c>
      <c r="AL413">
        <v>0</v>
      </c>
      <c r="AM413">
        <v>0</v>
      </c>
      <c r="AN413">
        <v>0</v>
      </c>
      <c r="AO413">
        <v>-27.499996029491861</v>
      </c>
      <c r="AP413">
        <v>0</v>
      </c>
      <c r="AQ413">
        <v>0</v>
      </c>
      <c r="AR413" t="str">
        <v>1613.par</v>
      </c>
      <c r="AV413" t="str">
        <v>127,0,255</v>
      </c>
      <c r="AW413" s="31">
        <v>0</v>
      </c>
      <c r="AX413" s="31">
        <v>27.499996029491861</v>
      </c>
      <c r="AY413" s="31">
        <v>-27.499996029491861</v>
      </c>
    </row>
    <row r="414" spans="31:51" x14ac:dyDescent="0.25">
      <c r="AE414">
        <v>6.1120000000000001</v>
      </c>
      <c r="AF414">
        <v>6</v>
      </c>
      <c r="AG414">
        <v>1</v>
      </c>
      <c r="AH414">
        <v>2</v>
      </c>
      <c r="AI414">
        <v>1.9999999999708962</v>
      </c>
      <c r="AJ414">
        <v>6.1122199999999998</v>
      </c>
      <c r="AK414">
        <v>6.11212</v>
      </c>
      <c r="AL414">
        <v>0</v>
      </c>
      <c r="AM414">
        <v>0</v>
      </c>
      <c r="AN414">
        <v>0</v>
      </c>
      <c r="AO414">
        <v>-12.49999819522351</v>
      </c>
      <c r="AP414">
        <v>0</v>
      </c>
      <c r="AQ414">
        <v>0</v>
      </c>
      <c r="AR414" t="str">
        <v>1613.par</v>
      </c>
      <c r="AV414" t="str">
        <v>127,0,255</v>
      </c>
      <c r="AW414" s="31">
        <v>0</v>
      </c>
      <c r="AX414" s="31">
        <v>12.49999819522351</v>
      </c>
      <c r="AY414" s="31">
        <v>-12.49999819522351</v>
      </c>
    </row>
    <row r="415" spans="31:51" x14ac:dyDescent="0.25">
      <c r="AE415">
        <v>5.2430000000000003</v>
      </c>
      <c r="AF415">
        <v>5</v>
      </c>
      <c r="AG415">
        <v>2</v>
      </c>
      <c r="AH415">
        <v>2</v>
      </c>
      <c r="AI415">
        <v>1.9999999999708962</v>
      </c>
      <c r="AJ415">
        <v>5.24322</v>
      </c>
      <c r="AK415">
        <v>5.2431200000000002</v>
      </c>
      <c r="AL415">
        <v>0</v>
      </c>
      <c r="AM415">
        <v>0</v>
      </c>
      <c r="AN415">
        <v>0</v>
      </c>
      <c r="AO415">
        <v>-85.029987723188711</v>
      </c>
      <c r="AP415">
        <v>0</v>
      </c>
      <c r="AQ415">
        <v>0</v>
      </c>
      <c r="AR415" t="str">
        <v>1613.par</v>
      </c>
      <c r="AV415" t="str">
        <v>121,188,255</v>
      </c>
      <c r="AW415" s="31">
        <v>0</v>
      </c>
      <c r="AX415" s="31">
        <v>85.029987723188711</v>
      </c>
      <c r="AY415" s="31">
        <v>-85.029987723188711</v>
      </c>
    </row>
    <row r="416" spans="31:51" x14ac:dyDescent="0.25">
      <c r="AE416">
        <v>5.2370000000000001</v>
      </c>
      <c r="AF416">
        <v>5</v>
      </c>
      <c r="AG416">
        <v>2</v>
      </c>
      <c r="AH416">
        <v>2</v>
      </c>
      <c r="AI416">
        <v>1.9999999999708962</v>
      </c>
      <c r="AJ416">
        <v>5.2372199999999998</v>
      </c>
      <c r="AK416">
        <v>5.23712</v>
      </c>
      <c r="AL416">
        <v>0</v>
      </c>
      <c r="AM416">
        <v>0</v>
      </c>
      <c r="AN416">
        <v>0</v>
      </c>
      <c r="AO416">
        <v>-79.129988575043214</v>
      </c>
      <c r="AP416">
        <v>0</v>
      </c>
      <c r="AQ416">
        <v>0</v>
      </c>
      <c r="AR416" t="str">
        <v>1613.par</v>
      </c>
      <c r="AV416" t="str">
        <v>121,188,255</v>
      </c>
      <c r="AW416" s="31">
        <v>0</v>
      </c>
      <c r="AX416" s="31">
        <v>79.129988575043214</v>
      </c>
      <c r="AY416" s="31">
        <v>-79.129988575043214</v>
      </c>
    </row>
    <row r="417" spans="31:51" x14ac:dyDescent="0.25">
      <c r="AE417">
        <v>5.2309999999999999</v>
      </c>
      <c r="AF417">
        <v>5</v>
      </c>
      <c r="AG417">
        <v>2</v>
      </c>
      <c r="AH417">
        <v>2</v>
      </c>
      <c r="AI417">
        <v>1.9999999999708962</v>
      </c>
      <c r="AJ417">
        <v>5.2312199999999995</v>
      </c>
      <c r="AK417">
        <v>5.2311199999999998</v>
      </c>
      <c r="AL417">
        <v>0</v>
      </c>
      <c r="AM417">
        <v>0</v>
      </c>
      <c r="AN417">
        <v>0</v>
      </c>
      <c r="AO417">
        <v>-62.299991004994205</v>
      </c>
      <c r="AP417">
        <v>0</v>
      </c>
      <c r="AQ417">
        <v>0</v>
      </c>
      <c r="AR417" t="str">
        <v>1313.par</v>
      </c>
      <c r="AV417" t="str">
        <v>121,188,255</v>
      </c>
      <c r="AW417" s="31">
        <v>0</v>
      </c>
      <c r="AX417" s="31">
        <v>62.299991004994205</v>
      </c>
      <c r="AY417" s="31">
        <v>-62.299991004994205</v>
      </c>
    </row>
    <row r="418" spans="31:51" x14ac:dyDescent="0.25">
      <c r="AE418">
        <v>5.2249999999999996</v>
      </c>
      <c r="AF418">
        <v>5</v>
      </c>
      <c r="AG418">
        <v>2</v>
      </c>
      <c r="AH418">
        <v>2</v>
      </c>
      <c r="AI418">
        <v>1.9999999998981366</v>
      </c>
      <c r="AJ418">
        <v>5.2252199999999993</v>
      </c>
      <c r="AK418">
        <v>5.2251199999999995</v>
      </c>
      <c r="AL418">
        <v>0</v>
      </c>
      <c r="AM418">
        <v>0</v>
      </c>
      <c r="AN418">
        <v>0</v>
      </c>
      <c r="AO418">
        <v>-44.999993502804806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0</v>
      </c>
      <c r="AX418" s="31">
        <v>44.999993502804806</v>
      </c>
      <c r="AY418" s="31">
        <v>-44.999993502804806</v>
      </c>
    </row>
    <row r="419" spans="31:51" x14ac:dyDescent="0.25">
      <c r="AE419">
        <v>5.2190000000000003</v>
      </c>
      <c r="AF419">
        <v>5</v>
      </c>
      <c r="AG419">
        <v>2</v>
      </c>
      <c r="AH419">
        <v>2</v>
      </c>
      <c r="AI419">
        <v>1.9999999999708962</v>
      </c>
      <c r="AJ419">
        <v>5.21922</v>
      </c>
      <c r="AK419">
        <v>5.2191200000000002</v>
      </c>
      <c r="AL419">
        <v>0</v>
      </c>
      <c r="AM419">
        <v>0</v>
      </c>
      <c r="AN419">
        <v>0</v>
      </c>
      <c r="AO419">
        <v>-29.999995668536492</v>
      </c>
      <c r="AP419">
        <v>0</v>
      </c>
      <c r="AQ419">
        <v>0</v>
      </c>
      <c r="AR419" t="str">
        <v>1313.par</v>
      </c>
      <c r="AV419" t="str">
        <v>121,188,255</v>
      </c>
      <c r="AW419" s="31">
        <v>0</v>
      </c>
      <c r="AX419" s="31">
        <v>29.999995668536492</v>
      </c>
      <c r="AY419" s="31">
        <v>-29.999995668536492</v>
      </c>
    </row>
    <row r="420" spans="31:51" x14ac:dyDescent="0.25">
      <c r="AE420">
        <v>5.2130000000000001</v>
      </c>
      <c r="AF420">
        <v>5</v>
      </c>
      <c r="AG420">
        <v>2</v>
      </c>
      <c r="AH420">
        <v>2</v>
      </c>
      <c r="AI420">
        <v>1.9999999999708962</v>
      </c>
      <c r="AJ420">
        <v>5.2132199999999997</v>
      </c>
      <c r="AK420">
        <v>5.21312</v>
      </c>
      <c r="AL420">
        <v>0</v>
      </c>
      <c r="AM420">
        <v>0</v>
      </c>
      <c r="AN420">
        <v>0</v>
      </c>
      <c r="AO420">
        <v>-14.999997834268259</v>
      </c>
      <c r="AP420">
        <v>0</v>
      </c>
      <c r="AQ420">
        <v>0</v>
      </c>
      <c r="AR420" t="str">
        <v>1313.par</v>
      </c>
      <c r="AV420" t="str">
        <v>121,188,255</v>
      </c>
      <c r="AW420" s="31">
        <v>0</v>
      </c>
      <c r="AX420" s="31">
        <v>14.999997834268259</v>
      </c>
      <c r="AY420" s="31">
        <v>-14.999997834268259</v>
      </c>
    </row>
    <row r="421" spans="31:51" x14ac:dyDescent="0.25">
      <c r="AE421">
        <v>5.1429999999999998</v>
      </c>
      <c r="AF421">
        <v>5</v>
      </c>
      <c r="AG421">
        <v>1</v>
      </c>
      <c r="AH421">
        <v>2</v>
      </c>
      <c r="AI421">
        <v>1.9999999999708962</v>
      </c>
      <c r="AJ421">
        <v>5.1432199999999995</v>
      </c>
      <c r="AK421">
        <v>5.1431199999999997</v>
      </c>
      <c r="AL421">
        <v>0</v>
      </c>
      <c r="AM421">
        <v>0</v>
      </c>
      <c r="AN421">
        <v>0</v>
      </c>
      <c r="AO421">
        <v>-84.999987727520178</v>
      </c>
      <c r="AP421">
        <v>0</v>
      </c>
      <c r="AQ421">
        <v>0</v>
      </c>
      <c r="AR421" t="str">
        <v>1613.par</v>
      </c>
      <c r="AV421" t="str">
        <v>0,102,204</v>
      </c>
      <c r="AW421" s="31">
        <v>0</v>
      </c>
      <c r="AX421" s="31">
        <v>84.999987727520178</v>
      </c>
      <c r="AY421" s="31">
        <v>-84.999987727520178</v>
      </c>
    </row>
    <row r="422" spans="31:51" x14ac:dyDescent="0.25">
      <c r="AE422">
        <v>5.1369999999999996</v>
      </c>
      <c r="AF422">
        <v>5</v>
      </c>
      <c r="AG422">
        <v>1</v>
      </c>
      <c r="AH422">
        <v>2</v>
      </c>
      <c r="AI422">
        <v>1.9999999998981366</v>
      </c>
      <c r="AJ422">
        <v>5.1372199999999992</v>
      </c>
      <c r="AK422">
        <v>5.1371199999999995</v>
      </c>
      <c r="AL422">
        <v>0</v>
      </c>
      <c r="AM422">
        <v>0</v>
      </c>
      <c r="AN422">
        <v>0</v>
      </c>
      <c r="AO422">
        <v>-74.999989171341326</v>
      </c>
      <c r="AP422">
        <v>0</v>
      </c>
      <c r="AQ422">
        <v>0</v>
      </c>
      <c r="AR422" t="str">
        <v>1613.par</v>
      </c>
      <c r="AV422" t="str">
        <v>0,102,204</v>
      </c>
      <c r="AW422" s="31">
        <v>0</v>
      </c>
      <c r="AX422" s="31">
        <v>74.999989171341326</v>
      </c>
      <c r="AY422" s="31">
        <v>-74.999989171341326</v>
      </c>
    </row>
    <row r="423" spans="31:51" x14ac:dyDescent="0.25">
      <c r="AE423">
        <v>5.1310000000000002</v>
      </c>
      <c r="AF423">
        <v>5</v>
      </c>
      <c r="AG423">
        <v>1</v>
      </c>
      <c r="AH423">
        <v>2</v>
      </c>
      <c r="AI423">
        <v>1.9999999999708962</v>
      </c>
      <c r="AJ423">
        <v>5.1312199999999999</v>
      </c>
      <c r="AK423">
        <v>5.1311200000000001</v>
      </c>
      <c r="AL423">
        <v>0</v>
      </c>
      <c r="AM423">
        <v>0</v>
      </c>
      <c r="AN423">
        <v>0</v>
      </c>
      <c r="AO423">
        <v>-59.999991337073098</v>
      </c>
      <c r="AP423">
        <v>0</v>
      </c>
      <c r="AQ423">
        <v>0</v>
      </c>
      <c r="AR423" t="str">
        <v>1613.par</v>
      </c>
      <c r="AV423" t="str">
        <v>0,102,204</v>
      </c>
      <c r="AW423" s="31">
        <v>0</v>
      </c>
      <c r="AX423" s="31">
        <v>59.999991337073098</v>
      </c>
      <c r="AY423" s="31">
        <v>-59.999991337073098</v>
      </c>
    </row>
    <row r="424" spans="31:51" x14ac:dyDescent="0.25">
      <c r="AE424">
        <v>5.125</v>
      </c>
      <c r="AF424">
        <v>5</v>
      </c>
      <c r="AG424">
        <v>1</v>
      </c>
      <c r="AH424">
        <v>2</v>
      </c>
      <c r="AI424">
        <v>1.9999999999708962</v>
      </c>
      <c r="AJ424">
        <v>5.1252199999999997</v>
      </c>
      <c r="AK424">
        <v>5.1251199999999999</v>
      </c>
      <c r="AL424">
        <v>0</v>
      </c>
      <c r="AM424">
        <v>0</v>
      </c>
      <c r="AN424">
        <v>0</v>
      </c>
      <c r="AO424">
        <v>-44.999993502804777</v>
      </c>
      <c r="AP424">
        <v>0</v>
      </c>
      <c r="AQ424">
        <v>0</v>
      </c>
      <c r="AR424" t="str">
        <v>1613.par</v>
      </c>
      <c r="AV424" t="str">
        <v>0,102,204</v>
      </c>
      <c r="AW424" s="31">
        <v>0</v>
      </c>
      <c r="AX424" s="31">
        <v>44.999993502804777</v>
      </c>
      <c r="AY424" s="31">
        <v>-44.999993502804777</v>
      </c>
    </row>
    <row r="425" spans="31:51" x14ac:dyDescent="0.25">
      <c r="AE425">
        <v>5.1189999999999998</v>
      </c>
      <c r="AF425">
        <v>5</v>
      </c>
      <c r="AG425">
        <v>1</v>
      </c>
      <c r="AH425">
        <v>2</v>
      </c>
      <c r="AI425">
        <v>1.9999999999708962</v>
      </c>
      <c r="AJ425">
        <v>5.1192199999999994</v>
      </c>
      <c r="AK425">
        <v>5.1191199999999997</v>
      </c>
      <c r="AL425">
        <v>0</v>
      </c>
      <c r="AM425">
        <v>0</v>
      </c>
      <c r="AN425">
        <v>0</v>
      </c>
      <c r="AO425">
        <v>-29.999995668536499</v>
      </c>
      <c r="AP425">
        <v>0</v>
      </c>
      <c r="AQ425">
        <v>0</v>
      </c>
      <c r="AR425" t="str">
        <v>1613.par</v>
      </c>
      <c r="AV425" t="str">
        <v>0,102,204</v>
      </c>
      <c r="AW425" s="31">
        <v>0</v>
      </c>
      <c r="AX425" s="31">
        <v>29.999995668536499</v>
      </c>
      <c r="AY425" s="31">
        <v>-29.999995668536499</v>
      </c>
    </row>
    <row r="426" spans="31:51" x14ac:dyDescent="0.25">
      <c r="AE426">
        <v>5.1130000000000004</v>
      </c>
      <c r="AF426">
        <v>5</v>
      </c>
      <c r="AG426">
        <v>1</v>
      </c>
      <c r="AH426">
        <v>2</v>
      </c>
      <c r="AI426">
        <v>2.0000000000436557</v>
      </c>
      <c r="AJ426">
        <v>5.1132200000000001</v>
      </c>
      <c r="AK426">
        <v>5.1131200000000003</v>
      </c>
      <c r="AL426">
        <v>0</v>
      </c>
      <c r="AM426">
        <v>0</v>
      </c>
      <c r="AN426">
        <v>0</v>
      </c>
      <c r="AO426">
        <v>-14.999997834268246</v>
      </c>
      <c r="AP426">
        <v>0</v>
      </c>
      <c r="AQ426">
        <v>0</v>
      </c>
      <c r="AR426" t="str">
        <v>1613.par</v>
      </c>
      <c r="AV426" t="str">
        <v>0,102,204</v>
      </c>
      <c r="AW426" s="31">
        <v>0</v>
      </c>
      <c r="AX426" s="31">
        <v>14.999997834268246</v>
      </c>
      <c r="AY426" s="31">
        <v>-14.999997834268246</v>
      </c>
    </row>
    <row r="427" spans="31:51" x14ac:dyDescent="0.25">
      <c r="AE427">
        <v>5.1079999999999997</v>
      </c>
      <c r="AF427">
        <v>5</v>
      </c>
      <c r="AG427">
        <v>1</v>
      </c>
      <c r="AH427">
        <v>2</v>
      </c>
      <c r="AI427">
        <v>1.9999999998981366</v>
      </c>
      <c r="AJ427">
        <v>5.1082199999999993</v>
      </c>
      <c r="AK427">
        <v>5.1081199999999995</v>
      </c>
      <c r="AL427">
        <v>0</v>
      </c>
      <c r="AM427">
        <v>0</v>
      </c>
      <c r="AN427">
        <v>0</v>
      </c>
      <c r="AO427">
        <v>-2.4999996390447317</v>
      </c>
      <c r="AP427">
        <v>0</v>
      </c>
      <c r="AQ427">
        <v>0</v>
      </c>
      <c r="AR427" t="str">
        <v>1613.par</v>
      </c>
      <c r="AV427" t="str">
        <v>0,102,204</v>
      </c>
      <c r="AW427" s="31">
        <v>0</v>
      </c>
      <c r="AX427" s="31">
        <v>2.4999996390447317</v>
      </c>
      <c r="AY427" s="31">
        <v>-2.4999996390447317</v>
      </c>
    </row>
    <row r="428" spans="31:51" x14ac:dyDescent="0.25">
      <c r="AE428">
        <v>5.1050000000000004</v>
      </c>
      <c r="AF428">
        <v>5</v>
      </c>
      <c r="AG428">
        <v>1</v>
      </c>
      <c r="AH428">
        <v>2</v>
      </c>
      <c r="AI428">
        <v>2.0000000000436557</v>
      </c>
      <c r="AJ428">
        <v>5.1052200000000001</v>
      </c>
      <c r="AK428">
        <v>5.1051200000000003</v>
      </c>
      <c r="AL428">
        <v>0</v>
      </c>
      <c r="AM428">
        <v>0</v>
      </c>
      <c r="AN428">
        <v>0</v>
      </c>
      <c r="AO428">
        <v>1.9999997112357779</v>
      </c>
      <c r="AP428">
        <v>0</v>
      </c>
      <c r="AQ428">
        <v>0</v>
      </c>
      <c r="AR428" t="str">
        <v>1613.par</v>
      </c>
      <c r="AV428" t="str">
        <v>0,102,204</v>
      </c>
      <c r="AW428" s="31">
        <v>0</v>
      </c>
      <c r="AX428" s="31">
        <v>-1.9999997112357779</v>
      </c>
      <c r="AY428" s="31">
        <v>1.9999997112357779</v>
      </c>
    </row>
    <row r="429" spans="31:51" x14ac:dyDescent="0.25">
      <c r="AE429">
        <v>5.1020000000000003</v>
      </c>
      <c r="AF429">
        <v>5</v>
      </c>
      <c r="AG429">
        <v>1</v>
      </c>
      <c r="AH429">
        <v>2</v>
      </c>
      <c r="AI429">
        <v>1.9999999999708962</v>
      </c>
      <c r="AJ429">
        <v>5.10222</v>
      </c>
      <c r="AK429">
        <v>5.1021200000000002</v>
      </c>
      <c r="AL429">
        <v>0</v>
      </c>
      <c r="AM429">
        <v>0</v>
      </c>
      <c r="AN429">
        <v>0</v>
      </c>
      <c r="AO429">
        <v>5.9999991337073002</v>
      </c>
      <c r="AP429">
        <v>0</v>
      </c>
      <c r="AQ429">
        <v>0</v>
      </c>
      <c r="AR429" t="str">
        <v>1613.par</v>
      </c>
      <c r="AV429" t="str">
        <v>0,102,204</v>
      </c>
      <c r="AW429" s="31">
        <v>0</v>
      </c>
      <c r="AX429" s="31">
        <v>-5.9999991337073002</v>
      </c>
      <c r="AY429" s="31">
        <v>5.9999991337073002</v>
      </c>
    </row>
    <row r="430" spans="31:51" x14ac:dyDescent="0.25">
      <c r="AE430">
        <v>4.2439999999999998</v>
      </c>
      <c r="AF430">
        <v>4</v>
      </c>
      <c r="AG430">
        <v>2</v>
      </c>
      <c r="AH430">
        <v>2</v>
      </c>
      <c r="AI430">
        <v>1.9999999999708962</v>
      </c>
      <c r="AJ430">
        <v>4.2442199999999994</v>
      </c>
      <c r="AK430">
        <v>4.2441199999999997</v>
      </c>
      <c r="AL430">
        <v>0</v>
      </c>
      <c r="AM430">
        <v>0</v>
      </c>
      <c r="AN430">
        <v>0</v>
      </c>
      <c r="AO430">
        <v>-85.029987723188711</v>
      </c>
      <c r="AP430">
        <v>0</v>
      </c>
      <c r="AQ430">
        <v>0</v>
      </c>
      <c r="AR430" t="str">
        <v>1613.par</v>
      </c>
      <c r="AV430" t="str">
        <v>91,255,255</v>
      </c>
      <c r="AW430" s="31">
        <v>0</v>
      </c>
      <c r="AX430" s="31">
        <v>85.029987723188711</v>
      </c>
      <c r="AY430" s="31">
        <v>-85.029987723188711</v>
      </c>
    </row>
    <row r="431" spans="31:51" x14ac:dyDescent="0.25">
      <c r="AE431">
        <v>4.2380000000000004</v>
      </c>
      <c r="AF431">
        <v>4</v>
      </c>
      <c r="AG431">
        <v>2</v>
      </c>
      <c r="AH431">
        <v>2</v>
      </c>
      <c r="AI431">
        <v>2.0000000000436557</v>
      </c>
      <c r="AJ431">
        <v>4.2382200000000001</v>
      </c>
      <c r="AK431">
        <v>4.2381200000000003</v>
      </c>
      <c r="AL431">
        <v>0</v>
      </c>
      <c r="AM431">
        <v>0</v>
      </c>
      <c r="AN431">
        <v>0</v>
      </c>
      <c r="AO431">
        <v>-81.919988172217103</v>
      </c>
      <c r="AP431">
        <v>0</v>
      </c>
      <c r="AQ431">
        <v>0</v>
      </c>
      <c r="AR431" t="str">
        <v>1613.par</v>
      </c>
      <c r="AV431" t="str">
        <v>91,255,255</v>
      </c>
      <c r="AW431" s="31">
        <v>0</v>
      </c>
      <c r="AX431" s="31">
        <v>81.919988172217103</v>
      </c>
      <c r="AY431" s="31">
        <v>-81.919988172217103</v>
      </c>
    </row>
    <row r="432" spans="31:51" x14ac:dyDescent="0.25">
      <c r="AE432">
        <v>4.2320000000000002</v>
      </c>
      <c r="AF432">
        <v>4</v>
      </c>
      <c r="AG432">
        <v>2</v>
      </c>
      <c r="AH432">
        <v>2</v>
      </c>
      <c r="AI432">
        <v>1.9999999999708962</v>
      </c>
      <c r="AJ432">
        <v>4.2322199999999999</v>
      </c>
      <c r="AK432">
        <v>4.2321200000000001</v>
      </c>
      <c r="AL432">
        <v>0</v>
      </c>
      <c r="AM432">
        <v>0</v>
      </c>
      <c r="AN432">
        <v>0</v>
      </c>
      <c r="AO432">
        <v>-65.089990602168101</v>
      </c>
      <c r="AP432">
        <v>0</v>
      </c>
      <c r="AQ432">
        <v>0</v>
      </c>
      <c r="AR432" t="str">
        <v>1313.par</v>
      </c>
      <c r="AV432" t="str">
        <v>91,255,255</v>
      </c>
      <c r="AW432" s="31">
        <v>0</v>
      </c>
      <c r="AX432" s="31">
        <v>65.089990602168101</v>
      </c>
      <c r="AY432" s="31">
        <v>-65.089990602168101</v>
      </c>
    </row>
    <row r="433" spans="31:51" x14ac:dyDescent="0.25">
      <c r="AE433">
        <v>4.226</v>
      </c>
      <c r="AF433">
        <v>4</v>
      </c>
      <c r="AG433">
        <v>2</v>
      </c>
      <c r="AH433">
        <v>2</v>
      </c>
      <c r="AI433">
        <v>1.9999999999708962</v>
      </c>
      <c r="AJ433">
        <v>4.2262199999999996</v>
      </c>
      <c r="AK433">
        <v>4.2261199999999999</v>
      </c>
      <c r="AL433">
        <v>0</v>
      </c>
      <c r="AM433">
        <v>0</v>
      </c>
      <c r="AN433">
        <v>0</v>
      </c>
      <c r="AO433">
        <v>-47.49999314184948</v>
      </c>
      <c r="AP433">
        <v>0</v>
      </c>
      <c r="AQ433">
        <v>0</v>
      </c>
      <c r="AR433" t="str">
        <v>1313.par</v>
      </c>
      <c r="AV433" t="str">
        <v>91,255,255</v>
      </c>
      <c r="AW433" s="31">
        <v>0</v>
      </c>
      <c r="AX433" s="31">
        <v>47.49999314184948</v>
      </c>
      <c r="AY433" s="31">
        <v>-47.49999314184948</v>
      </c>
    </row>
    <row r="434" spans="31:51" x14ac:dyDescent="0.25">
      <c r="AE434">
        <v>4.22</v>
      </c>
      <c r="AF434">
        <v>4</v>
      </c>
      <c r="AG434">
        <v>2</v>
      </c>
      <c r="AH434">
        <v>2</v>
      </c>
      <c r="AI434">
        <v>1.9999999999708962</v>
      </c>
      <c r="AJ434">
        <v>4.2202199999999994</v>
      </c>
      <c r="AK434">
        <v>4.2201199999999996</v>
      </c>
      <c r="AL434">
        <v>0</v>
      </c>
      <c r="AM434">
        <v>0</v>
      </c>
      <c r="AN434">
        <v>0</v>
      </c>
      <c r="AO434">
        <v>-32.499995307581187</v>
      </c>
      <c r="AP434">
        <v>0</v>
      </c>
      <c r="AQ434">
        <v>0</v>
      </c>
      <c r="AR434" t="str">
        <v>1313.par</v>
      </c>
      <c r="AV434" t="str">
        <v>91,255,255</v>
      </c>
      <c r="AW434" s="31">
        <v>0</v>
      </c>
      <c r="AX434" s="31">
        <v>32.499995307581187</v>
      </c>
      <c r="AY434" s="31">
        <v>-32.499995307581187</v>
      </c>
    </row>
    <row r="435" spans="31:51" x14ac:dyDescent="0.25">
      <c r="AE435">
        <v>4.1440000000000001</v>
      </c>
      <c r="AF435">
        <v>4</v>
      </c>
      <c r="AG435">
        <v>1</v>
      </c>
      <c r="AH435">
        <v>2</v>
      </c>
      <c r="AI435">
        <v>1.9999999999708962</v>
      </c>
      <c r="AJ435">
        <v>4.1442199999999998</v>
      </c>
      <c r="AK435">
        <v>4.14412</v>
      </c>
      <c r="AL435">
        <v>0</v>
      </c>
      <c r="AM435">
        <v>0</v>
      </c>
      <c r="AN435">
        <v>0</v>
      </c>
      <c r="AO435">
        <v>-84.999987727520178</v>
      </c>
      <c r="AP435">
        <v>0</v>
      </c>
      <c r="AQ435">
        <v>0</v>
      </c>
      <c r="AR435" t="str">
        <v>1613.par</v>
      </c>
      <c r="AV435" t="str">
        <v>0,204,204</v>
      </c>
      <c r="AW435" s="31">
        <v>0</v>
      </c>
      <c r="AX435" s="31">
        <v>84.999987727520178</v>
      </c>
      <c r="AY435" s="31">
        <v>-84.999987727520178</v>
      </c>
    </row>
    <row r="436" spans="31:51" x14ac:dyDescent="0.25">
      <c r="AE436">
        <v>4.1379999999999999</v>
      </c>
      <c r="AF436">
        <v>4</v>
      </c>
      <c r="AG436">
        <v>1</v>
      </c>
      <c r="AH436">
        <v>2</v>
      </c>
      <c r="AI436">
        <v>1.9999999999708962</v>
      </c>
      <c r="AJ436">
        <v>4.1382199999999996</v>
      </c>
      <c r="AK436">
        <v>4.1381199999999998</v>
      </c>
      <c r="AL436">
        <v>0</v>
      </c>
      <c r="AM436">
        <v>0</v>
      </c>
      <c r="AN436">
        <v>0</v>
      </c>
      <c r="AO436">
        <v>-77.499988810386057</v>
      </c>
      <c r="AP436">
        <v>0</v>
      </c>
      <c r="AQ436">
        <v>0</v>
      </c>
      <c r="AR436" t="str">
        <v>1613.par</v>
      </c>
      <c r="AV436" t="str">
        <v>0,204,204</v>
      </c>
      <c r="AW436" s="31">
        <v>0</v>
      </c>
      <c r="AX436" s="31">
        <v>77.499988810386057</v>
      </c>
      <c r="AY436" s="31">
        <v>-77.499988810386057</v>
      </c>
    </row>
    <row r="437" spans="31:51" x14ac:dyDescent="0.25">
      <c r="AE437">
        <v>4.1319999999999997</v>
      </c>
      <c r="AF437">
        <v>4</v>
      </c>
      <c r="AG437">
        <v>1</v>
      </c>
      <c r="AH437">
        <v>2</v>
      </c>
      <c r="AI437">
        <v>1.9999999998981366</v>
      </c>
      <c r="AJ437">
        <v>4.1322199999999993</v>
      </c>
      <c r="AK437">
        <v>4.1321199999999996</v>
      </c>
      <c r="AL437">
        <v>0</v>
      </c>
      <c r="AM437">
        <v>0</v>
      </c>
      <c r="AN437">
        <v>0</v>
      </c>
      <c r="AO437">
        <v>-62.499990976117807</v>
      </c>
      <c r="AP437">
        <v>0</v>
      </c>
      <c r="AQ437">
        <v>0</v>
      </c>
      <c r="AR437" t="str">
        <v>1613.par</v>
      </c>
      <c r="AV437" t="str">
        <v>0,204,204</v>
      </c>
      <c r="AW437" s="31">
        <v>0</v>
      </c>
      <c r="AX437" s="31">
        <v>62.499990976117807</v>
      </c>
      <c r="AY437" s="31">
        <v>-62.499990976117807</v>
      </c>
    </row>
    <row r="438" spans="31:51" x14ac:dyDescent="0.25">
      <c r="AE438">
        <v>4.1260000000000003</v>
      </c>
      <c r="AF438">
        <v>4</v>
      </c>
      <c r="AG438">
        <v>1</v>
      </c>
      <c r="AH438">
        <v>2</v>
      </c>
      <c r="AI438">
        <v>1.9999999999708962</v>
      </c>
      <c r="AJ438">
        <v>4.12622</v>
      </c>
      <c r="AK438">
        <v>4.1261200000000002</v>
      </c>
      <c r="AL438">
        <v>0</v>
      </c>
      <c r="AM438">
        <v>0</v>
      </c>
      <c r="AN438">
        <v>0</v>
      </c>
      <c r="AO438">
        <v>-47.499993141849522</v>
      </c>
      <c r="AP438">
        <v>0</v>
      </c>
      <c r="AQ438">
        <v>0</v>
      </c>
      <c r="AR438" t="str">
        <v>1613.par</v>
      </c>
      <c r="AV438" t="str">
        <v>0,204,204</v>
      </c>
      <c r="AW438" s="31">
        <v>0</v>
      </c>
      <c r="AX438" s="31">
        <v>47.499993141849522</v>
      </c>
      <c r="AY438" s="31">
        <v>-47.499993141849522</v>
      </c>
    </row>
    <row r="439" spans="31:51" x14ac:dyDescent="0.25">
      <c r="AE439">
        <v>4.12</v>
      </c>
      <c r="AF439">
        <v>4</v>
      </c>
      <c r="AG439">
        <v>1</v>
      </c>
      <c r="AH439">
        <v>2</v>
      </c>
      <c r="AI439">
        <v>1.9999999999708962</v>
      </c>
      <c r="AJ439">
        <v>4.1202199999999998</v>
      </c>
      <c r="AK439">
        <v>4.12012</v>
      </c>
      <c r="AL439">
        <v>0</v>
      </c>
      <c r="AM439">
        <v>0</v>
      </c>
      <c r="AN439">
        <v>0</v>
      </c>
      <c r="AO439">
        <v>-32.499995307581308</v>
      </c>
      <c r="AP439">
        <v>0</v>
      </c>
      <c r="AQ439">
        <v>0</v>
      </c>
      <c r="AR439" t="str">
        <v>1613.par</v>
      </c>
      <c r="AV439" t="str">
        <v>0,204,204</v>
      </c>
      <c r="AW439" s="31">
        <v>0</v>
      </c>
      <c r="AX439" s="31">
        <v>32.499995307581308</v>
      </c>
      <c r="AY439" s="31">
        <v>-32.499995307581308</v>
      </c>
    </row>
    <row r="440" spans="31:51" x14ac:dyDescent="0.25">
      <c r="AE440">
        <v>4.1139999999999999</v>
      </c>
      <c r="AF440">
        <v>4</v>
      </c>
      <c r="AG440">
        <v>1</v>
      </c>
      <c r="AH440">
        <v>2</v>
      </c>
      <c r="AI440">
        <v>1.9999999999708962</v>
      </c>
      <c r="AJ440">
        <v>4.1142199999999995</v>
      </c>
      <c r="AK440">
        <v>4.1141199999999998</v>
      </c>
      <c r="AL440">
        <v>0</v>
      </c>
      <c r="AM440">
        <v>0</v>
      </c>
      <c r="AN440">
        <v>0</v>
      </c>
      <c r="AO440">
        <v>-17.499997473312991</v>
      </c>
      <c r="AP440">
        <v>0</v>
      </c>
      <c r="AQ440">
        <v>0</v>
      </c>
      <c r="AR440" t="str">
        <v>1613.par</v>
      </c>
      <c r="AV440" t="str">
        <v>0,204,204</v>
      </c>
      <c r="AW440" s="31">
        <v>0</v>
      </c>
      <c r="AX440" s="31">
        <v>17.499997473312991</v>
      </c>
      <c r="AY440" s="31">
        <v>-17.499997473312991</v>
      </c>
    </row>
    <row r="441" spans="31:51" x14ac:dyDescent="0.25">
      <c r="AE441">
        <v>3.2450000000000001</v>
      </c>
      <c r="AF441">
        <v>3</v>
      </c>
      <c r="AG441">
        <v>2</v>
      </c>
      <c r="AH441">
        <v>2</v>
      </c>
      <c r="AI441">
        <v>2.000000000007276</v>
      </c>
      <c r="AJ441">
        <v>3.2452200000000002</v>
      </c>
      <c r="AK441">
        <v>3.24512</v>
      </c>
      <c r="AL441">
        <v>0</v>
      </c>
      <c r="AM441">
        <v>0</v>
      </c>
      <c r="AN441">
        <v>0</v>
      </c>
      <c r="AO441">
        <v>-85.029987723188739</v>
      </c>
      <c r="AP441">
        <v>0</v>
      </c>
      <c r="AQ441">
        <v>0</v>
      </c>
      <c r="AR441" t="str">
        <v>1613.par</v>
      </c>
      <c r="AV441" t="str">
        <v>97,255,97</v>
      </c>
      <c r="AW441" s="31">
        <v>0</v>
      </c>
      <c r="AX441" s="31">
        <v>85.029987723188739</v>
      </c>
      <c r="AY441" s="31">
        <v>-85.029987723188739</v>
      </c>
    </row>
    <row r="442" spans="31:51" x14ac:dyDescent="0.25">
      <c r="AE442">
        <v>3.2389999999999999</v>
      </c>
      <c r="AF442">
        <v>3</v>
      </c>
      <c r="AG442">
        <v>2</v>
      </c>
      <c r="AH442">
        <v>2</v>
      </c>
      <c r="AI442">
        <v>2.000000000007276</v>
      </c>
      <c r="AJ442">
        <v>3.23922</v>
      </c>
      <c r="AK442">
        <v>3.2391199999999998</v>
      </c>
      <c r="AL442">
        <v>0</v>
      </c>
      <c r="AM442">
        <v>0</v>
      </c>
      <c r="AN442">
        <v>0</v>
      </c>
      <c r="AO442">
        <v>-84.709987769390992</v>
      </c>
      <c r="AP442">
        <v>0</v>
      </c>
      <c r="AQ442">
        <v>0</v>
      </c>
      <c r="AR442" t="str">
        <v>1613.par</v>
      </c>
      <c r="AV442" t="str">
        <v>97,255,97</v>
      </c>
      <c r="AW442" s="31">
        <v>0</v>
      </c>
      <c r="AX442" s="31">
        <v>84.709987769390992</v>
      </c>
      <c r="AY442" s="31">
        <v>-84.709987769390992</v>
      </c>
    </row>
    <row r="443" spans="31:51" x14ac:dyDescent="0.25">
      <c r="AE443">
        <v>3.2330000000000001</v>
      </c>
      <c r="AF443">
        <v>3</v>
      </c>
      <c r="AG443">
        <v>2</v>
      </c>
      <c r="AH443">
        <v>2</v>
      </c>
      <c r="AI443">
        <v>2.000000000007276</v>
      </c>
      <c r="AJ443">
        <v>3.2332200000000002</v>
      </c>
      <c r="AK443">
        <v>3.23312</v>
      </c>
      <c r="AL443">
        <v>0</v>
      </c>
      <c r="AM443">
        <v>0</v>
      </c>
      <c r="AN443">
        <v>0</v>
      </c>
      <c r="AO443">
        <v>-67.869990200785836</v>
      </c>
      <c r="AP443">
        <v>0</v>
      </c>
      <c r="AQ443">
        <v>0</v>
      </c>
      <c r="AR443" t="str">
        <v>1313.par</v>
      </c>
      <c r="AV443" t="str">
        <v>97,255,97</v>
      </c>
      <c r="AW443" s="31">
        <v>0</v>
      </c>
      <c r="AX443" s="31">
        <v>67.869990200785836</v>
      </c>
      <c r="AY443" s="31">
        <v>-67.869990200785836</v>
      </c>
    </row>
    <row r="444" spans="31:51" x14ac:dyDescent="0.25">
      <c r="AE444">
        <v>3.2269999999999999</v>
      </c>
      <c r="AF444">
        <v>3</v>
      </c>
      <c r="AG444">
        <v>2</v>
      </c>
      <c r="AH444">
        <v>2</v>
      </c>
      <c r="AI444">
        <v>2.000000000007276</v>
      </c>
      <c r="AJ444">
        <v>3.22722</v>
      </c>
      <c r="AK444">
        <v>3.2271199999999998</v>
      </c>
      <c r="AL444">
        <v>0</v>
      </c>
      <c r="AM444">
        <v>0</v>
      </c>
      <c r="AN444">
        <v>0</v>
      </c>
      <c r="AO444">
        <v>-49.999992780894232</v>
      </c>
      <c r="AP444">
        <v>0</v>
      </c>
      <c r="AQ444">
        <v>0</v>
      </c>
      <c r="AR444" t="str">
        <v>1313.par</v>
      </c>
      <c r="AV444" t="str">
        <v>97,255,97</v>
      </c>
      <c r="AW444" s="31">
        <v>0</v>
      </c>
      <c r="AX444" s="31">
        <v>49.999992780894232</v>
      </c>
      <c r="AY444" s="31">
        <v>-49.999992780894232</v>
      </c>
    </row>
    <row r="445" spans="31:51" x14ac:dyDescent="0.25">
      <c r="AE445">
        <v>3.2210000000000001</v>
      </c>
      <c r="AF445">
        <v>3</v>
      </c>
      <c r="AG445">
        <v>2</v>
      </c>
      <c r="AH445">
        <v>2</v>
      </c>
      <c r="AI445">
        <v>2.000000000007276</v>
      </c>
      <c r="AJ445">
        <v>3.2212200000000002</v>
      </c>
      <c r="AK445">
        <v>3.22112</v>
      </c>
      <c r="AL445">
        <v>0</v>
      </c>
      <c r="AM445">
        <v>0</v>
      </c>
      <c r="AN445">
        <v>0</v>
      </c>
      <c r="AO445">
        <v>-34.999994946626003</v>
      </c>
      <c r="AP445">
        <v>0</v>
      </c>
      <c r="AQ445">
        <v>0</v>
      </c>
      <c r="AR445" t="str">
        <v>1313.par</v>
      </c>
      <c r="AV445" t="str">
        <v>97,255,97</v>
      </c>
      <c r="AW445" s="31">
        <v>0</v>
      </c>
      <c r="AX445" s="31">
        <v>34.999994946626003</v>
      </c>
      <c r="AY445" s="31">
        <v>-34.999994946626003</v>
      </c>
    </row>
    <row r="446" spans="31:51" x14ac:dyDescent="0.25">
      <c r="AE446">
        <v>3.2149999999999999</v>
      </c>
      <c r="AF446">
        <v>3</v>
      </c>
      <c r="AG446">
        <v>2</v>
      </c>
      <c r="AH446">
        <v>2</v>
      </c>
      <c r="AI446">
        <v>2.000000000007276</v>
      </c>
      <c r="AJ446">
        <v>3.21522</v>
      </c>
      <c r="AK446">
        <v>3.2151199999999998</v>
      </c>
      <c r="AL446">
        <v>0</v>
      </c>
      <c r="AM446">
        <v>0</v>
      </c>
      <c r="AN446">
        <v>0</v>
      </c>
      <c r="AO446">
        <v>-19.999997112357644</v>
      </c>
      <c r="AP446">
        <v>0</v>
      </c>
      <c r="AQ446">
        <v>0</v>
      </c>
      <c r="AR446" t="str">
        <v>1313.par</v>
      </c>
      <c r="AV446" t="str">
        <v>97,255,97</v>
      </c>
      <c r="AW446" s="31">
        <v>0</v>
      </c>
      <c r="AX446" s="31">
        <v>19.999997112357644</v>
      </c>
      <c r="AY446" s="31">
        <v>-19.999997112357644</v>
      </c>
    </row>
    <row r="447" spans="31:51" x14ac:dyDescent="0.25">
      <c r="AE447">
        <v>3.145</v>
      </c>
      <c r="AF447">
        <v>3</v>
      </c>
      <c r="AG447">
        <v>1</v>
      </c>
      <c r="AH447">
        <v>2</v>
      </c>
      <c r="AI447">
        <v>2.000000000007276</v>
      </c>
      <c r="AJ447">
        <v>3.1452200000000001</v>
      </c>
      <c r="AK447">
        <v>3.1451199999999999</v>
      </c>
      <c r="AL447">
        <v>0</v>
      </c>
      <c r="AM447">
        <v>0</v>
      </c>
      <c r="AN447">
        <v>0</v>
      </c>
      <c r="AO447">
        <v>-84.999987727520178</v>
      </c>
      <c r="AP447">
        <v>0</v>
      </c>
      <c r="AQ447">
        <v>0</v>
      </c>
      <c r="AR447" t="str">
        <v>1613.par</v>
      </c>
      <c r="AV447" t="str">
        <v>0,204,0</v>
      </c>
      <c r="AW447" s="31">
        <v>0</v>
      </c>
      <c r="AX447" s="31">
        <v>84.999987727520178</v>
      </c>
      <c r="AY447" s="31">
        <v>-84.999987727520178</v>
      </c>
    </row>
    <row r="448" spans="31:51" x14ac:dyDescent="0.25">
      <c r="AE448">
        <v>3.1389999999999998</v>
      </c>
      <c r="AF448">
        <v>3</v>
      </c>
      <c r="AG448">
        <v>1</v>
      </c>
      <c r="AH448">
        <v>2</v>
      </c>
      <c r="AI448">
        <v>2.000000000007276</v>
      </c>
      <c r="AJ448">
        <v>3.1392199999999999</v>
      </c>
      <c r="AK448">
        <v>3.1391199999999997</v>
      </c>
      <c r="AL448">
        <v>0</v>
      </c>
      <c r="AM448">
        <v>0</v>
      </c>
      <c r="AN448">
        <v>0</v>
      </c>
      <c r="AO448">
        <v>-79.999988449430745</v>
      </c>
      <c r="AP448">
        <v>0</v>
      </c>
      <c r="AQ448">
        <v>0</v>
      </c>
      <c r="AR448" t="str">
        <v>1613.par</v>
      </c>
      <c r="AV448" t="str">
        <v>0,204,0</v>
      </c>
      <c r="AW448" s="31">
        <v>0</v>
      </c>
      <c r="AX448" s="31">
        <v>79.999988449430745</v>
      </c>
      <c r="AY448" s="31">
        <v>-79.999988449430745</v>
      </c>
    </row>
    <row r="449" spans="31:51" x14ac:dyDescent="0.25">
      <c r="AE449">
        <v>3.133</v>
      </c>
      <c r="AF449">
        <v>3</v>
      </c>
      <c r="AG449">
        <v>1</v>
      </c>
      <c r="AH449">
        <v>2</v>
      </c>
      <c r="AI449">
        <v>2.000000000007276</v>
      </c>
      <c r="AJ449">
        <v>3.1332200000000001</v>
      </c>
      <c r="AK449">
        <v>3.1331199999999999</v>
      </c>
      <c r="AL449">
        <v>0</v>
      </c>
      <c r="AM449">
        <v>0</v>
      </c>
      <c r="AN449">
        <v>0</v>
      </c>
      <c r="AO449">
        <v>-64.999990615162503</v>
      </c>
      <c r="AP449">
        <v>0</v>
      </c>
      <c r="AQ449">
        <v>0</v>
      </c>
      <c r="AR449" t="str">
        <v>1613.par</v>
      </c>
      <c r="AV449" t="str">
        <v>0,204,0</v>
      </c>
      <c r="AW449" s="31">
        <v>0</v>
      </c>
      <c r="AX449" s="31">
        <v>64.999990615162503</v>
      </c>
      <c r="AY449" s="31">
        <v>-64.999990615162503</v>
      </c>
    </row>
    <row r="450" spans="31:51" x14ac:dyDescent="0.25">
      <c r="AE450">
        <v>3.1269999999999998</v>
      </c>
      <c r="AF450">
        <v>3</v>
      </c>
      <c r="AG450">
        <v>1</v>
      </c>
      <c r="AH450">
        <v>2</v>
      </c>
      <c r="AI450">
        <v>1.9999999999708962</v>
      </c>
      <c r="AJ450">
        <v>3.1272199999999999</v>
      </c>
      <c r="AK450">
        <v>3.1271199999999997</v>
      </c>
      <c r="AL450">
        <v>0</v>
      </c>
      <c r="AM450">
        <v>0</v>
      </c>
      <c r="AN450">
        <v>0</v>
      </c>
      <c r="AO450">
        <v>-49.999992780894218</v>
      </c>
      <c r="AP450">
        <v>0</v>
      </c>
      <c r="AQ450">
        <v>0</v>
      </c>
      <c r="AR450" t="str">
        <v>1613.par</v>
      </c>
      <c r="AV450" t="str">
        <v>0,204,0</v>
      </c>
      <c r="AW450" s="31">
        <v>0</v>
      </c>
      <c r="AX450" s="31">
        <v>49.999992780894218</v>
      </c>
      <c r="AY450" s="31">
        <v>-49.999992780894218</v>
      </c>
    </row>
    <row r="451" spans="31:51" x14ac:dyDescent="0.25">
      <c r="AE451">
        <v>3.121</v>
      </c>
      <c r="AF451">
        <v>3</v>
      </c>
      <c r="AG451">
        <v>1</v>
      </c>
      <c r="AH451">
        <v>2</v>
      </c>
      <c r="AI451">
        <v>2.000000000007276</v>
      </c>
      <c r="AJ451">
        <v>3.1212200000000001</v>
      </c>
      <c r="AK451">
        <v>3.1211199999999999</v>
      </c>
      <c r="AL451">
        <v>0</v>
      </c>
      <c r="AM451">
        <v>0</v>
      </c>
      <c r="AN451">
        <v>0</v>
      </c>
      <c r="AO451">
        <v>-34.999994946626082</v>
      </c>
      <c r="AP451">
        <v>0</v>
      </c>
      <c r="AQ451">
        <v>0</v>
      </c>
      <c r="AR451" t="str">
        <v>1613.par</v>
      </c>
      <c r="AV451" t="str">
        <v>0,204,0</v>
      </c>
      <c r="AW451" s="31">
        <v>0</v>
      </c>
      <c r="AX451" s="31">
        <v>34.999994946626082</v>
      </c>
      <c r="AY451" s="31">
        <v>-34.999994946626082</v>
      </c>
    </row>
    <row r="452" spans="31:51" x14ac:dyDescent="0.25">
      <c r="AE452">
        <v>3.1150000000000002</v>
      </c>
      <c r="AF452">
        <v>3</v>
      </c>
      <c r="AG452">
        <v>1</v>
      </c>
      <c r="AH452">
        <v>2</v>
      </c>
      <c r="AI452">
        <v>2.0000000000436557</v>
      </c>
      <c r="AJ452">
        <v>3.1152200000000003</v>
      </c>
      <c r="AK452">
        <v>3.1151200000000001</v>
      </c>
      <c r="AL452">
        <v>0</v>
      </c>
      <c r="AM452">
        <v>0</v>
      </c>
      <c r="AN452">
        <v>0</v>
      </c>
      <c r="AO452">
        <v>-19.999997112357622</v>
      </c>
      <c r="AP452">
        <v>0</v>
      </c>
      <c r="AQ452">
        <v>0</v>
      </c>
      <c r="AR452" t="str">
        <v>1613.par</v>
      </c>
      <c r="AV452" t="str">
        <v>0,204,0</v>
      </c>
      <c r="AW452" s="31">
        <v>0</v>
      </c>
      <c r="AX452" s="31">
        <v>19.999997112357622</v>
      </c>
      <c r="AY452" s="31">
        <v>-19.999997112357622</v>
      </c>
    </row>
    <row r="453" spans="31:51" x14ac:dyDescent="0.25">
      <c r="AE453">
        <v>3.109</v>
      </c>
      <c r="AF453">
        <v>3</v>
      </c>
      <c r="AG453">
        <v>1</v>
      </c>
      <c r="AH453">
        <v>2</v>
      </c>
      <c r="AI453">
        <v>2.000000000007276</v>
      </c>
      <c r="AJ453">
        <v>3.1092200000000001</v>
      </c>
      <c r="AK453">
        <v>3.1091199999999999</v>
      </c>
      <c r="AL453">
        <v>0</v>
      </c>
      <c r="AM453">
        <v>0</v>
      </c>
      <c r="AN453">
        <v>0</v>
      </c>
      <c r="AO453">
        <v>-4.9999992780894003</v>
      </c>
      <c r="AP453">
        <v>0</v>
      </c>
      <c r="AQ453">
        <v>0</v>
      </c>
      <c r="AR453" t="str">
        <v>1613.par</v>
      </c>
      <c r="AV453" t="str">
        <v>0,204,0</v>
      </c>
      <c r="AW453" s="31">
        <v>0</v>
      </c>
      <c r="AX453" s="31">
        <v>4.9999992780894003</v>
      </c>
      <c r="AY453" s="31">
        <v>-4.9999992780894003</v>
      </c>
    </row>
    <row r="454" spans="31:51" x14ac:dyDescent="0.25">
      <c r="AE454">
        <v>3.1059999999999999</v>
      </c>
      <c r="AF454">
        <v>3</v>
      </c>
      <c r="AG454">
        <v>1</v>
      </c>
      <c r="AH454">
        <v>2</v>
      </c>
      <c r="AI454">
        <v>2.000000000007276</v>
      </c>
      <c r="AJ454">
        <v>3.10622</v>
      </c>
      <c r="AK454">
        <v>3.1061199999999998</v>
      </c>
      <c r="AL454">
        <v>0</v>
      </c>
      <c r="AM454">
        <v>0</v>
      </c>
      <c r="AN454">
        <v>0</v>
      </c>
      <c r="AO454">
        <v>0.99999985561785909</v>
      </c>
      <c r="AP454">
        <v>0</v>
      </c>
      <c r="AQ454">
        <v>0</v>
      </c>
      <c r="AR454" t="str">
        <v>1613.par</v>
      </c>
      <c r="AV454" t="str">
        <v>0,204,0</v>
      </c>
      <c r="AW454" s="31">
        <v>0</v>
      </c>
      <c r="AX454" s="31">
        <v>-0.99999985561785909</v>
      </c>
      <c r="AY454" s="31">
        <v>0.99999985561785909</v>
      </c>
    </row>
    <row r="455" spans="31:51" x14ac:dyDescent="0.25">
      <c r="AE455">
        <v>3.1030000000000002</v>
      </c>
      <c r="AF455">
        <v>3</v>
      </c>
      <c r="AG455">
        <v>1</v>
      </c>
      <c r="AH455">
        <v>2</v>
      </c>
      <c r="AI455">
        <v>2.0000000000436557</v>
      </c>
      <c r="AJ455">
        <v>3.1032200000000003</v>
      </c>
      <c r="AK455">
        <v>3.1031200000000001</v>
      </c>
      <c r="AL455">
        <v>0</v>
      </c>
      <c r="AM455">
        <v>0</v>
      </c>
      <c r="AN455">
        <v>0</v>
      </c>
      <c r="AO455">
        <v>3.9999994224715669</v>
      </c>
      <c r="AP455">
        <v>0</v>
      </c>
      <c r="AQ455">
        <v>0</v>
      </c>
      <c r="AR455" t="str">
        <v>1613.par</v>
      </c>
      <c r="AV455" t="str">
        <v>0,204,0</v>
      </c>
      <c r="AW455" s="31">
        <v>0</v>
      </c>
      <c r="AX455" s="31">
        <v>-3.9999994224715669</v>
      </c>
      <c r="AY455" s="31">
        <v>3.9999994224715669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-84.999987727520178</v>
      </c>
      <c r="AP456">
        <v>0</v>
      </c>
      <c r="AQ456">
        <v>0</v>
      </c>
      <c r="AR456" t="str">
        <v>1613.par</v>
      </c>
      <c r="AV456" t="str">
        <v>255,255,91</v>
      </c>
      <c r="AW456" s="31">
        <v>0</v>
      </c>
      <c r="AX456" s="31">
        <v>84.999987727520178</v>
      </c>
      <c r="AY456" s="31">
        <v>-84.999987727520178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-85.029987723188725</v>
      </c>
      <c r="AP457">
        <v>0</v>
      </c>
      <c r="AQ457">
        <v>0</v>
      </c>
      <c r="AR457" t="str">
        <v>1613.par</v>
      </c>
      <c r="AV457" t="str">
        <v>255,255,91</v>
      </c>
      <c r="AW457" s="31">
        <v>0</v>
      </c>
      <c r="AX457" s="31">
        <v>85.029987723188725</v>
      </c>
      <c r="AY457" s="31">
        <v>-85.029987723188725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-70.659989797959724</v>
      </c>
      <c r="AP458">
        <v>0</v>
      </c>
      <c r="AQ458">
        <v>0</v>
      </c>
      <c r="AR458" t="str">
        <v>1313.par</v>
      </c>
      <c r="AV458" t="str">
        <v>255,255,91</v>
      </c>
      <c r="AW458" s="31">
        <v>0</v>
      </c>
      <c r="AX458" s="31">
        <v>70.659989797959724</v>
      </c>
      <c r="AY458" s="31">
        <v>-70.659989797959724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-52.499992419938899</v>
      </c>
      <c r="AP459">
        <v>0</v>
      </c>
      <c r="AQ459">
        <v>0</v>
      </c>
      <c r="AR459" t="str">
        <v>1313.par</v>
      </c>
      <c r="AV459" t="str">
        <v>255,255,91</v>
      </c>
      <c r="AW459" s="31">
        <v>0</v>
      </c>
      <c r="AX459" s="31">
        <v>52.499992419938899</v>
      </c>
      <c r="AY459" s="31">
        <v>-52.499992419938899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-37.49999458567072</v>
      </c>
      <c r="AP460">
        <v>0</v>
      </c>
      <c r="AQ460">
        <v>0</v>
      </c>
      <c r="AR460" t="str">
        <v>1313.par</v>
      </c>
      <c r="AV460" t="str">
        <v>255,255,91</v>
      </c>
      <c r="AW460" s="31">
        <v>0</v>
      </c>
      <c r="AX460" s="31">
        <v>37.49999458567072</v>
      </c>
      <c r="AY460" s="31">
        <v>-37.49999458567072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-22.499996751402406</v>
      </c>
      <c r="AP461">
        <v>0</v>
      </c>
      <c r="AQ461">
        <v>0</v>
      </c>
      <c r="AR461" t="str">
        <v>1313.par</v>
      </c>
      <c r="AV461" t="str">
        <v>255,255,91</v>
      </c>
      <c r="AW461" s="31">
        <v>0</v>
      </c>
      <c r="AX461" s="31">
        <v>22.499996751402406</v>
      </c>
      <c r="AY461" s="31">
        <v>-22.499996751402406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-84.999987727520178</v>
      </c>
      <c r="AP462">
        <v>0</v>
      </c>
      <c r="AQ462">
        <v>0</v>
      </c>
      <c r="AR462" t="str">
        <v>1613.par</v>
      </c>
      <c r="AV462" t="str">
        <v>204,204,0</v>
      </c>
      <c r="AW462" s="31">
        <v>0</v>
      </c>
      <c r="AX462" s="31">
        <v>84.999987727520178</v>
      </c>
      <c r="AY462" s="31">
        <v>-84.999987727520178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-82.499988088475476</v>
      </c>
      <c r="AP463">
        <v>0</v>
      </c>
      <c r="AQ463">
        <v>0</v>
      </c>
      <c r="AR463" t="str">
        <v>1613.par</v>
      </c>
      <c r="AV463" t="str">
        <v>204,204,0</v>
      </c>
      <c r="AW463" s="31">
        <v>0</v>
      </c>
      <c r="AX463" s="31">
        <v>82.499988088475476</v>
      </c>
      <c r="AY463" s="31">
        <v>-82.499988088475476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-67.499990254207177</v>
      </c>
      <c r="AP464">
        <v>0</v>
      </c>
      <c r="AQ464">
        <v>0</v>
      </c>
      <c r="AR464" t="str">
        <v>1613.par</v>
      </c>
      <c r="AV464" t="str">
        <v>204,204,0</v>
      </c>
      <c r="AW464" s="31">
        <v>0</v>
      </c>
      <c r="AX464" s="31">
        <v>67.499990254207177</v>
      </c>
      <c r="AY464" s="31">
        <v>-67.499990254207177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-52.499992419938948</v>
      </c>
      <c r="AP465">
        <v>0</v>
      </c>
      <c r="AQ465">
        <v>0</v>
      </c>
      <c r="AR465" t="str">
        <v>1613.par</v>
      </c>
      <c r="AV465" t="str">
        <v>204,204,0</v>
      </c>
      <c r="AW465" s="31">
        <v>0</v>
      </c>
      <c r="AX465" s="31">
        <v>52.499992419938948</v>
      </c>
      <c r="AY465" s="31">
        <v>-52.499992419938948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-37.499994585670692</v>
      </c>
      <c r="AP466">
        <v>0</v>
      </c>
      <c r="AQ466">
        <v>0</v>
      </c>
      <c r="AR466" t="str">
        <v>1613.par</v>
      </c>
      <c r="AV466" t="str">
        <v>204,204,0</v>
      </c>
      <c r="AW466" s="31">
        <v>0</v>
      </c>
      <c r="AX466" s="31">
        <v>37.499994585670692</v>
      </c>
      <c r="AY466" s="31">
        <v>-37.499994585670692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-22.499996751402488</v>
      </c>
      <c r="AP467">
        <v>0</v>
      </c>
      <c r="AQ467">
        <v>0</v>
      </c>
      <c r="AR467" t="str">
        <v>1613.par</v>
      </c>
      <c r="AV467" t="str">
        <v>204,204,0</v>
      </c>
      <c r="AW467" s="31">
        <v>0</v>
      </c>
      <c r="AX467" s="31">
        <v>22.499996751402488</v>
      </c>
      <c r="AY467" s="31">
        <v>-22.499996751402488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-7.4999989171341195</v>
      </c>
      <c r="AP468">
        <v>0</v>
      </c>
      <c r="AQ468">
        <v>0</v>
      </c>
      <c r="AR468" t="str">
        <v>1613.par</v>
      </c>
      <c r="AV468" t="str">
        <v>204,204,0</v>
      </c>
      <c r="AW468" s="31">
        <v>0</v>
      </c>
      <c r="AX468" s="31">
        <v>7.4999989171341195</v>
      </c>
      <c r="AY468" s="31">
        <v>-7.4999989171341195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-85.029987723188711</v>
      </c>
      <c r="AP469">
        <v>0</v>
      </c>
      <c r="AQ469">
        <v>0</v>
      </c>
      <c r="AR469" t="str">
        <v>1613.par</v>
      </c>
      <c r="AV469" t="str">
        <v>255,188,121</v>
      </c>
      <c r="AW469" s="31">
        <v>0</v>
      </c>
      <c r="AX469" s="31">
        <v>85.029987723188711</v>
      </c>
      <c r="AY469" s="31">
        <v>-85.029987723188711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-73.469989392245964</v>
      </c>
      <c r="AP470">
        <v>0</v>
      </c>
      <c r="AQ470">
        <v>0</v>
      </c>
      <c r="AR470" t="str">
        <v>1613.par</v>
      </c>
      <c r="AV470" t="str">
        <v>255,188,121</v>
      </c>
      <c r="AW470" s="31">
        <v>0</v>
      </c>
      <c r="AX470" s="31">
        <v>73.469989392245964</v>
      </c>
      <c r="AY470" s="31">
        <v>-73.469989392245964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-56.709991812090223</v>
      </c>
      <c r="AP471">
        <v>0</v>
      </c>
      <c r="AQ471">
        <v>0</v>
      </c>
      <c r="AR471" t="str">
        <v>1313.par</v>
      </c>
      <c r="AV471" t="str">
        <v>255,188,121</v>
      </c>
      <c r="AW471" s="31">
        <v>0</v>
      </c>
      <c r="AX471" s="31">
        <v>56.709991812090223</v>
      </c>
      <c r="AY471" s="31">
        <v>-56.709991812090223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-39.999994224715337</v>
      </c>
      <c r="AP472">
        <v>0</v>
      </c>
      <c r="AQ472">
        <v>0</v>
      </c>
      <c r="AR472" t="str">
        <v>1313.par</v>
      </c>
      <c r="AV472" t="str">
        <v>255,188,121</v>
      </c>
      <c r="AW472" s="31">
        <v>0</v>
      </c>
      <c r="AX472" s="31">
        <v>39.999994224715337</v>
      </c>
      <c r="AY472" s="31">
        <v>-39.999994224715337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-24.999996390447119</v>
      </c>
      <c r="AP473">
        <v>0</v>
      </c>
      <c r="AQ473">
        <v>0</v>
      </c>
      <c r="AR473" t="str">
        <v>1313.par</v>
      </c>
      <c r="AV473" t="str">
        <v>255,188,121</v>
      </c>
      <c r="AW473" s="31">
        <v>0</v>
      </c>
      <c r="AX473" s="31">
        <v>24.999996390447119</v>
      </c>
      <c r="AY473" s="31">
        <v>-24.999996390447119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-9.9999985561788076</v>
      </c>
      <c r="AP474">
        <v>0</v>
      </c>
      <c r="AQ474">
        <v>0</v>
      </c>
      <c r="AR474" t="str">
        <v>1313.par</v>
      </c>
      <c r="AV474" t="str">
        <v>255,188,121</v>
      </c>
      <c r="AW474" s="31">
        <v>0</v>
      </c>
      <c r="AX474" s="31">
        <v>9.9999985561788076</v>
      </c>
      <c r="AY474" s="31">
        <v>-9.9999985561788076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-84.999987727520178</v>
      </c>
      <c r="AP475">
        <v>0</v>
      </c>
      <c r="AQ475">
        <v>0</v>
      </c>
      <c r="AR475" t="str">
        <v>1613.par</v>
      </c>
      <c r="AV475" t="str">
        <v>255,127,0</v>
      </c>
      <c r="AW475" s="31">
        <v>0</v>
      </c>
      <c r="AX475" s="31">
        <v>84.999987727520178</v>
      </c>
      <c r="AY475" s="31">
        <v>-84.999987727520178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-69.999989893251936</v>
      </c>
      <c r="AP476">
        <v>0</v>
      </c>
      <c r="AQ476">
        <v>0</v>
      </c>
      <c r="AR476" t="str">
        <v>1613.par</v>
      </c>
      <c r="AV476" t="str">
        <v>255,127,0</v>
      </c>
      <c r="AW476" s="31">
        <v>0</v>
      </c>
      <c r="AX476" s="31">
        <v>69.999989893251936</v>
      </c>
      <c r="AY476" s="31">
        <v>-69.999989893251936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-54.999992058983644</v>
      </c>
      <c r="AP477">
        <v>0</v>
      </c>
      <c r="AQ477">
        <v>0</v>
      </c>
      <c r="AR477" t="str">
        <v>1613.par</v>
      </c>
      <c r="AV477" t="str">
        <v>255,127,0</v>
      </c>
      <c r="AW477" s="31">
        <v>0</v>
      </c>
      <c r="AX477" s="31">
        <v>54.999992058983644</v>
      </c>
      <c r="AY477" s="31">
        <v>-54.999992058983644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-39.999994224715344</v>
      </c>
      <c r="AP478">
        <v>0</v>
      </c>
      <c r="AQ478">
        <v>0</v>
      </c>
      <c r="AR478" t="str">
        <v>1613.par</v>
      </c>
      <c r="AV478" t="str">
        <v>255,127,0</v>
      </c>
      <c r="AW478" s="31">
        <v>0</v>
      </c>
      <c r="AX478" s="31">
        <v>39.999994224715344</v>
      </c>
      <c r="AY478" s="31">
        <v>-39.999994224715344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-24.99999639044708</v>
      </c>
      <c r="AP479">
        <v>0</v>
      </c>
      <c r="AQ479">
        <v>0</v>
      </c>
      <c r="AR479" t="str">
        <v>1613.par</v>
      </c>
      <c r="AV479" t="str">
        <v>255,127,0</v>
      </c>
      <c r="AW479" s="31">
        <v>0</v>
      </c>
      <c r="AX479" s="31">
        <v>24.99999639044708</v>
      </c>
      <c r="AY479" s="31">
        <v>-24.99999639044708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-9.999998556178836</v>
      </c>
      <c r="AP480">
        <v>0</v>
      </c>
      <c r="AQ480">
        <v>0</v>
      </c>
      <c r="AR480" t="str">
        <v>1613.par</v>
      </c>
      <c r="AV480" t="str">
        <v>255,127,0</v>
      </c>
      <c r="AW480" s="31">
        <v>0</v>
      </c>
      <c r="AX480" s="31">
        <v>9.999998556178836</v>
      </c>
      <c r="AY480" s="31">
        <v>-9.999998556178836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 t="str">
        <v>1613.par</v>
      </c>
      <c r="AV481" t="str">
        <v>255,127,0</v>
      </c>
      <c r="AW481" s="31">
        <v>0</v>
      </c>
      <c r="AX481" s="31">
        <v>0</v>
      </c>
      <c r="AY481" s="31">
        <v>0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2.9999995668536554</v>
      </c>
      <c r="AP482">
        <v>0</v>
      </c>
      <c r="AQ482">
        <v>0</v>
      </c>
      <c r="AR482" t="str">
        <v>1613.par</v>
      </c>
      <c r="AV482" t="str">
        <v>255,127,0</v>
      </c>
      <c r="AW482" s="31">
        <v>0</v>
      </c>
      <c r="AX482" s="31">
        <v>-2.9999995668536554</v>
      </c>
      <c r="AY482" s="31">
        <v>2.9999995668536554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8.9999987005609601</v>
      </c>
      <c r="AP483">
        <v>0</v>
      </c>
      <c r="AQ483">
        <v>0</v>
      </c>
      <c r="AR483" t="str">
        <v>1613.par</v>
      </c>
      <c r="AV483" t="str">
        <v>255,127,0</v>
      </c>
      <c r="AW483" s="31">
        <v>0</v>
      </c>
      <c r="AX483" s="31">
        <v>-8.9999987005609601</v>
      </c>
      <c r="AY483" s="31">
        <v>8.9999987005609601</v>
      </c>
    </row>
    <row r="484" spans="31:51" x14ac:dyDescent="0.25">
      <c r="AE484">
        <v>6.242</v>
      </c>
      <c r="AF484">
        <v>6</v>
      </c>
      <c r="AG484">
        <v>2</v>
      </c>
      <c r="AH484">
        <v>1</v>
      </c>
      <c r="AI484">
        <v>3.0000000000291038</v>
      </c>
      <c r="AJ484">
        <v>6.2421300000000004</v>
      </c>
      <c r="AK484" t="str">
        <v>Base</v>
      </c>
      <c r="AL484">
        <v>-8.25</v>
      </c>
      <c r="AM484">
        <v>-4.6871636932366263</v>
      </c>
      <c r="AN484">
        <v>-3.1651469335252362</v>
      </c>
      <c r="AO484">
        <v>85.029987723188711</v>
      </c>
      <c r="AP484">
        <v>0</v>
      </c>
      <c r="AQ484">
        <v>0</v>
      </c>
      <c r="AR484" t="str">
        <v>1613.par</v>
      </c>
      <c r="AV484" t="str">
        <v>188,121,255</v>
      </c>
      <c r="AW484" s="31">
        <v>0</v>
      </c>
      <c r="AX484" s="31">
        <v>85.029987723188711</v>
      </c>
      <c r="AY484" s="31">
        <v>0</v>
      </c>
    </row>
    <row r="485" spans="31:51" x14ac:dyDescent="0.25">
      <c r="AE485">
        <v>6.2359999999999998</v>
      </c>
      <c r="AF485">
        <v>6</v>
      </c>
      <c r="AG485">
        <v>2</v>
      </c>
      <c r="AH485">
        <v>1</v>
      </c>
      <c r="AI485">
        <v>3.0000000000291038</v>
      </c>
      <c r="AJ485">
        <v>6.2361300000000002</v>
      </c>
      <c r="AK485" t="str">
        <v>Base</v>
      </c>
      <c r="AL485">
        <v>-8.25</v>
      </c>
      <c r="AM485">
        <v>-4.5852385809365135</v>
      </c>
      <c r="AN485">
        <v>-2.3613801156081187</v>
      </c>
      <c r="AO485">
        <v>76.29998898364461</v>
      </c>
      <c r="AP485">
        <v>0</v>
      </c>
      <c r="AQ485">
        <v>0</v>
      </c>
      <c r="AR485" t="str">
        <v>1613.par</v>
      </c>
      <c r="AV485" t="str">
        <v>188,121,255</v>
      </c>
      <c r="AW485" s="31">
        <v>0</v>
      </c>
      <c r="AX485" s="31">
        <v>76.29998898364461</v>
      </c>
      <c r="AY485" s="31">
        <v>0</v>
      </c>
    </row>
    <row r="486" spans="31:51" x14ac:dyDescent="0.25">
      <c r="AE486">
        <v>6.23</v>
      </c>
      <c r="AF486">
        <v>6</v>
      </c>
      <c r="AG486">
        <v>2</v>
      </c>
      <c r="AH486">
        <v>1</v>
      </c>
      <c r="AI486">
        <v>3.0000000001018634</v>
      </c>
      <c r="AJ486">
        <v>6.2301300000000008</v>
      </c>
      <c r="AK486" t="str">
        <v>Base</v>
      </c>
      <c r="AL486">
        <v>-8.25</v>
      </c>
      <c r="AM486">
        <v>-4.3374689425018378</v>
      </c>
      <c r="AN486">
        <v>-1.652625804836197</v>
      </c>
      <c r="AO486">
        <v>59.509991407820316</v>
      </c>
      <c r="AP486">
        <v>0</v>
      </c>
      <c r="AQ486">
        <v>0</v>
      </c>
      <c r="AR486" t="str">
        <v>1313.par</v>
      </c>
      <c r="AV486" t="str">
        <v>188,121,255</v>
      </c>
      <c r="AW486" s="31">
        <v>0</v>
      </c>
      <c r="AX486" s="31">
        <v>59.509991407820316</v>
      </c>
      <c r="AY486" s="31">
        <v>0</v>
      </c>
    </row>
    <row r="487" spans="31:51" x14ac:dyDescent="0.25">
      <c r="AE487">
        <v>6.2240000000000002</v>
      </c>
      <c r="AF487">
        <v>6</v>
      </c>
      <c r="AG487">
        <v>2</v>
      </c>
      <c r="AH487">
        <v>1</v>
      </c>
      <c r="AI487">
        <v>3.0000000000291038</v>
      </c>
      <c r="AJ487">
        <v>6.2241300000000006</v>
      </c>
      <c r="AK487" t="str">
        <v>Base</v>
      </c>
      <c r="AL487">
        <v>-8.25</v>
      </c>
      <c r="AM487">
        <v>-3.9125499819631724</v>
      </c>
      <c r="AN487">
        <v>-1.0228103963021438</v>
      </c>
      <c r="AO487">
        <v>42.499993863760089</v>
      </c>
      <c r="AP487">
        <v>-25.479996321143663</v>
      </c>
      <c r="AQ487">
        <v>0</v>
      </c>
      <c r="AR487" t="str">
        <v>1313.par</v>
      </c>
      <c r="AV487" t="str">
        <v>188,121,255</v>
      </c>
      <c r="AW487" s="31">
        <v>0</v>
      </c>
      <c r="AX487" s="31">
        <v>42.499993863760089</v>
      </c>
      <c r="AY487" s="31">
        <v>0</v>
      </c>
    </row>
    <row r="488" spans="31:51" x14ac:dyDescent="0.25">
      <c r="AE488">
        <v>6.218</v>
      </c>
      <c r="AF488">
        <v>6</v>
      </c>
      <c r="AG488">
        <v>2</v>
      </c>
      <c r="AH488">
        <v>1</v>
      </c>
      <c r="AI488">
        <v>3.0000000000291038</v>
      </c>
      <c r="AJ488">
        <v>6.2181300000000004</v>
      </c>
      <c r="AK488" t="str">
        <v>Base</v>
      </c>
      <c r="AL488">
        <v>-8.25</v>
      </c>
      <c r="AM488">
        <v>-3.3074933656265726</v>
      </c>
      <c r="AN488">
        <v>-0.56973975031669444</v>
      </c>
      <c r="AO488">
        <v>27.499996029491825</v>
      </c>
      <c r="AP488">
        <v>-22.11999680626759</v>
      </c>
      <c r="AQ488">
        <v>0</v>
      </c>
      <c r="AR488" t="str">
        <v>1313.par</v>
      </c>
      <c r="AV488" t="str">
        <v>188,121,255</v>
      </c>
      <c r="AW488" s="31">
        <v>0</v>
      </c>
      <c r="AX488" s="31">
        <v>27.499996029491825</v>
      </c>
      <c r="AY488" s="31">
        <v>0</v>
      </c>
    </row>
    <row r="489" spans="31:51" x14ac:dyDescent="0.25">
      <c r="AE489">
        <v>6.1420000000000003</v>
      </c>
      <c r="AF489">
        <v>6</v>
      </c>
      <c r="AG489">
        <v>1</v>
      </c>
      <c r="AH489">
        <v>1</v>
      </c>
      <c r="AI489">
        <v>3.0000000001018634</v>
      </c>
      <c r="AJ489">
        <v>6.1421300000000008</v>
      </c>
      <c r="AK489" t="str">
        <v>Base</v>
      </c>
      <c r="AL489">
        <v>-7.5</v>
      </c>
      <c r="AM489">
        <v>-4.6915141496066735</v>
      </c>
      <c r="AN489">
        <v>-3.1578265347772434</v>
      </c>
      <c r="AO489">
        <v>84.999987727520164</v>
      </c>
      <c r="AP489">
        <v>-29.99999566853651</v>
      </c>
      <c r="AQ489">
        <v>0</v>
      </c>
      <c r="AR489" t="str">
        <v>1613.par</v>
      </c>
      <c r="AV489" t="str">
        <v>127,0,255</v>
      </c>
      <c r="AW489" s="31">
        <v>0</v>
      </c>
      <c r="AX489" s="31">
        <v>84.999987727520164</v>
      </c>
      <c r="AY489" s="31">
        <v>0</v>
      </c>
    </row>
    <row r="490" spans="31:51" x14ac:dyDescent="0.25">
      <c r="AE490">
        <v>6.1360000000000001</v>
      </c>
      <c r="AF490">
        <v>6</v>
      </c>
      <c r="AG490">
        <v>1</v>
      </c>
      <c r="AH490">
        <v>1</v>
      </c>
      <c r="AI490">
        <v>3.0000000000291038</v>
      </c>
      <c r="AJ490">
        <v>6.1361300000000005</v>
      </c>
      <c r="AK490" t="str">
        <v>Base</v>
      </c>
      <c r="AL490">
        <v>-7.5</v>
      </c>
      <c r="AM490">
        <v>-4.5816138181472752</v>
      </c>
      <c r="AN490">
        <v>-2.3560074495487253</v>
      </c>
      <c r="AO490">
        <v>72.499989532296652</v>
      </c>
      <c r="AP490">
        <v>-27.199996072806407</v>
      </c>
      <c r="AQ490">
        <v>0</v>
      </c>
      <c r="AR490" t="str">
        <v>1613.par</v>
      </c>
      <c r="AV490" t="str">
        <v>127,0,255</v>
      </c>
      <c r="AW490" s="31">
        <v>0</v>
      </c>
      <c r="AX490" s="31">
        <v>72.499989532296652</v>
      </c>
      <c r="AY490" s="31">
        <v>0</v>
      </c>
    </row>
    <row r="491" spans="31:51" x14ac:dyDescent="0.25">
      <c r="AE491">
        <v>6.13</v>
      </c>
      <c r="AF491">
        <v>6</v>
      </c>
      <c r="AG491">
        <v>1</v>
      </c>
      <c r="AH491">
        <v>1</v>
      </c>
      <c r="AI491">
        <v>3.0000000000291038</v>
      </c>
      <c r="AJ491">
        <v>6.1301300000000003</v>
      </c>
      <c r="AK491" t="str">
        <v>Base</v>
      </c>
      <c r="AL491">
        <v>-7.5</v>
      </c>
      <c r="AM491">
        <v>-4.3267130493665569</v>
      </c>
      <c r="AN491">
        <v>-1.6531951440817401</v>
      </c>
      <c r="AO491">
        <v>57.499991698028374</v>
      </c>
      <c r="AP491">
        <v>-23.839996557930323</v>
      </c>
      <c r="AQ491">
        <v>0</v>
      </c>
      <c r="AR491" t="str">
        <v>1613.par</v>
      </c>
      <c r="AV491" t="str">
        <v>127,0,255</v>
      </c>
      <c r="AW491" s="31">
        <v>0</v>
      </c>
      <c r="AX491" s="31">
        <v>57.499991698028374</v>
      </c>
      <c r="AY491" s="31">
        <v>0</v>
      </c>
    </row>
    <row r="492" spans="31:51" x14ac:dyDescent="0.25">
      <c r="AE492">
        <v>6.1239999999999997</v>
      </c>
      <c r="AF492">
        <v>6</v>
      </c>
      <c r="AG492">
        <v>1</v>
      </c>
      <c r="AH492">
        <v>1</v>
      </c>
      <c r="AI492">
        <v>3.0000000000291038</v>
      </c>
      <c r="AJ492">
        <v>6.1241300000000001</v>
      </c>
      <c r="AK492" t="str">
        <v>Base</v>
      </c>
      <c r="AL492">
        <v>-7.5</v>
      </c>
      <c r="AM492">
        <v>-3.888511727751371</v>
      </c>
      <c r="AN492">
        <v>-1.0478988730980698</v>
      </c>
      <c r="AO492">
        <v>42.499993863760125</v>
      </c>
      <c r="AP492">
        <v>-20.47999704305424</v>
      </c>
      <c r="AQ492">
        <v>0</v>
      </c>
      <c r="AR492" t="str">
        <v>1613.par</v>
      </c>
      <c r="AV492" t="str">
        <v>127,0,255</v>
      </c>
      <c r="AW492" s="31">
        <v>0</v>
      </c>
      <c r="AX492" s="31">
        <v>42.499993863760125</v>
      </c>
      <c r="AY492" s="31">
        <v>0</v>
      </c>
    </row>
    <row r="493" spans="31:51" x14ac:dyDescent="0.25">
      <c r="AE493">
        <v>6.1180000000000003</v>
      </c>
      <c r="AF493">
        <v>6</v>
      </c>
      <c r="AG493">
        <v>1</v>
      </c>
      <c r="AH493">
        <v>1</v>
      </c>
      <c r="AI493">
        <v>3.0000000001018634</v>
      </c>
      <c r="AJ493">
        <v>6.1181300000000007</v>
      </c>
      <c r="AK493" t="str">
        <v>Base</v>
      </c>
      <c r="AL493">
        <v>-7.5</v>
      </c>
      <c r="AM493">
        <v>-3.2912099262891377</v>
      </c>
      <c r="AN493">
        <v>-0.59966326081644983</v>
      </c>
      <c r="AO493">
        <v>27.499996029491861</v>
      </c>
      <c r="AP493">
        <v>-17.119997528178182</v>
      </c>
      <c r="AQ493">
        <v>0</v>
      </c>
      <c r="AR493" t="str">
        <v>1613.par</v>
      </c>
      <c r="AV493" t="str">
        <v>127,0,255</v>
      </c>
      <c r="AW493" s="31">
        <v>0</v>
      </c>
      <c r="AX493" s="31">
        <v>27.499996029491861</v>
      </c>
      <c r="AY493" s="31">
        <v>0</v>
      </c>
    </row>
    <row r="494" spans="31:51" x14ac:dyDescent="0.25">
      <c r="AE494">
        <v>6.1120000000000001</v>
      </c>
      <c r="AF494">
        <v>6</v>
      </c>
      <c r="AG494">
        <v>1</v>
      </c>
      <c r="AH494">
        <v>1</v>
      </c>
      <c r="AI494">
        <v>3.0000000000291038</v>
      </c>
      <c r="AJ494">
        <v>6.1121300000000005</v>
      </c>
      <c r="AK494" t="str">
        <v>Base</v>
      </c>
      <c r="AL494">
        <v>-7.5</v>
      </c>
      <c r="AM494">
        <v>-2.5826077891450923</v>
      </c>
      <c r="AN494">
        <v>-0.36467736590674416</v>
      </c>
      <c r="AO494">
        <v>12.49999819522351</v>
      </c>
      <c r="AP494">
        <v>-15.999997689886111</v>
      </c>
      <c r="AQ494">
        <v>0</v>
      </c>
      <c r="AR494" t="str">
        <v>1613.par</v>
      </c>
      <c r="AV494" t="str">
        <v>127,0,255</v>
      </c>
      <c r="AW494" s="31">
        <v>0</v>
      </c>
      <c r="AX494" s="31">
        <v>12.49999819522351</v>
      </c>
      <c r="AY494" s="31">
        <v>0</v>
      </c>
    </row>
    <row r="495" spans="31:51" x14ac:dyDescent="0.25">
      <c r="AE495">
        <v>5.2430000000000003</v>
      </c>
      <c r="AF495">
        <v>5</v>
      </c>
      <c r="AG495">
        <v>2</v>
      </c>
      <c r="AH495">
        <v>1</v>
      </c>
      <c r="AI495">
        <v>3.0000000001018634</v>
      </c>
      <c r="AJ495">
        <v>5.2431300000000007</v>
      </c>
      <c r="AK495" t="str">
        <v>Base</v>
      </c>
      <c r="AL495">
        <v>-6.75</v>
      </c>
      <c r="AM495">
        <v>-4.6871636932366263</v>
      </c>
      <c r="AN495">
        <v>-3.3194114313543803</v>
      </c>
      <c r="AO495">
        <v>85.029987723188711</v>
      </c>
      <c r="AP495">
        <v>0</v>
      </c>
      <c r="AQ495">
        <v>0</v>
      </c>
      <c r="AR495" t="str">
        <v>1613.par</v>
      </c>
      <c r="AV495" t="str">
        <v>121,188,255</v>
      </c>
      <c r="AW495" s="31">
        <v>0</v>
      </c>
      <c r="AX495" s="31">
        <v>85.029987723188711</v>
      </c>
      <c r="AY495" s="31">
        <v>0</v>
      </c>
    </row>
    <row r="496" spans="31:51" x14ac:dyDescent="0.25">
      <c r="AE496">
        <v>5.2370000000000001</v>
      </c>
      <c r="AF496">
        <v>5</v>
      </c>
      <c r="AG496">
        <v>2</v>
      </c>
      <c r="AH496">
        <v>1</v>
      </c>
      <c r="AI496">
        <v>3.0000000000291038</v>
      </c>
      <c r="AJ496">
        <v>5.2371300000000005</v>
      </c>
      <c r="AK496" t="str">
        <v>Base</v>
      </c>
      <c r="AL496">
        <v>-6.75</v>
      </c>
      <c r="AM496">
        <v>-4.6075561823203888</v>
      </c>
      <c r="AN496">
        <v>-2.513865931062397</v>
      </c>
      <c r="AO496">
        <v>79.129988575043214</v>
      </c>
      <c r="AP496">
        <v>0</v>
      </c>
      <c r="AQ496">
        <v>0</v>
      </c>
      <c r="AR496" t="str">
        <v>1613.par</v>
      </c>
      <c r="AV496" t="str">
        <v>121,188,255</v>
      </c>
      <c r="AW496" s="31">
        <v>0</v>
      </c>
      <c r="AX496" s="31">
        <v>79.129988575043214</v>
      </c>
      <c r="AY496" s="31">
        <v>0</v>
      </c>
    </row>
    <row r="497" spans="31:51" x14ac:dyDescent="0.25">
      <c r="AE497">
        <v>5.2309999999999999</v>
      </c>
      <c r="AF497">
        <v>5</v>
      </c>
      <c r="AG497">
        <v>2</v>
      </c>
      <c r="AH497">
        <v>1</v>
      </c>
      <c r="AI497">
        <v>3.0000000000291038</v>
      </c>
      <c r="AJ497">
        <v>5.2311300000000003</v>
      </c>
      <c r="AK497" t="str">
        <v>Base</v>
      </c>
      <c r="AL497">
        <v>-6.75</v>
      </c>
      <c r="AM497">
        <v>-4.392122330503164</v>
      </c>
      <c r="AN497">
        <v>-1.7948611979172351</v>
      </c>
      <c r="AO497">
        <v>62.299991004994205</v>
      </c>
      <c r="AP497">
        <v>0</v>
      </c>
      <c r="AQ497">
        <v>0</v>
      </c>
      <c r="AR497" t="str">
        <v>1313.par</v>
      </c>
      <c r="AV497" t="str">
        <v>121,188,255</v>
      </c>
      <c r="AW497" s="31">
        <v>0</v>
      </c>
      <c r="AX497" s="31">
        <v>62.299991004994205</v>
      </c>
      <c r="AY497" s="31">
        <v>0</v>
      </c>
    </row>
    <row r="498" spans="31:51" x14ac:dyDescent="0.25">
      <c r="AE498">
        <v>5.2249999999999996</v>
      </c>
      <c r="AF498">
        <v>5</v>
      </c>
      <c r="AG498">
        <v>2</v>
      </c>
      <c r="AH498">
        <v>1</v>
      </c>
      <c r="AI498">
        <v>3.0000000000291038</v>
      </c>
      <c r="AJ498">
        <v>5.2251300000000001</v>
      </c>
      <c r="AK498" t="str">
        <v>Base</v>
      </c>
      <c r="AL498">
        <v>-6.75</v>
      </c>
      <c r="AM498">
        <v>-3.9986957972740775</v>
      </c>
      <c r="AN498">
        <v>-1.1446462565256188</v>
      </c>
      <c r="AO498">
        <v>44.999993502804806</v>
      </c>
      <c r="AP498">
        <v>-26.039996240289703</v>
      </c>
      <c r="AQ498">
        <v>0</v>
      </c>
      <c r="AR498" t="str">
        <v>1313.par</v>
      </c>
      <c r="AV498" t="str">
        <v>121,188,255</v>
      </c>
      <c r="AW498" s="31">
        <v>0</v>
      </c>
      <c r="AX498" s="31">
        <v>44.999993502804806</v>
      </c>
      <c r="AY498" s="31">
        <v>0</v>
      </c>
    </row>
    <row r="499" spans="31:51" x14ac:dyDescent="0.25">
      <c r="AE499">
        <v>5.2190000000000003</v>
      </c>
      <c r="AF499">
        <v>5</v>
      </c>
      <c r="AG499">
        <v>2</v>
      </c>
      <c r="AH499">
        <v>1</v>
      </c>
      <c r="AI499">
        <v>3.0000000001018634</v>
      </c>
      <c r="AJ499">
        <v>5.2191300000000007</v>
      </c>
      <c r="AK499" t="str">
        <v>Base</v>
      </c>
      <c r="AL499">
        <v>-6.75</v>
      </c>
      <c r="AM499">
        <v>-3.4177756005728321</v>
      </c>
      <c r="AN499">
        <v>-0.66078495446926366</v>
      </c>
      <c r="AO499">
        <v>29.999995668536492</v>
      </c>
      <c r="AP499">
        <v>-22.679996725413609</v>
      </c>
      <c r="AQ499">
        <v>0</v>
      </c>
      <c r="AR499" t="str">
        <v>1313.par</v>
      </c>
      <c r="AV499" t="str">
        <v>121,188,255</v>
      </c>
      <c r="AW499" s="31">
        <v>0</v>
      </c>
      <c r="AX499" s="31">
        <v>29.999995668536492</v>
      </c>
      <c r="AY499" s="31">
        <v>0</v>
      </c>
    </row>
    <row r="500" spans="31:51" x14ac:dyDescent="0.25">
      <c r="AE500">
        <v>5.2130000000000001</v>
      </c>
      <c r="AF500">
        <v>5</v>
      </c>
      <c r="AG500">
        <v>2</v>
      </c>
      <c r="AH500">
        <v>1</v>
      </c>
      <c r="AI500">
        <v>3.0000000000291038</v>
      </c>
      <c r="AJ500">
        <v>5.2131300000000005</v>
      </c>
      <c r="AK500" t="str">
        <v>Base</v>
      </c>
      <c r="AL500">
        <v>-6.75</v>
      </c>
      <c r="AM500">
        <v>-2.7146971007579759</v>
      </c>
      <c r="AN500">
        <v>-0.38404136223481278</v>
      </c>
      <c r="AO500">
        <v>14.999997834268259</v>
      </c>
      <c r="AP500">
        <v>-20.999996967975559</v>
      </c>
      <c r="AQ500">
        <v>0</v>
      </c>
      <c r="AR500" t="str">
        <v>1313.par</v>
      </c>
      <c r="AV500" t="str">
        <v>121,188,255</v>
      </c>
      <c r="AW500" s="31">
        <v>0</v>
      </c>
      <c r="AX500" s="31">
        <v>14.999997834268259</v>
      </c>
      <c r="AY500" s="31">
        <v>0</v>
      </c>
    </row>
    <row r="501" spans="31:51" x14ac:dyDescent="0.25">
      <c r="AE501">
        <v>5.1429999999999998</v>
      </c>
      <c r="AF501">
        <v>5</v>
      </c>
      <c r="AG501">
        <v>1</v>
      </c>
      <c r="AH501">
        <v>1</v>
      </c>
      <c r="AI501">
        <v>3.0000000000291038</v>
      </c>
      <c r="AJ501">
        <v>5.1431300000000002</v>
      </c>
      <c r="AK501" t="str">
        <v>Base</v>
      </c>
      <c r="AL501">
        <v>-6</v>
      </c>
      <c r="AM501">
        <v>-4.6915141496066752</v>
      </c>
      <c r="AN501">
        <v>-3.311993574221777</v>
      </c>
      <c r="AO501">
        <v>84.999987727520178</v>
      </c>
      <c r="AP501">
        <v>-29.99999566853651</v>
      </c>
      <c r="AQ501">
        <v>0</v>
      </c>
      <c r="AR501" t="str">
        <v>1613.par</v>
      </c>
      <c r="AV501" t="str">
        <v>0,102,204</v>
      </c>
      <c r="AW501" s="31">
        <v>0</v>
      </c>
      <c r="AX501" s="31">
        <v>84.999987727520178</v>
      </c>
      <c r="AY501" s="31">
        <v>0</v>
      </c>
    </row>
    <row r="502" spans="31:51" x14ac:dyDescent="0.25">
      <c r="AE502">
        <v>5.1369999999999996</v>
      </c>
      <c r="AF502">
        <v>5</v>
      </c>
      <c r="AG502">
        <v>1</v>
      </c>
      <c r="AH502">
        <v>1</v>
      </c>
      <c r="AI502">
        <v>3.0000000000291038</v>
      </c>
      <c r="AJ502">
        <v>5.13713</v>
      </c>
      <c r="AK502" t="str">
        <v>Base</v>
      </c>
      <c r="AL502">
        <v>-6</v>
      </c>
      <c r="AM502">
        <v>-4.6054138899282924</v>
      </c>
      <c r="AN502">
        <v>-2.5078605931816793</v>
      </c>
      <c r="AO502">
        <v>74.999989171341326</v>
      </c>
      <c r="AP502">
        <v>-27.759995991952422</v>
      </c>
      <c r="AQ502">
        <v>0</v>
      </c>
      <c r="AR502" t="str">
        <v>1613.par</v>
      </c>
      <c r="AV502" t="str">
        <v>0,102,204</v>
      </c>
      <c r="AW502" s="31">
        <v>0</v>
      </c>
      <c r="AX502" s="31">
        <v>74.999989171341326</v>
      </c>
      <c r="AY502" s="31">
        <v>0</v>
      </c>
    </row>
    <row r="503" spans="31:51" x14ac:dyDescent="0.25">
      <c r="AE503">
        <v>5.1310000000000002</v>
      </c>
      <c r="AF503">
        <v>5</v>
      </c>
      <c r="AG503">
        <v>1</v>
      </c>
      <c r="AH503">
        <v>1</v>
      </c>
      <c r="AI503">
        <v>3.0000000000291038</v>
      </c>
      <c r="AJ503">
        <v>5.1311300000000006</v>
      </c>
      <c r="AK503" t="str">
        <v>Base</v>
      </c>
      <c r="AL503">
        <v>-6</v>
      </c>
      <c r="AM503">
        <v>-4.3823132170566632</v>
      </c>
      <c r="AN503">
        <v>-1.7942204773680284</v>
      </c>
      <c r="AO503">
        <v>59.999991337073098</v>
      </c>
      <c r="AP503">
        <v>-24.399996477076375</v>
      </c>
      <c r="AQ503">
        <v>0</v>
      </c>
      <c r="AR503" t="str">
        <v>1613.par</v>
      </c>
      <c r="AV503" t="str">
        <v>0,102,204</v>
      </c>
      <c r="AW503" s="31">
        <v>0</v>
      </c>
      <c r="AX503" s="31">
        <v>59.999991337073098</v>
      </c>
      <c r="AY503" s="31">
        <v>0</v>
      </c>
    </row>
    <row r="504" spans="31:51" x14ac:dyDescent="0.25">
      <c r="AE504">
        <v>5.125</v>
      </c>
      <c r="AF504">
        <v>5</v>
      </c>
      <c r="AG504">
        <v>1</v>
      </c>
      <c r="AH504">
        <v>1</v>
      </c>
      <c r="AI504">
        <v>3.0000000000291038</v>
      </c>
      <c r="AJ504">
        <v>5.1251300000000004</v>
      </c>
      <c r="AK504" t="str">
        <v>Base</v>
      </c>
      <c r="AL504">
        <v>-6</v>
      </c>
      <c r="AM504">
        <v>-3.9735119841121449</v>
      </c>
      <c r="AN504">
        <v>-1.168710256574091</v>
      </c>
      <c r="AO504">
        <v>44.999993502804777</v>
      </c>
      <c r="AP504">
        <v>-21.039996962200266</v>
      </c>
      <c r="AQ504">
        <v>0</v>
      </c>
      <c r="AR504" t="str">
        <v>1613.par</v>
      </c>
      <c r="AV504" t="str">
        <v>0,102,204</v>
      </c>
      <c r="AW504" s="31">
        <v>0</v>
      </c>
      <c r="AX504" s="31">
        <v>44.999993502804777</v>
      </c>
      <c r="AY504" s="31">
        <v>0</v>
      </c>
    </row>
    <row r="505" spans="31:51" x14ac:dyDescent="0.25">
      <c r="AE505">
        <v>5.1189999999999998</v>
      </c>
      <c r="AF505">
        <v>5</v>
      </c>
      <c r="AG505">
        <v>1</v>
      </c>
      <c r="AH505">
        <v>1</v>
      </c>
      <c r="AI505">
        <v>3.0000000000291038</v>
      </c>
      <c r="AJ505">
        <v>5.1191300000000002</v>
      </c>
      <c r="AK505" t="str">
        <v>Base</v>
      </c>
      <c r="AL505">
        <v>-6</v>
      </c>
      <c r="AM505">
        <v>-3.4001102547325295</v>
      </c>
      <c r="AN505">
        <v>-0.69006992296470715</v>
      </c>
      <c r="AO505">
        <v>29.999995668536499</v>
      </c>
      <c r="AP505">
        <v>-17.679997447324173</v>
      </c>
      <c r="AQ505">
        <v>0</v>
      </c>
      <c r="AR505" t="str">
        <v>1613.par</v>
      </c>
      <c r="AV505" t="str">
        <v>0,102,204</v>
      </c>
      <c r="AW505" s="31">
        <v>0</v>
      </c>
      <c r="AX505" s="31">
        <v>29.999995668536499</v>
      </c>
      <c r="AY505" s="31">
        <v>0</v>
      </c>
    </row>
    <row r="506" spans="31:51" x14ac:dyDescent="0.25">
      <c r="AE506">
        <v>5.1130000000000004</v>
      </c>
      <c r="AF506">
        <v>5</v>
      </c>
      <c r="AG506">
        <v>1</v>
      </c>
      <c r="AH506">
        <v>1</v>
      </c>
      <c r="AI506">
        <v>3.0000000001018634</v>
      </c>
      <c r="AJ506">
        <v>5.1131300000000008</v>
      </c>
      <c r="AK506" t="str">
        <v>Base</v>
      </c>
      <c r="AL506">
        <v>-6</v>
      </c>
      <c r="AM506">
        <v>-2.7056081601142119</v>
      </c>
      <c r="AN506">
        <v>-0.41630242957394653</v>
      </c>
      <c r="AO506">
        <v>14.999997834268246</v>
      </c>
      <c r="AP506">
        <v>-15.999997689886136</v>
      </c>
      <c r="AQ506">
        <v>0</v>
      </c>
      <c r="AR506" t="str">
        <v>1613.par</v>
      </c>
      <c r="AV506" t="str">
        <v>0,102,204</v>
      </c>
      <c r="AW506" s="31">
        <v>0</v>
      </c>
      <c r="AX506" s="31">
        <v>14.999997834268246</v>
      </c>
      <c r="AY506" s="31">
        <v>0</v>
      </c>
    </row>
    <row r="507" spans="31:51" x14ac:dyDescent="0.25">
      <c r="AE507">
        <v>5.1079999999999997</v>
      </c>
      <c r="AF507">
        <v>5</v>
      </c>
      <c r="AG507">
        <v>1</v>
      </c>
      <c r="AH507">
        <v>1</v>
      </c>
      <c r="AI507">
        <v>3.0000000000291038</v>
      </c>
      <c r="AJ507">
        <v>5.1081300000000001</v>
      </c>
      <c r="AK507" t="str">
        <v>Base</v>
      </c>
      <c r="AL507">
        <v>-6</v>
      </c>
      <c r="AM507">
        <v>-1.9695059400299149</v>
      </c>
      <c r="AN507">
        <v>-0.38612270852973507</v>
      </c>
      <c r="AO507">
        <v>2.4999996390447317</v>
      </c>
      <c r="AP507">
        <v>-15.99999768988615</v>
      </c>
      <c r="AQ507">
        <v>0</v>
      </c>
      <c r="AR507" t="str">
        <v>1613.par</v>
      </c>
      <c r="AV507" t="str">
        <v>0,102,204</v>
      </c>
      <c r="AW507" s="31">
        <v>0</v>
      </c>
      <c r="AX507" s="31">
        <v>2.4999996390447317</v>
      </c>
      <c r="AY507" s="31">
        <v>0</v>
      </c>
    </row>
    <row r="508" spans="31:51" x14ac:dyDescent="0.25">
      <c r="AE508">
        <v>5.1050000000000004</v>
      </c>
      <c r="AF508">
        <v>5</v>
      </c>
      <c r="AG508">
        <v>1</v>
      </c>
      <c r="AH508">
        <v>1</v>
      </c>
      <c r="AI508">
        <v>3.0000000001018634</v>
      </c>
      <c r="AJ508">
        <v>5.1051300000000008</v>
      </c>
      <c r="AK508" t="str">
        <v>Base</v>
      </c>
      <c r="AL508">
        <v>-6</v>
      </c>
      <c r="AM508">
        <v>-1.2694038285219469</v>
      </c>
      <c r="AN508">
        <v>-0.55192320859617006</v>
      </c>
      <c r="AO508">
        <v>-1.9999997112357779</v>
      </c>
      <c r="AP508">
        <v>-15.999997689886136</v>
      </c>
      <c r="AQ508">
        <v>0</v>
      </c>
      <c r="AR508" t="str">
        <v>1613.par</v>
      </c>
      <c r="AV508" t="str">
        <v>0,102,204</v>
      </c>
      <c r="AW508" s="31">
        <v>0</v>
      </c>
      <c r="AX508" s="31">
        <v>-1.9999997112357779</v>
      </c>
      <c r="AY508" s="31">
        <v>0</v>
      </c>
    </row>
    <row r="509" spans="31:51" x14ac:dyDescent="0.25">
      <c r="AE509">
        <v>5.1020000000000003</v>
      </c>
      <c r="AF509">
        <v>5</v>
      </c>
      <c r="AG509">
        <v>1</v>
      </c>
      <c r="AH509">
        <v>1</v>
      </c>
      <c r="AI509">
        <v>3.0000000001018634</v>
      </c>
      <c r="AJ509">
        <v>5.1021300000000007</v>
      </c>
      <c r="AK509" t="str">
        <v>Base</v>
      </c>
      <c r="AL509">
        <v>-6</v>
      </c>
      <c r="AM509">
        <v>-0.57390173088762031</v>
      </c>
      <c r="AN509">
        <v>-0.73822377047866439</v>
      </c>
      <c r="AO509">
        <v>-5.9999991337073002</v>
      </c>
      <c r="AP509">
        <v>-18.999997256739807</v>
      </c>
      <c r="AQ509">
        <v>0</v>
      </c>
      <c r="AR509" t="str">
        <v>1613.par</v>
      </c>
      <c r="AV509" t="str">
        <v>0,102,204</v>
      </c>
      <c r="AW509" s="31">
        <v>0</v>
      </c>
      <c r="AX509" s="31">
        <v>-5.9999991337073002</v>
      </c>
      <c r="AY509" s="31">
        <v>0</v>
      </c>
    </row>
    <row r="510" spans="31:51" x14ac:dyDescent="0.25">
      <c r="AE510">
        <v>4.2439999999999998</v>
      </c>
      <c r="AF510">
        <v>4</v>
      </c>
      <c r="AG510">
        <v>2</v>
      </c>
      <c r="AH510">
        <v>1</v>
      </c>
      <c r="AI510">
        <v>3.0000000000291038</v>
      </c>
      <c r="AJ510">
        <v>4.2441300000000002</v>
      </c>
      <c r="AK510" t="str">
        <v>Base</v>
      </c>
      <c r="AL510">
        <v>-5.25</v>
      </c>
      <c r="AM510">
        <v>-4.6871636932366254</v>
      </c>
      <c r="AN510">
        <v>-3.4690464545635367</v>
      </c>
      <c r="AO510">
        <v>85.029987723188711</v>
      </c>
      <c r="AP510">
        <v>0</v>
      </c>
      <c r="AQ510">
        <v>0</v>
      </c>
      <c r="AR510" t="str">
        <v>1613.par</v>
      </c>
      <c r="AV510" t="str">
        <v>91,255,255</v>
      </c>
      <c r="AW510" s="31">
        <v>0</v>
      </c>
      <c r="AX510" s="31">
        <v>85.029987723188711</v>
      </c>
      <c r="AY510" s="31">
        <v>0</v>
      </c>
    </row>
    <row r="511" spans="31:51" x14ac:dyDescent="0.25">
      <c r="AE511">
        <v>4.2380000000000004</v>
      </c>
      <c r="AF511">
        <v>4</v>
      </c>
      <c r="AG511">
        <v>2</v>
      </c>
      <c r="AH511">
        <v>1</v>
      </c>
      <c r="AI511">
        <v>3.0000000001018634</v>
      </c>
      <c r="AJ511">
        <v>4.2381300000000008</v>
      </c>
      <c r="AK511" t="str">
        <v>Base</v>
      </c>
      <c r="AL511">
        <v>-5.25</v>
      </c>
      <c r="AM511">
        <v>-4.6244090295939042</v>
      </c>
      <c r="AN511">
        <v>-2.6625027873332106</v>
      </c>
      <c r="AO511">
        <v>81.919988172217103</v>
      </c>
      <c r="AP511">
        <v>0</v>
      </c>
      <c r="AQ511">
        <v>0</v>
      </c>
      <c r="AR511" t="str">
        <v>1613.par</v>
      </c>
      <c r="AV511" t="str">
        <v>91,255,255</v>
      </c>
      <c r="AW511" s="31">
        <v>0</v>
      </c>
      <c r="AX511" s="31">
        <v>81.919988172217103</v>
      </c>
      <c r="AY511" s="31">
        <v>0</v>
      </c>
    </row>
    <row r="512" spans="31:51" x14ac:dyDescent="0.25">
      <c r="AE512">
        <v>4.2320000000000002</v>
      </c>
      <c r="AF512">
        <v>4</v>
      </c>
      <c r="AG512">
        <v>2</v>
      </c>
      <c r="AH512">
        <v>1</v>
      </c>
      <c r="AI512">
        <v>3.0000000000291038</v>
      </c>
      <c r="AJ512">
        <v>4.2321300000000006</v>
      </c>
      <c r="AK512" t="str">
        <v>Base</v>
      </c>
      <c r="AL512">
        <v>-5.25</v>
      </c>
      <c r="AM512">
        <v>-4.4414713908579211</v>
      </c>
      <c r="AN512">
        <v>-1.9348939157852887</v>
      </c>
      <c r="AO512">
        <v>65.089990602168101</v>
      </c>
      <c r="AP512">
        <v>0</v>
      </c>
      <c r="AQ512">
        <v>0</v>
      </c>
      <c r="AR512" t="str">
        <v>1313.par</v>
      </c>
      <c r="AV512" t="str">
        <v>91,255,255</v>
      </c>
      <c r="AW512" s="31">
        <v>0</v>
      </c>
      <c r="AX512" s="31">
        <v>65.089990602168101</v>
      </c>
      <c r="AY512" s="31">
        <v>0</v>
      </c>
    </row>
    <row r="513" spans="31:51" x14ac:dyDescent="0.25">
      <c r="AE513">
        <v>4.226</v>
      </c>
      <c r="AF513">
        <v>4</v>
      </c>
      <c r="AG513">
        <v>2</v>
      </c>
      <c r="AH513">
        <v>1</v>
      </c>
      <c r="AI513">
        <v>3.0000000000291038</v>
      </c>
      <c r="AJ513">
        <v>4.2261300000000004</v>
      </c>
      <c r="AK513" t="str">
        <v>Base</v>
      </c>
      <c r="AL513">
        <v>-5.25</v>
      </c>
      <c r="AM513">
        <v>-4.0800918506455561</v>
      </c>
      <c r="AN513">
        <v>-1.2660084902015576</v>
      </c>
      <c r="AO513">
        <v>47.49999314184948</v>
      </c>
      <c r="AP513">
        <v>-26.59999615943568</v>
      </c>
      <c r="AQ513">
        <v>0</v>
      </c>
      <c r="AR513" t="str">
        <v>1313.par</v>
      </c>
      <c r="AV513" t="str">
        <v>91,255,255</v>
      </c>
      <c r="AW513" s="31">
        <v>0</v>
      </c>
      <c r="AX513" s="31">
        <v>47.49999314184948</v>
      </c>
      <c r="AY513" s="31">
        <v>0</v>
      </c>
    </row>
    <row r="514" spans="31:51" x14ac:dyDescent="0.25">
      <c r="AE514">
        <v>4.22</v>
      </c>
      <c r="AF514">
        <v>4</v>
      </c>
      <c r="AG514">
        <v>2</v>
      </c>
      <c r="AH514">
        <v>1</v>
      </c>
      <c r="AI514">
        <v>3.0000000000291038</v>
      </c>
      <c r="AJ514">
        <v>4.2201300000000002</v>
      </c>
      <c r="AK514" t="str">
        <v>Base</v>
      </c>
      <c r="AL514">
        <v>-5.25</v>
      </c>
      <c r="AM514">
        <v>-3.5246263419381556</v>
      </c>
      <c r="AN514">
        <v>-0.75307022208915464</v>
      </c>
      <c r="AO514">
        <v>32.499995307581187</v>
      </c>
      <c r="AP514">
        <v>-23.239996644559596</v>
      </c>
      <c r="AQ514">
        <v>0</v>
      </c>
      <c r="AR514" t="str">
        <v>1313.par</v>
      </c>
      <c r="AV514" t="str">
        <v>91,255,255</v>
      </c>
      <c r="AW514" s="31">
        <v>0</v>
      </c>
      <c r="AX514" s="31">
        <v>32.499995307581187</v>
      </c>
      <c r="AY514" s="31">
        <v>0</v>
      </c>
    </row>
    <row r="515" spans="31:51" x14ac:dyDescent="0.25">
      <c r="AE515">
        <v>4.1440000000000001</v>
      </c>
      <c r="AF515">
        <v>4</v>
      </c>
      <c r="AG515">
        <v>1</v>
      </c>
      <c r="AH515">
        <v>1</v>
      </c>
      <c r="AI515">
        <v>3.0000000000291038</v>
      </c>
      <c r="AJ515">
        <v>4.1441300000000005</v>
      </c>
      <c r="AK515" t="str">
        <v>Base</v>
      </c>
      <c r="AL515">
        <v>-4.5</v>
      </c>
      <c r="AM515">
        <v>-4.6915141496066752</v>
      </c>
      <c r="AN515">
        <v>-3.4615309847172422</v>
      </c>
      <c r="AO515">
        <v>84.999987727520178</v>
      </c>
      <c r="AP515">
        <v>-29.999995668536549</v>
      </c>
      <c r="AQ515">
        <v>0</v>
      </c>
      <c r="AR515" t="str">
        <v>1613.par</v>
      </c>
      <c r="AV515" t="str">
        <v>0,204,204</v>
      </c>
      <c r="AW515" s="31">
        <v>0</v>
      </c>
      <c r="AX515" s="31">
        <v>84.999987727520178</v>
      </c>
      <c r="AY515" s="31">
        <v>0</v>
      </c>
    </row>
    <row r="516" spans="31:51" x14ac:dyDescent="0.25">
      <c r="AE516">
        <v>4.1379999999999999</v>
      </c>
      <c r="AF516">
        <v>4</v>
      </c>
      <c r="AG516">
        <v>1</v>
      </c>
      <c r="AH516">
        <v>1</v>
      </c>
      <c r="AI516">
        <v>3.0000000000291038</v>
      </c>
      <c r="AJ516">
        <v>4.1381300000000003</v>
      </c>
      <c r="AK516" t="str">
        <v>Base</v>
      </c>
      <c r="AL516">
        <v>-4.5</v>
      </c>
      <c r="AM516">
        <v>-4.6238139454228611</v>
      </c>
      <c r="AN516">
        <v>-2.6559841105678483</v>
      </c>
      <c r="AO516">
        <v>77.499988810386057</v>
      </c>
      <c r="AP516">
        <v>-28.319995911098463</v>
      </c>
      <c r="AQ516">
        <v>0</v>
      </c>
      <c r="AR516" t="str">
        <v>1613.par</v>
      </c>
      <c r="AV516" t="str">
        <v>0,204,204</v>
      </c>
      <c r="AW516" s="31">
        <v>0</v>
      </c>
      <c r="AX516" s="31">
        <v>77.499988810386057</v>
      </c>
      <c r="AY516" s="31">
        <v>0</v>
      </c>
    </row>
    <row r="517" spans="31:51" x14ac:dyDescent="0.25">
      <c r="AE517">
        <v>4.1319999999999997</v>
      </c>
      <c r="AF517">
        <v>4</v>
      </c>
      <c r="AG517">
        <v>1</v>
      </c>
      <c r="AH517">
        <v>1</v>
      </c>
      <c r="AI517">
        <v>3.0000000000291038</v>
      </c>
      <c r="AJ517">
        <v>4.1321300000000001</v>
      </c>
      <c r="AK517" t="str">
        <v>Base</v>
      </c>
      <c r="AL517">
        <v>-4.5</v>
      </c>
      <c r="AM517">
        <v>-4.4327133690635208</v>
      </c>
      <c r="AN517">
        <v>-1.9331208188621076</v>
      </c>
      <c r="AO517">
        <v>62.499990976117807</v>
      </c>
      <c r="AP517">
        <v>-24.959996396222365</v>
      </c>
      <c r="AQ517">
        <v>0</v>
      </c>
      <c r="AR517" t="str">
        <v>1613.par</v>
      </c>
      <c r="AV517" t="str">
        <v>0,204,204</v>
      </c>
      <c r="AW517" s="31">
        <v>0</v>
      </c>
      <c r="AX517" s="31">
        <v>62.499990976117807</v>
      </c>
      <c r="AY517" s="31">
        <v>0</v>
      </c>
    </row>
    <row r="518" spans="31:51" x14ac:dyDescent="0.25">
      <c r="AE518">
        <v>4.1260000000000003</v>
      </c>
      <c r="AF518">
        <v>4</v>
      </c>
      <c r="AG518">
        <v>1</v>
      </c>
      <c r="AH518">
        <v>1</v>
      </c>
      <c r="AI518">
        <v>3.0000000001018634</v>
      </c>
      <c r="AJ518">
        <v>4.1261300000000007</v>
      </c>
      <c r="AK518" t="str">
        <v>Base</v>
      </c>
      <c r="AL518">
        <v>-4.5</v>
      </c>
      <c r="AM518">
        <v>-4.0538122262976746</v>
      </c>
      <c r="AN518">
        <v>-1.2889920234666818</v>
      </c>
      <c r="AO518">
        <v>47.499993141849522</v>
      </c>
      <c r="AP518">
        <v>-21.599996881346296</v>
      </c>
      <c r="AQ518">
        <v>0</v>
      </c>
      <c r="AR518" t="str">
        <v>1613.par</v>
      </c>
      <c r="AV518" t="str">
        <v>0,204,204</v>
      </c>
      <c r="AW518" s="31">
        <v>0</v>
      </c>
      <c r="AX518" s="31">
        <v>47.499993141849522</v>
      </c>
      <c r="AY518" s="31">
        <v>0</v>
      </c>
    </row>
    <row r="519" spans="31:51" x14ac:dyDescent="0.25">
      <c r="AE519">
        <v>4.12</v>
      </c>
      <c r="AF519">
        <v>4</v>
      </c>
      <c r="AG519">
        <v>1</v>
      </c>
      <c r="AH519">
        <v>1</v>
      </c>
      <c r="AI519">
        <v>3.0000000000291038</v>
      </c>
      <c r="AJ519">
        <v>4.1201300000000005</v>
      </c>
      <c r="AK519" t="str">
        <v>Base</v>
      </c>
      <c r="AL519">
        <v>-4.5</v>
      </c>
      <c r="AM519">
        <v>-3.5056105729214884</v>
      </c>
      <c r="AN519">
        <v>-0.78164697365674962</v>
      </c>
      <c r="AO519">
        <v>32.499995307581308</v>
      </c>
      <c r="AP519">
        <v>-18.239997366470227</v>
      </c>
      <c r="AQ519">
        <v>0</v>
      </c>
      <c r="AR519" t="str">
        <v>1613.par</v>
      </c>
      <c r="AV519" t="str">
        <v>0,204,204</v>
      </c>
      <c r="AW519" s="31">
        <v>0</v>
      </c>
      <c r="AX519" s="31">
        <v>32.499995307581308</v>
      </c>
      <c r="AY519" s="31">
        <v>0</v>
      </c>
    </row>
    <row r="520" spans="31:51" x14ac:dyDescent="0.25">
      <c r="AE520">
        <v>4.1139999999999999</v>
      </c>
      <c r="AF520">
        <v>4</v>
      </c>
      <c r="AG520">
        <v>1</v>
      </c>
      <c r="AH520">
        <v>1</v>
      </c>
      <c r="AI520">
        <v>3.0000000000291038</v>
      </c>
      <c r="AJ520">
        <v>4.1141300000000003</v>
      </c>
      <c r="AK520" t="str">
        <v>Base</v>
      </c>
      <c r="AL520">
        <v>-4.5</v>
      </c>
      <c r="AM520">
        <v>-2.8271085265593161</v>
      </c>
      <c r="AN520">
        <v>-0.47009325513560218</v>
      </c>
      <c r="AO520">
        <v>17.499997473312991</v>
      </c>
      <c r="AP520">
        <v>-15.999997689886136</v>
      </c>
      <c r="AQ520">
        <v>0</v>
      </c>
      <c r="AR520" t="str">
        <v>1613.par</v>
      </c>
      <c r="AV520" t="str">
        <v>0,204,204</v>
      </c>
      <c r="AW520" s="31">
        <v>0</v>
      </c>
      <c r="AX520" s="31">
        <v>17.499997473312991</v>
      </c>
      <c r="AY520" s="31">
        <v>0</v>
      </c>
    </row>
    <row r="521" spans="31:51" x14ac:dyDescent="0.25">
      <c r="AE521">
        <v>3.2450000000000001</v>
      </c>
      <c r="AF521">
        <v>3</v>
      </c>
      <c r="AG521">
        <v>2</v>
      </c>
      <c r="AH521">
        <v>1</v>
      </c>
      <c r="AI521">
        <v>2.999999999992724</v>
      </c>
      <c r="AJ521">
        <v>3.2451300000000001</v>
      </c>
      <c r="AK521" t="str">
        <v>Base</v>
      </c>
      <c r="AL521">
        <v>-3.75</v>
      </c>
      <c r="AM521">
        <v>-4.6871636932366263</v>
      </c>
      <c r="AN521">
        <v>-3.6219223752281953</v>
      </c>
      <c r="AO521">
        <v>85.029987723188739</v>
      </c>
      <c r="AP521">
        <v>0</v>
      </c>
      <c r="AQ521">
        <v>0</v>
      </c>
      <c r="AR521" t="str">
        <v>1613.par</v>
      </c>
      <c r="AV521" t="str">
        <v>97,255,97</v>
      </c>
      <c r="AW521" s="31">
        <v>0</v>
      </c>
      <c r="AX521" s="31">
        <v>85.029987723188739</v>
      </c>
      <c r="AY521" s="31">
        <v>0</v>
      </c>
    </row>
    <row r="522" spans="31:51" x14ac:dyDescent="0.25">
      <c r="AE522">
        <v>3.2389999999999999</v>
      </c>
      <c r="AF522">
        <v>3</v>
      </c>
      <c r="AG522">
        <v>2</v>
      </c>
      <c r="AH522">
        <v>1</v>
      </c>
      <c r="AI522">
        <v>2.999999999992724</v>
      </c>
      <c r="AJ522">
        <v>3.2391299999999998</v>
      </c>
      <c r="AK522" t="str">
        <v>Base</v>
      </c>
      <c r="AL522">
        <v>-3.75</v>
      </c>
      <c r="AM522">
        <v>-4.6358053718246754</v>
      </c>
      <c r="AN522">
        <v>-2.8150556731917233</v>
      </c>
      <c r="AO522">
        <v>84.709987769390992</v>
      </c>
      <c r="AP522">
        <v>0</v>
      </c>
      <c r="AQ522">
        <v>0</v>
      </c>
      <c r="AR522" t="str">
        <v>1613.par</v>
      </c>
      <c r="AV522" t="str">
        <v>97,255,97</v>
      </c>
      <c r="AW522" s="31">
        <v>0</v>
      </c>
      <c r="AX522" s="31">
        <v>84.709987769390992</v>
      </c>
      <c r="AY522" s="31">
        <v>0</v>
      </c>
    </row>
    <row r="523" spans="31:51" x14ac:dyDescent="0.25">
      <c r="AE523">
        <v>3.2330000000000001</v>
      </c>
      <c r="AF523">
        <v>3</v>
      </c>
      <c r="AG523">
        <v>2</v>
      </c>
      <c r="AH523">
        <v>1</v>
      </c>
      <c r="AI523">
        <v>2.999999999992724</v>
      </c>
      <c r="AJ523">
        <v>3.2331300000000001</v>
      </c>
      <c r="AK523" t="str">
        <v>Base</v>
      </c>
      <c r="AL523">
        <v>-3.75</v>
      </c>
      <c r="AM523">
        <v>-4.4855214378891013</v>
      </c>
      <c r="AN523">
        <v>-2.0802863457218042</v>
      </c>
      <c r="AO523">
        <v>67.869990200785836</v>
      </c>
      <c r="AP523">
        <v>0</v>
      </c>
      <c r="AQ523">
        <v>0</v>
      </c>
      <c r="AR523" t="str">
        <v>1313.par</v>
      </c>
      <c r="AV523" t="str">
        <v>97,255,97</v>
      </c>
      <c r="AW523" s="31">
        <v>0</v>
      </c>
      <c r="AX523" s="31">
        <v>67.869990200785836</v>
      </c>
      <c r="AY523" s="31">
        <v>0</v>
      </c>
    </row>
    <row r="524" spans="31:51" x14ac:dyDescent="0.25">
      <c r="AE524">
        <v>3.2269999999999999</v>
      </c>
      <c r="AF524">
        <v>3</v>
      </c>
      <c r="AG524">
        <v>2</v>
      </c>
      <c r="AH524">
        <v>1</v>
      </c>
      <c r="AI524">
        <v>2.999999999992724</v>
      </c>
      <c r="AJ524">
        <v>3.2271299999999998</v>
      </c>
      <c r="AK524" t="str">
        <v>Base</v>
      </c>
      <c r="AL524">
        <v>-3.75</v>
      </c>
      <c r="AM524">
        <v>-4.1567354941134766</v>
      </c>
      <c r="AN524">
        <v>-1.3943647222290851</v>
      </c>
      <c r="AO524">
        <v>49.999992780894232</v>
      </c>
      <c r="AP524">
        <v>-27.159996078581734</v>
      </c>
      <c r="AQ524">
        <v>0</v>
      </c>
      <c r="AR524" t="str">
        <v>1313.par</v>
      </c>
      <c r="AV524" t="str">
        <v>97,255,97</v>
      </c>
      <c r="AW524" s="31">
        <v>0</v>
      </c>
      <c r="AX524" s="31">
        <v>49.999992780894232</v>
      </c>
      <c r="AY524" s="31">
        <v>0</v>
      </c>
    </row>
    <row r="525" spans="31:51" x14ac:dyDescent="0.25">
      <c r="AE525">
        <v>3.2210000000000001</v>
      </c>
      <c r="AF525">
        <v>3</v>
      </c>
      <c r="AG525">
        <v>2</v>
      </c>
      <c r="AH525">
        <v>1</v>
      </c>
      <c r="AI525">
        <v>2.999999999992724</v>
      </c>
      <c r="AJ525">
        <v>3.22113</v>
      </c>
      <c r="AK525" t="str">
        <v>Base</v>
      </c>
      <c r="AL525">
        <v>-3.75</v>
      </c>
      <c r="AM525">
        <v>-3.6277423039980539</v>
      </c>
      <c r="AN525">
        <v>-0.85405932527863859</v>
      </c>
      <c r="AO525">
        <v>34.999994946626003</v>
      </c>
      <c r="AP525">
        <v>-23.799996563705651</v>
      </c>
      <c r="AQ525">
        <v>0</v>
      </c>
      <c r="AR525" t="str">
        <v>1313.par</v>
      </c>
      <c r="AV525" t="str">
        <v>97,255,97</v>
      </c>
      <c r="AW525" s="31">
        <v>0</v>
      </c>
      <c r="AX525" s="31">
        <v>34.999994946626003</v>
      </c>
      <c r="AY525" s="31">
        <v>0</v>
      </c>
    </row>
    <row r="526" spans="31:51" x14ac:dyDescent="0.25">
      <c r="AE526">
        <v>3.2149999999999999</v>
      </c>
      <c r="AF526">
        <v>3</v>
      </c>
      <c r="AG526">
        <v>2</v>
      </c>
      <c r="AH526">
        <v>1</v>
      </c>
      <c r="AI526">
        <v>2.999999999992724</v>
      </c>
      <c r="AJ526">
        <v>3.2151299999999998</v>
      </c>
      <c r="AK526" t="str">
        <v>Base</v>
      </c>
      <c r="AL526">
        <v>-3.75</v>
      </c>
      <c r="AM526">
        <v>-2.9587195984197217</v>
      </c>
      <c r="AN526">
        <v>-0.50254058067057916</v>
      </c>
      <c r="AO526">
        <v>19.999997112357644</v>
      </c>
      <c r="AP526">
        <v>-20.999996967975559</v>
      </c>
      <c r="AQ526">
        <v>0</v>
      </c>
      <c r="AR526" t="str">
        <v>1313.par</v>
      </c>
      <c r="AV526" t="str">
        <v>97,255,97</v>
      </c>
      <c r="AW526" s="31">
        <v>0</v>
      </c>
      <c r="AX526" s="31">
        <v>19.999997112357644</v>
      </c>
      <c r="AY526" s="31">
        <v>0</v>
      </c>
    </row>
    <row r="527" spans="31:51" x14ac:dyDescent="0.25">
      <c r="AE527">
        <v>3.145</v>
      </c>
      <c r="AF527">
        <v>3</v>
      </c>
      <c r="AG527">
        <v>1</v>
      </c>
      <c r="AH527">
        <v>1</v>
      </c>
      <c r="AI527">
        <v>2.999999999992724</v>
      </c>
      <c r="AJ527">
        <v>3.14513</v>
      </c>
      <c r="AK527" t="str">
        <v>Base</v>
      </c>
      <c r="AL527">
        <v>-3</v>
      </c>
      <c r="AM527">
        <v>-4.6915141496066752</v>
      </c>
      <c r="AN527">
        <v>-3.6143091354794783</v>
      </c>
      <c r="AO527">
        <v>84.999987727520178</v>
      </c>
      <c r="AP527">
        <v>-29.99999566853651</v>
      </c>
      <c r="AQ527">
        <v>0</v>
      </c>
      <c r="AR527" t="str">
        <v>1613.par</v>
      </c>
      <c r="AV527" t="str">
        <v>0,204,0</v>
      </c>
      <c r="AW527" s="31">
        <v>0</v>
      </c>
      <c r="AX527" s="31">
        <v>84.999987727520178</v>
      </c>
      <c r="AY527" s="31">
        <v>0</v>
      </c>
    </row>
    <row r="528" spans="31:51" x14ac:dyDescent="0.25">
      <c r="AE528">
        <v>3.1389999999999998</v>
      </c>
      <c r="AF528">
        <v>3</v>
      </c>
      <c r="AG528">
        <v>1</v>
      </c>
      <c r="AH528">
        <v>1</v>
      </c>
      <c r="AI528">
        <v>2.999999999992724</v>
      </c>
      <c r="AJ528">
        <v>3.1391299999999998</v>
      </c>
      <c r="AK528" t="str">
        <v>Base</v>
      </c>
      <c r="AL528">
        <v>-3</v>
      </c>
      <c r="AM528">
        <v>-4.6368139846309777</v>
      </c>
      <c r="AN528">
        <v>-2.8081483706335955</v>
      </c>
      <c r="AO528">
        <v>79.999988449430745</v>
      </c>
      <c r="AP528">
        <v>-28.87999583024444</v>
      </c>
      <c r="AQ528">
        <v>0</v>
      </c>
      <c r="AR528" t="str">
        <v>1613.par</v>
      </c>
      <c r="AV528" t="str">
        <v>0,204,0</v>
      </c>
      <c r="AW528" s="31">
        <v>0</v>
      </c>
      <c r="AX528" s="31">
        <v>79.999988449430745</v>
      </c>
      <c r="AY528" s="31">
        <v>0</v>
      </c>
    </row>
    <row r="529" spans="31:51" x14ac:dyDescent="0.25">
      <c r="AE529">
        <v>3.133</v>
      </c>
      <c r="AF529">
        <v>3</v>
      </c>
      <c r="AG529">
        <v>1</v>
      </c>
      <c r="AH529">
        <v>1</v>
      </c>
      <c r="AI529">
        <v>2.999999999992724</v>
      </c>
      <c r="AJ529">
        <v>3.13313</v>
      </c>
      <c r="AK529" t="str">
        <v>Base</v>
      </c>
      <c r="AL529">
        <v>-3</v>
      </c>
      <c r="AM529">
        <v>-4.4779135053871322</v>
      </c>
      <c r="AN529">
        <v>-2.0774665368871394</v>
      </c>
      <c r="AO529">
        <v>64.999990615162503</v>
      </c>
      <c r="AP529">
        <v>-25.519996315368395</v>
      </c>
      <c r="AQ529">
        <v>0</v>
      </c>
      <c r="AR529" t="str">
        <v>1613.par</v>
      </c>
      <c r="AV529" t="str">
        <v>0,204,0</v>
      </c>
      <c r="AW529" s="31">
        <v>0</v>
      </c>
      <c r="AX529" s="31">
        <v>64.999990615162503</v>
      </c>
      <c r="AY529" s="31">
        <v>0</v>
      </c>
    </row>
    <row r="530" spans="31:51" x14ac:dyDescent="0.25">
      <c r="AE530">
        <v>3.1269999999999998</v>
      </c>
      <c r="AF530">
        <v>3</v>
      </c>
      <c r="AG530">
        <v>1</v>
      </c>
      <c r="AH530">
        <v>1</v>
      </c>
      <c r="AI530">
        <v>2.9999999999563443</v>
      </c>
      <c r="AJ530">
        <v>3.1271299999999997</v>
      </c>
      <c r="AK530" t="str">
        <v>Base</v>
      </c>
      <c r="AL530">
        <v>-3</v>
      </c>
      <c r="AM530">
        <v>-4.1294124543079631</v>
      </c>
      <c r="AN530">
        <v>-1.4162145417549636</v>
      </c>
      <c r="AO530">
        <v>49.999992780894218</v>
      </c>
      <c r="AP530">
        <v>-22.159996800492262</v>
      </c>
      <c r="AQ530">
        <v>0</v>
      </c>
      <c r="AR530" t="str">
        <v>1613.par</v>
      </c>
      <c r="AV530" t="str">
        <v>0,204,0</v>
      </c>
      <c r="AW530" s="31">
        <v>0</v>
      </c>
      <c r="AX530" s="31">
        <v>49.999992780894218</v>
      </c>
      <c r="AY530" s="31">
        <v>0</v>
      </c>
    </row>
    <row r="531" spans="31:51" x14ac:dyDescent="0.25">
      <c r="AE531">
        <v>3.121</v>
      </c>
      <c r="AF531">
        <v>3</v>
      </c>
      <c r="AG531">
        <v>1</v>
      </c>
      <c r="AH531">
        <v>1</v>
      </c>
      <c r="AI531">
        <v>2.999999999992724</v>
      </c>
      <c r="AJ531">
        <v>3.12113</v>
      </c>
      <c r="AK531" t="str">
        <v>Base</v>
      </c>
      <c r="AL531">
        <v>-3</v>
      </c>
      <c r="AM531">
        <v>-3.6074108799512135</v>
      </c>
      <c r="AN531">
        <v>-0.88186015127305217</v>
      </c>
      <c r="AO531">
        <v>34.999994946626082</v>
      </c>
      <c r="AP531">
        <v>-18.799997285616254</v>
      </c>
      <c r="AQ531">
        <v>0</v>
      </c>
      <c r="AR531" t="str">
        <v>1613.par</v>
      </c>
      <c r="AV531" t="str">
        <v>0,204,0</v>
      </c>
      <c r="AW531" s="31">
        <v>0</v>
      </c>
      <c r="AX531" s="31">
        <v>34.999994946626082</v>
      </c>
      <c r="AY531" s="31">
        <v>0</v>
      </c>
    </row>
    <row r="532" spans="31:51" x14ac:dyDescent="0.25">
      <c r="AE532">
        <v>3.1150000000000002</v>
      </c>
      <c r="AF532">
        <v>3</v>
      </c>
      <c r="AG532">
        <v>1</v>
      </c>
      <c r="AH532">
        <v>1</v>
      </c>
      <c r="AI532">
        <v>3.0000000000291038</v>
      </c>
      <c r="AJ532">
        <v>3.1151300000000002</v>
      </c>
      <c r="AK532" t="str">
        <v>Base</v>
      </c>
      <c r="AL532">
        <v>-3</v>
      </c>
      <c r="AM532">
        <v>-2.9467088872740037</v>
      </c>
      <c r="AN532">
        <v>-0.53402021216372164</v>
      </c>
      <c r="AO532">
        <v>19.999997112357622</v>
      </c>
      <c r="AP532">
        <v>-15.999997689886111</v>
      </c>
      <c r="AQ532">
        <v>0</v>
      </c>
      <c r="AR532" t="str">
        <v>1613.par</v>
      </c>
      <c r="AV532" t="str">
        <v>0,204,0</v>
      </c>
      <c r="AW532" s="31">
        <v>0</v>
      </c>
      <c r="AX532" s="31">
        <v>19.999997112357622</v>
      </c>
      <c r="AY532" s="31">
        <v>0</v>
      </c>
    </row>
    <row r="533" spans="31:51" x14ac:dyDescent="0.25">
      <c r="AE533">
        <v>3.109</v>
      </c>
      <c r="AF533">
        <v>3</v>
      </c>
      <c r="AG533">
        <v>1</v>
      </c>
      <c r="AH533">
        <v>1</v>
      </c>
      <c r="AI533">
        <v>2.999999999992724</v>
      </c>
      <c r="AJ533">
        <v>3.1091299999999999</v>
      </c>
      <c r="AK533" t="str">
        <v>Base</v>
      </c>
      <c r="AL533">
        <v>-3</v>
      </c>
      <c r="AM533">
        <v>-2.2088066617608919</v>
      </c>
      <c r="AN533">
        <v>-0.4212328342808454</v>
      </c>
      <c r="AO533">
        <v>4.9999992780894003</v>
      </c>
      <c r="AP533">
        <v>-15.99999768988615</v>
      </c>
      <c r="AQ533">
        <v>0</v>
      </c>
      <c r="AR533" t="str">
        <v>1613.par</v>
      </c>
      <c r="AV533" t="str">
        <v>0,204,0</v>
      </c>
      <c r="AW533" s="31">
        <v>0</v>
      </c>
      <c r="AX533" s="31">
        <v>4.9999992780894003</v>
      </c>
      <c r="AY533" s="31">
        <v>0</v>
      </c>
    </row>
    <row r="534" spans="31:51" x14ac:dyDescent="0.25">
      <c r="AE534">
        <v>3.1059999999999999</v>
      </c>
      <c r="AF534">
        <v>3</v>
      </c>
      <c r="AG534">
        <v>1</v>
      </c>
      <c r="AH534">
        <v>1</v>
      </c>
      <c r="AI534">
        <v>2.999999999992724</v>
      </c>
      <c r="AJ534">
        <v>3.1061299999999998</v>
      </c>
      <c r="AK534" t="str">
        <v>Base</v>
      </c>
      <c r="AL534">
        <v>-3</v>
      </c>
      <c r="AM534">
        <v>-1.5012045276328554</v>
      </c>
      <c r="AN534">
        <v>-0.54213782854530623</v>
      </c>
      <c r="AO534">
        <v>-0.99999985561785909</v>
      </c>
      <c r="AP534">
        <v>-15.99999768988615</v>
      </c>
      <c r="AQ534">
        <v>0</v>
      </c>
      <c r="AR534" t="str">
        <v>1613.par</v>
      </c>
      <c r="AV534" t="str">
        <v>0,204,0</v>
      </c>
      <c r="AW534" s="31">
        <v>0</v>
      </c>
      <c r="AX534" s="31">
        <v>-0.99999985561785909</v>
      </c>
      <c r="AY534" s="31">
        <v>0</v>
      </c>
    </row>
    <row r="535" spans="31:51" x14ac:dyDescent="0.25">
      <c r="AE535">
        <v>3.1030000000000002</v>
      </c>
      <c r="AF535">
        <v>3</v>
      </c>
      <c r="AG535">
        <v>1</v>
      </c>
      <c r="AH535">
        <v>1</v>
      </c>
      <c r="AI535">
        <v>3.0000000000291038</v>
      </c>
      <c r="AJ535">
        <v>3.1031300000000002</v>
      </c>
      <c r="AK535" t="str">
        <v>Base</v>
      </c>
      <c r="AL535">
        <v>-3</v>
      </c>
      <c r="AM535">
        <v>-0.80570242999852892</v>
      </c>
      <c r="AN535">
        <v>-0.72843839043386427</v>
      </c>
      <c r="AO535">
        <v>-3.9999994224715669</v>
      </c>
      <c r="AP535">
        <v>-16.999997545504019</v>
      </c>
      <c r="AQ535">
        <v>0</v>
      </c>
      <c r="AR535" t="str">
        <v>1613.par</v>
      </c>
      <c r="AV535" t="str">
        <v>0,204,0</v>
      </c>
      <c r="AW535" s="31">
        <v>0</v>
      </c>
      <c r="AX535" s="31">
        <v>-3.9999994224715669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-4.6915141496066752</v>
      </c>
      <c r="AN536">
        <v>-3.7762696909546989</v>
      </c>
      <c r="AO536">
        <v>84.999987727520178</v>
      </c>
      <c r="AP536">
        <v>0</v>
      </c>
      <c r="AQ536">
        <v>0</v>
      </c>
      <c r="AR536" t="str">
        <v>1613.par</v>
      </c>
      <c r="AV536" t="str">
        <v>255,255,91</v>
      </c>
      <c r="AW536" s="31">
        <v>0</v>
      </c>
      <c r="AX536" s="31">
        <v>84.999987727520178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-4.641753867709312</v>
      </c>
      <c r="AN537">
        <v>-2.9696401204765173</v>
      </c>
      <c r="AO537">
        <v>85.029987723188725</v>
      </c>
      <c r="AP537">
        <v>0</v>
      </c>
      <c r="AQ537">
        <v>0</v>
      </c>
      <c r="AR537" t="str">
        <v>1613.par</v>
      </c>
      <c r="AV537" t="str">
        <v>255,255,91</v>
      </c>
      <c r="AW537" s="31">
        <v>0</v>
      </c>
      <c r="AX537" s="31">
        <v>85.029987723188725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-4.5241783215267359</v>
      </c>
      <c r="AN538">
        <v>-2.2292421168981216</v>
      </c>
      <c r="AO538">
        <v>70.659989797959724</v>
      </c>
      <c r="AP538">
        <v>0</v>
      </c>
      <c r="AQ538">
        <v>0</v>
      </c>
      <c r="AR538" t="str">
        <v>1313.par</v>
      </c>
      <c r="AV538" t="str">
        <v>255,255,91</v>
      </c>
      <c r="AW538" s="31">
        <v>0</v>
      </c>
      <c r="AX538" s="31">
        <v>70.659989797959724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-4.2285242135679582</v>
      </c>
      <c r="AN539">
        <v>-1.528132501134392</v>
      </c>
      <c r="AO539">
        <v>52.499992419938899</v>
      </c>
      <c r="AP539">
        <v>-27.719995997727715</v>
      </c>
      <c r="AQ539">
        <v>0</v>
      </c>
      <c r="AR539" t="str">
        <v>1313.par</v>
      </c>
      <c r="AV539" t="str">
        <v>255,255,91</v>
      </c>
      <c r="AW539" s="31">
        <v>0</v>
      </c>
      <c r="AX539" s="31">
        <v>52.499992419938899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-3.7269202858847215</v>
      </c>
      <c r="AN540">
        <v>-0.96227051984279277</v>
      </c>
      <c r="AO540">
        <v>37.49999458567072</v>
      </c>
      <c r="AP540">
        <v>-24.359996482851667</v>
      </c>
      <c r="AQ540">
        <v>0</v>
      </c>
      <c r="AR540" t="str">
        <v>1313.par</v>
      </c>
      <c r="AV540" t="str">
        <v>255,255,91</v>
      </c>
      <c r="AW540" s="31">
        <v>0</v>
      </c>
      <c r="AX540" s="31">
        <v>37.49999458567072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-3.077647924327358</v>
      </c>
      <c r="AN541">
        <v>-0.57531026949784281</v>
      </c>
      <c r="AO541">
        <v>22.499996751402406</v>
      </c>
      <c r="AP541">
        <v>-20.999996967975573</v>
      </c>
      <c r="AQ541">
        <v>0</v>
      </c>
      <c r="AR541" t="str">
        <v>1313.par</v>
      </c>
      <c r="AV541" t="str">
        <v>255,255,91</v>
      </c>
      <c r="AW541" s="31">
        <v>0</v>
      </c>
      <c r="AX541" s="31">
        <v>22.499996751402406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-4.6915141496066752</v>
      </c>
      <c r="AN542">
        <v>-3.7689391378322568</v>
      </c>
      <c r="AO542">
        <v>84.999987727520178</v>
      </c>
      <c r="AP542">
        <v>-29.999995668536549</v>
      </c>
      <c r="AQ542">
        <v>0</v>
      </c>
      <c r="AR542" t="str">
        <v>1613.par</v>
      </c>
      <c r="AV542" t="str">
        <v>204,204,0</v>
      </c>
      <c r="AW542" s="31">
        <v>0</v>
      </c>
      <c r="AX542" s="31">
        <v>84.999987727520178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-4.6444140075526468</v>
      </c>
      <c r="AN543">
        <v>-2.9624737424526106</v>
      </c>
      <c r="AO543">
        <v>82.499988088475476</v>
      </c>
      <c r="AP543">
        <v>-29.439995749390469</v>
      </c>
      <c r="AQ543">
        <v>0</v>
      </c>
      <c r="AR543" t="str">
        <v>1613.par</v>
      </c>
      <c r="AV543" t="str">
        <v>204,204,0</v>
      </c>
      <c r="AW543" s="31">
        <v>0</v>
      </c>
      <c r="AX543" s="31">
        <v>82.499988088475476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-4.5178136257258963</v>
      </c>
      <c r="AN544">
        <v>-2.2254687415604901</v>
      </c>
      <c r="AO544">
        <v>67.499990254207177</v>
      </c>
      <c r="AP544">
        <v>-26.079996234514347</v>
      </c>
      <c r="AQ544">
        <v>0</v>
      </c>
      <c r="AR544" t="str">
        <v>1613.par</v>
      </c>
      <c r="AV544" t="str">
        <v>204,204,0</v>
      </c>
      <c r="AW544" s="31">
        <v>0</v>
      </c>
      <c r="AX544" s="31">
        <v>67.499990254207177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-4.2002126678414058</v>
      </c>
      <c r="AN545">
        <v>-1.5487981814719929</v>
      </c>
      <c r="AO545">
        <v>52.499992419938948</v>
      </c>
      <c r="AP545">
        <v>-22.719996719638328</v>
      </c>
      <c r="AQ545">
        <v>0</v>
      </c>
      <c r="AR545" t="str">
        <v>1613.par</v>
      </c>
      <c r="AV545" t="str">
        <v>204,204,0</v>
      </c>
      <c r="AW545" s="31">
        <v>0</v>
      </c>
      <c r="AX545" s="31">
        <v>52.499992419938948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-3.7053111752185037</v>
      </c>
      <c r="AN546">
        <v>-0.98922982609370602</v>
      </c>
      <c r="AO546">
        <v>37.499994585670692</v>
      </c>
      <c r="AP546">
        <v>-19.35999720476222</v>
      </c>
      <c r="AQ546">
        <v>0</v>
      </c>
      <c r="AR546" t="str">
        <v>1613.par</v>
      </c>
      <c r="AV546" t="str">
        <v>204,204,0</v>
      </c>
      <c r="AW546" s="31">
        <v>0</v>
      </c>
      <c r="AX546" s="31">
        <v>37.499994585670692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-3.0642092416550737</v>
      </c>
      <c r="AN547">
        <v>-0.60629441074535384</v>
      </c>
      <c r="AO547">
        <v>22.499996751402488</v>
      </c>
      <c r="AP547">
        <v>-15.99999768988615</v>
      </c>
      <c r="AQ547">
        <v>0</v>
      </c>
      <c r="AR547" t="str">
        <v>1613.par</v>
      </c>
      <c r="AV547" t="str">
        <v>204,204,0</v>
      </c>
      <c r="AW547" s="31">
        <v>0</v>
      </c>
      <c r="AX547" s="31">
        <v>22.499996751402488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-2.3338070387620293</v>
      </c>
      <c r="AN548">
        <v>-0.45204857436481372</v>
      </c>
      <c r="AO548">
        <v>7.4999989171341195</v>
      </c>
      <c r="AP548">
        <v>-15.999997689886175</v>
      </c>
      <c r="AQ548">
        <v>0</v>
      </c>
      <c r="AR548" t="str">
        <v>1613.par</v>
      </c>
      <c r="AV548" t="str">
        <v>204,204,0</v>
      </c>
      <c r="AW548" s="31">
        <v>0</v>
      </c>
      <c r="AX548" s="31">
        <v>7.4999989171341195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-4.6871636932366254</v>
      </c>
      <c r="AN549">
        <v>-3.180327031338047</v>
      </c>
      <c r="AO549">
        <v>85.029987723188711</v>
      </c>
      <c r="AP549">
        <v>0</v>
      </c>
      <c r="AQ549">
        <v>0</v>
      </c>
      <c r="AR549" t="str">
        <v>1613.par</v>
      </c>
      <c r="AV549" t="str">
        <v>255,188,121</v>
      </c>
      <c r="AW549" s="31">
        <v>0</v>
      </c>
      <c r="AX549" s="31">
        <v>85.029987723188711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-4.5574484119526826</v>
      </c>
      <c r="AN550">
        <v>-2.3794345666528525</v>
      </c>
      <c r="AO550">
        <v>73.469989392245964</v>
      </c>
      <c r="AP550">
        <v>0</v>
      </c>
      <c r="AQ550">
        <v>0</v>
      </c>
      <c r="AR550" t="str">
        <v>1613.par</v>
      </c>
      <c r="AV550" t="str">
        <v>255,188,121</v>
      </c>
      <c r="AW550" s="31">
        <v>0</v>
      </c>
      <c r="AX550" s="31">
        <v>73.469989392245964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-4.2776064625594827</v>
      </c>
      <c r="AN551">
        <v>-1.6823653334189086</v>
      </c>
      <c r="AO551">
        <v>56.709991812090223</v>
      </c>
      <c r="AP551">
        <v>0</v>
      </c>
      <c r="AQ551">
        <v>0</v>
      </c>
      <c r="AR551" t="str">
        <v>1313.par</v>
      </c>
      <c r="AV551" t="str">
        <v>255,188,121</v>
      </c>
      <c r="AW551" s="31">
        <v>0</v>
      </c>
      <c r="AX551" s="31">
        <v>56.709991812090223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-3.8218571799984828</v>
      </c>
      <c r="AN552">
        <v>-1.0748821889041047</v>
      </c>
      <c r="AO552">
        <v>39.999994224715337</v>
      </c>
      <c r="AP552">
        <v>-24.919996401997658</v>
      </c>
      <c r="AQ552">
        <v>0</v>
      </c>
      <c r="AR552" t="str">
        <v>1313.par</v>
      </c>
      <c r="AV552" t="str">
        <v>255,188,121</v>
      </c>
      <c r="AW552" s="31">
        <v>0</v>
      </c>
      <c r="AX552" s="31">
        <v>39.999994224715337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-3.1939829978236403</v>
      </c>
      <c r="AN553">
        <v>-0.65411058573194303</v>
      </c>
      <c r="AO553">
        <v>24.999996390447119</v>
      </c>
      <c r="AP553">
        <v>-21.559996887121574</v>
      </c>
      <c r="AQ553">
        <v>0</v>
      </c>
      <c r="AR553" t="str">
        <v>1313.par</v>
      </c>
      <c r="AV553" t="str">
        <v>255,188,121</v>
      </c>
      <c r="AW553" s="31">
        <v>0</v>
      </c>
      <c r="AX553" s="31">
        <v>24.999996390447119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-2.4647054129953871</v>
      </c>
      <c r="AN554">
        <v>-0.45684130026605774</v>
      </c>
      <c r="AO554">
        <v>9.9999985561788076</v>
      </c>
      <c r="AP554">
        <v>-20.999996967975559</v>
      </c>
      <c r="AQ554">
        <v>0</v>
      </c>
      <c r="AR554" t="str">
        <v>1313.par</v>
      </c>
      <c r="AV554" t="str">
        <v>255,188,121</v>
      </c>
      <c r="AW554" s="31">
        <v>0</v>
      </c>
      <c r="AX554" s="31">
        <v>9.9999985561788076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-4.6915141496066752</v>
      </c>
      <c r="AN555">
        <v>-3.1731039393457792</v>
      </c>
      <c r="AO555">
        <v>84.999987727520178</v>
      </c>
      <c r="AP555">
        <v>-29.999995668536574</v>
      </c>
      <c r="AQ555">
        <v>0</v>
      </c>
      <c r="AR555" t="str">
        <v>1613.par</v>
      </c>
      <c r="AV555" t="str">
        <v>255,127,0</v>
      </c>
      <c r="AW555" s="31">
        <v>0</v>
      </c>
      <c r="AX555" s="31">
        <v>84.999987727520178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-4.5524137300798104</v>
      </c>
      <c r="AN556">
        <v>-2.3748080128302247</v>
      </c>
      <c r="AO556">
        <v>69.999989893251936</v>
      </c>
      <c r="AP556">
        <v>-26.639996153660427</v>
      </c>
      <c r="AQ556">
        <v>0</v>
      </c>
      <c r="AR556" t="str">
        <v>1613.par</v>
      </c>
      <c r="AV556" t="str">
        <v>255,127,0</v>
      </c>
      <c r="AW556" s="31">
        <v>0</v>
      </c>
      <c r="AX556" s="31">
        <v>69.999989893251936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-4.2660128662948056</v>
      </c>
      <c r="AN557">
        <v>-1.6842142626743948</v>
      </c>
      <c r="AO557">
        <v>54.999992058983644</v>
      </c>
      <c r="AP557">
        <v>-23.279996638784318</v>
      </c>
      <c r="AQ557">
        <v>0</v>
      </c>
      <c r="AR557" t="str">
        <v>1613.par</v>
      </c>
      <c r="AV557" t="str">
        <v>255,127,0</v>
      </c>
      <c r="AW557" s="31">
        <v>0</v>
      </c>
      <c r="AX557" s="31">
        <v>54.999992058983644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-3.7990114578185561</v>
      </c>
      <c r="AN558">
        <v>-1.1009365765587686</v>
      </c>
      <c r="AO558">
        <v>39.999994224715344</v>
      </c>
      <c r="AP558">
        <v>-19.919997123908249</v>
      </c>
      <c r="AQ558">
        <v>0</v>
      </c>
      <c r="AR558" t="str">
        <v>1613.par</v>
      </c>
      <c r="AV558" t="str">
        <v>255,127,0</v>
      </c>
      <c r="AW558" s="31">
        <v>0</v>
      </c>
      <c r="AX558" s="31">
        <v>39.999994224715344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-3.1791095881945184</v>
      </c>
      <c r="AN559">
        <v>-0.6846010604757129</v>
      </c>
      <c r="AO559">
        <v>24.99999639044708</v>
      </c>
      <c r="AP559">
        <v>-16.559997609032152</v>
      </c>
      <c r="AQ559">
        <v>0</v>
      </c>
      <c r="AR559" t="str">
        <v>1613.par</v>
      </c>
      <c r="AV559" t="str">
        <v>255,127,0</v>
      </c>
      <c r="AW559" s="31">
        <v>0</v>
      </c>
      <c r="AX559" s="31">
        <v>24.99999639044708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-2.4586074151599639</v>
      </c>
      <c r="AN560">
        <v>-0.48959213807369173</v>
      </c>
      <c r="AO560">
        <v>9.999998556178836</v>
      </c>
      <c r="AP560">
        <v>-15.999997689886136</v>
      </c>
      <c r="AQ560">
        <v>0</v>
      </c>
      <c r="AR560" t="str">
        <v>1613.par</v>
      </c>
      <c r="AV560" t="str">
        <v>255,127,0</v>
      </c>
      <c r="AW560" s="31">
        <v>0</v>
      </c>
      <c r="AX560" s="31">
        <v>9.999998556178836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-1.7333052276485668</v>
      </c>
      <c r="AN561">
        <v>-0.53973395583639816</v>
      </c>
      <c r="AO561">
        <v>0</v>
      </c>
      <c r="AP561">
        <v>-15.99999768988615</v>
      </c>
      <c r="AQ561">
        <v>0</v>
      </c>
      <c r="AR561" t="str">
        <v>1613.par</v>
      </c>
      <c r="AV561" t="str">
        <v>255,127,0</v>
      </c>
      <c r="AW561" s="31">
        <v>0</v>
      </c>
      <c r="AX561" s="31">
        <v>0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-1.0375031291094376</v>
      </c>
      <c r="AN562">
        <v>-0.72513451500751613</v>
      </c>
      <c r="AO562">
        <v>-2.9999995668536554</v>
      </c>
      <c r="AP562">
        <v>-15.99999768988615</v>
      </c>
      <c r="AQ562">
        <v>0</v>
      </c>
      <c r="AR562" t="str">
        <v>1613.par</v>
      </c>
      <c r="AV562" t="str">
        <v>255,127,0</v>
      </c>
      <c r="AW562" s="31">
        <v>0</v>
      </c>
      <c r="AX562" s="31">
        <v>-2.9999995668536554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-0.34210103177671197</v>
      </c>
      <c r="AN563">
        <v>-0.91153507718858018</v>
      </c>
      <c r="AO563">
        <v>-8.9999987005609601</v>
      </c>
      <c r="AP563">
        <v>-21.999996823593442</v>
      </c>
      <c r="AQ563">
        <v>0</v>
      </c>
      <c r="AR563" t="str">
        <v>1613.par</v>
      </c>
      <c r="AV563" t="str">
        <v>255,127,0</v>
      </c>
      <c r="AW563" s="31">
        <v>0</v>
      </c>
      <c r="AX563" s="31">
        <v>-8.9999987005609601</v>
      </c>
      <c r="AY563" s="31">
        <v>0</v>
      </c>
    </row>
    <row r="564" spans="31:51" x14ac:dyDescent="0.25">
      <c r="AE564">
        <v>6.242</v>
      </c>
      <c r="AF564">
        <v>6</v>
      </c>
      <c r="AG564">
        <v>2</v>
      </c>
      <c r="AH564">
        <v>2</v>
      </c>
      <c r="AI564">
        <v>3.0000000000291038</v>
      </c>
      <c r="AJ564">
        <v>6.2422300000000002</v>
      </c>
      <c r="AK564">
        <v>6.2421300000000004</v>
      </c>
      <c r="AL564">
        <v>0</v>
      </c>
      <c r="AM564">
        <v>0</v>
      </c>
      <c r="AN564">
        <v>0</v>
      </c>
      <c r="AO564">
        <v>-85.029987723188711</v>
      </c>
      <c r="AP564">
        <v>0</v>
      </c>
      <c r="AQ564">
        <v>0</v>
      </c>
      <c r="AR564" t="str">
        <v>1613.par</v>
      </c>
      <c r="AV564" t="str">
        <v>188,121,255</v>
      </c>
      <c r="AW564" s="31">
        <v>0</v>
      </c>
      <c r="AX564" s="31">
        <v>85.029987723188711</v>
      </c>
      <c r="AY564" s="31">
        <v>-85.029987723188711</v>
      </c>
    </row>
    <row r="565" spans="31:51" x14ac:dyDescent="0.25">
      <c r="AE565">
        <v>6.2359999999999998</v>
      </c>
      <c r="AF565">
        <v>6</v>
      </c>
      <c r="AG565">
        <v>2</v>
      </c>
      <c r="AH565">
        <v>2</v>
      </c>
      <c r="AI565">
        <v>3.0000000000291038</v>
      </c>
      <c r="AJ565">
        <v>6.2362299999999999</v>
      </c>
      <c r="AK565">
        <v>6.2361300000000002</v>
      </c>
      <c r="AL565">
        <v>0</v>
      </c>
      <c r="AM565">
        <v>0</v>
      </c>
      <c r="AN565">
        <v>0</v>
      </c>
      <c r="AO565">
        <v>-76.29998898364461</v>
      </c>
      <c r="AP565">
        <v>0</v>
      </c>
      <c r="AQ565">
        <v>0</v>
      </c>
      <c r="AR565" t="str">
        <v>1613.par</v>
      </c>
      <c r="AV565" t="str">
        <v>188,121,255</v>
      </c>
      <c r="AW565" s="31">
        <v>0</v>
      </c>
      <c r="AX565" s="31">
        <v>76.29998898364461</v>
      </c>
      <c r="AY565" s="31">
        <v>-76.29998898364461</v>
      </c>
    </row>
    <row r="566" spans="31:51" x14ac:dyDescent="0.25">
      <c r="AE566">
        <v>6.23</v>
      </c>
      <c r="AF566">
        <v>6</v>
      </c>
      <c r="AG566">
        <v>2</v>
      </c>
      <c r="AH566">
        <v>2</v>
      </c>
      <c r="AI566">
        <v>3.0000000000291038</v>
      </c>
      <c r="AJ566">
        <v>6.2302300000000006</v>
      </c>
      <c r="AK566">
        <v>6.2301300000000008</v>
      </c>
      <c r="AL566">
        <v>0</v>
      </c>
      <c r="AM566">
        <v>0</v>
      </c>
      <c r="AN566">
        <v>0</v>
      </c>
      <c r="AO566">
        <v>-59.509991407820316</v>
      </c>
      <c r="AP566">
        <v>0</v>
      </c>
      <c r="AQ566">
        <v>0</v>
      </c>
      <c r="AR566" t="str">
        <v>1313.par</v>
      </c>
      <c r="AV566" t="str">
        <v>188,121,255</v>
      </c>
      <c r="AW566" s="31">
        <v>0</v>
      </c>
      <c r="AX566" s="31">
        <v>59.509991407820316</v>
      </c>
      <c r="AY566" s="31">
        <v>-59.509991407820316</v>
      </c>
    </row>
    <row r="567" spans="31:51" x14ac:dyDescent="0.25">
      <c r="AE567">
        <v>6.2240000000000002</v>
      </c>
      <c r="AF567">
        <v>6</v>
      </c>
      <c r="AG567">
        <v>2</v>
      </c>
      <c r="AH567">
        <v>2</v>
      </c>
      <c r="AI567">
        <v>3.0000000000291038</v>
      </c>
      <c r="AJ567">
        <v>6.2242300000000004</v>
      </c>
      <c r="AK567">
        <v>6.2241300000000006</v>
      </c>
      <c r="AL567">
        <v>0</v>
      </c>
      <c r="AM567">
        <v>0</v>
      </c>
      <c r="AN567">
        <v>0</v>
      </c>
      <c r="AO567">
        <v>-42.499993863760089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0</v>
      </c>
      <c r="AX567" s="31">
        <v>42.499993863760089</v>
      </c>
      <c r="AY567" s="31">
        <v>-42.499993863760089</v>
      </c>
    </row>
    <row r="568" spans="31:51" x14ac:dyDescent="0.25">
      <c r="AE568">
        <v>6.218</v>
      </c>
      <c r="AF568">
        <v>6</v>
      </c>
      <c r="AG568">
        <v>2</v>
      </c>
      <c r="AH568">
        <v>2</v>
      </c>
      <c r="AI568">
        <v>3.0000000000291038</v>
      </c>
      <c r="AJ568">
        <v>6.2182300000000001</v>
      </c>
      <c r="AK568">
        <v>6.2181300000000004</v>
      </c>
      <c r="AL568">
        <v>0</v>
      </c>
      <c r="AM568">
        <v>0</v>
      </c>
      <c r="AN568">
        <v>0</v>
      </c>
      <c r="AO568">
        <v>-27.499996029491825</v>
      </c>
      <c r="AP568">
        <v>0</v>
      </c>
      <c r="AQ568">
        <v>0</v>
      </c>
      <c r="AR568" t="str">
        <v>1313.par</v>
      </c>
      <c r="AV568" t="str">
        <v>188,121,255</v>
      </c>
      <c r="AW568" s="31">
        <v>0</v>
      </c>
      <c r="AX568" s="31">
        <v>27.499996029491825</v>
      </c>
      <c r="AY568" s="31">
        <v>-27.499996029491825</v>
      </c>
    </row>
    <row r="569" spans="31:51" x14ac:dyDescent="0.25">
      <c r="AE569">
        <v>6.1420000000000003</v>
      </c>
      <c r="AF569">
        <v>6</v>
      </c>
      <c r="AG569">
        <v>1</v>
      </c>
      <c r="AH569">
        <v>2</v>
      </c>
      <c r="AI569">
        <v>3.0000000000291038</v>
      </c>
      <c r="AJ569">
        <v>6.1422300000000005</v>
      </c>
      <c r="AK569">
        <v>6.1421300000000008</v>
      </c>
      <c r="AL569">
        <v>0</v>
      </c>
      <c r="AM569">
        <v>0</v>
      </c>
      <c r="AN569">
        <v>0</v>
      </c>
      <c r="AO569">
        <v>-84.999987727520164</v>
      </c>
      <c r="AP569">
        <v>0</v>
      </c>
      <c r="AQ569">
        <v>0</v>
      </c>
      <c r="AR569" t="str">
        <v>1613.par</v>
      </c>
      <c r="AV569" t="str">
        <v>127,0,255</v>
      </c>
      <c r="AW569" s="31">
        <v>0</v>
      </c>
      <c r="AX569" s="31">
        <v>84.999987727520164</v>
      </c>
      <c r="AY569" s="31">
        <v>-84.999987727520164</v>
      </c>
    </row>
    <row r="570" spans="31:51" x14ac:dyDescent="0.25">
      <c r="AE570">
        <v>6.1360000000000001</v>
      </c>
      <c r="AF570">
        <v>6</v>
      </c>
      <c r="AG570">
        <v>1</v>
      </c>
      <c r="AH570">
        <v>2</v>
      </c>
      <c r="AI570">
        <v>3.0000000000291038</v>
      </c>
      <c r="AJ570">
        <v>6.1362300000000003</v>
      </c>
      <c r="AK570">
        <v>6.1361300000000005</v>
      </c>
      <c r="AL570">
        <v>0</v>
      </c>
      <c r="AM570">
        <v>0</v>
      </c>
      <c r="AN570">
        <v>0</v>
      </c>
      <c r="AO570">
        <v>-72.499989532296652</v>
      </c>
      <c r="AP570">
        <v>0</v>
      </c>
      <c r="AQ570">
        <v>0</v>
      </c>
      <c r="AR570" t="str">
        <v>1613.par</v>
      </c>
      <c r="AV570" t="str">
        <v>127,0,255</v>
      </c>
      <c r="AW570" s="31">
        <v>0</v>
      </c>
      <c r="AX570" s="31">
        <v>72.499989532296652</v>
      </c>
      <c r="AY570" s="31">
        <v>-72.499989532296652</v>
      </c>
    </row>
    <row r="571" spans="31:51" x14ac:dyDescent="0.25">
      <c r="AE571">
        <v>6.13</v>
      </c>
      <c r="AF571">
        <v>6</v>
      </c>
      <c r="AG571">
        <v>1</v>
      </c>
      <c r="AH571">
        <v>2</v>
      </c>
      <c r="AI571">
        <v>3.0000000000291038</v>
      </c>
      <c r="AJ571">
        <v>6.1302300000000001</v>
      </c>
      <c r="AK571">
        <v>6.1301300000000003</v>
      </c>
      <c r="AL571">
        <v>0</v>
      </c>
      <c r="AM571">
        <v>0</v>
      </c>
      <c r="AN571">
        <v>0</v>
      </c>
      <c r="AO571">
        <v>-57.499991698028374</v>
      </c>
      <c r="AP571">
        <v>0</v>
      </c>
      <c r="AQ571">
        <v>0</v>
      </c>
      <c r="AR571" t="str">
        <v>1613.par</v>
      </c>
      <c r="AV571" t="str">
        <v>127,0,255</v>
      </c>
      <c r="AW571" s="31">
        <v>0</v>
      </c>
      <c r="AX571" s="31">
        <v>57.499991698028374</v>
      </c>
      <c r="AY571" s="31">
        <v>-57.499991698028374</v>
      </c>
    </row>
    <row r="572" spans="31:51" x14ac:dyDescent="0.25">
      <c r="AE572">
        <v>6.1239999999999997</v>
      </c>
      <c r="AF572">
        <v>6</v>
      </c>
      <c r="AG572">
        <v>1</v>
      </c>
      <c r="AH572">
        <v>2</v>
      </c>
      <c r="AI572">
        <v>2.9999999999563443</v>
      </c>
      <c r="AJ572">
        <v>6.1242299999999998</v>
      </c>
      <c r="AK572">
        <v>6.1241300000000001</v>
      </c>
      <c r="AL572">
        <v>0</v>
      </c>
      <c r="AM572">
        <v>0</v>
      </c>
      <c r="AN572">
        <v>0</v>
      </c>
      <c r="AO572">
        <v>-42.499993863760125</v>
      </c>
      <c r="AP572">
        <v>0</v>
      </c>
      <c r="AQ572">
        <v>0</v>
      </c>
      <c r="AR572" t="str">
        <v>1613.par</v>
      </c>
      <c r="AV572" t="str">
        <v>127,0,255</v>
      </c>
      <c r="AW572" s="31">
        <v>0</v>
      </c>
      <c r="AX572" s="31">
        <v>42.499993863760125</v>
      </c>
      <c r="AY572" s="31">
        <v>-42.499993863760125</v>
      </c>
    </row>
    <row r="573" spans="31:51" x14ac:dyDescent="0.25">
      <c r="AE573">
        <v>6.1180000000000003</v>
      </c>
      <c r="AF573">
        <v>6</v>
      </c>
      <c r="AG573">
        <v>1</v>
      </c>
      <c r="AH573">
        <v>2</v>
      </c>
      <c r="AI573">
        <v>3.0000000000291038</v>
      </c>
      <c r="AJ573">
        <v>6.1182300000000005</v>
      </c>
      <c r="AK573">
        <v>6.1181300000000007</v>
      </c>
      <c r="AL573">
        <v>0</v>
      </c>
      <c r="AM573">
        <v>0</v>
      </c>
      <c r="AN573">
        <v>0</v>
      </c>
      <c r="AO573">
        <v>-27.499996029491861</v>
      </c>
      <c r="AP573">
        <v>0</v>
      </c>
      <c r="AQ573">
        <v>0</v>
      </c>
      <c r="AR573" t="str">
        <v>1613.par</v>
      </c>
      <c r="AV573" t="str">
        <v>127,0,255</v>
      </c>
      <c r="AW573" s="31">
        <v>0</v>
      </c>
      <c r="AX573" s="31">
        <v>27.499996029491861</v>
      </c>
      <c r="AY573" s="31">
        <v>-27.499996029491861</v>
      </c>
    </row>
    <row r="574" spans="31:51" x14ac:dyDescent="0.25">
      <c r="AE574">
        <v>6.1120000000000001</v>
      </c>
      <c r="AF574">
        <v>6</v>
      </c>
      <c r="AG574">
        <v>1</v>
      </c>
      <c r="AH574">
        <v>2</v>
      </c>
      <c r="AI574">
        <v>3.0000000000291038</v>
      </c>
      <c r="AJ574">
        <v>6.1122300000000003</v>
      </c>
      <c r="AK574">
        <v>6.1121300000000005</v>
      </c>
      <c r="AL574">
        <v>0</v>
      </c>
      <c r="AM574">
        <v>0</v>
      </c>
      <c r="AN574">
        <v>0</v>
      </c>
      <c r="AO574">
        <v>-12.49999819522351</v>
      </c>
      <c r="AP574">
        <v>0</v>
      </c>
      <c r="AQ574">
        <v>0</v>
      </c>
      <c r="AR574" t="str">
        <v>1613.par</v>
      </c>
      <c r="AV574" t="str">
        <v>127,0,255</v>
      </c>
      <c r="AW574" s="31">
        <v>0</v>
      </c>
      <c r="AX574" s="31">
        <v>12.49999819522351</v>
      </c>
      <c r="AY574" s="31">
        <v>-12.49999819522351</v>
      </c>
    </row>
    <row r="575" spans="31:51" x14ac:dyDescent="0.25">
      <c r="AE575">
        <v>5.2430000000000003</v>
      </c>
      <c r="AF575">
        <v>5</v>
      </c>
      <c r="AG575">
        <v>2</v>
      </c>
      <c r="AH575">
        <v>2</v>
      </c>
      <c r="AI575">
        <v>3.0000000000291038</v>
      </c>
      <c r="AJ575">
        <v>5.2432300000000005</v>
      </c>
      <c r="AK575">
        <v>5.2431300000000007</v>
      </c>
      <c r="AL575">
        <v>0</v>
      </c>
      <c r="AM575">
        <v>0</v>
      </c>
      <c r="AN575">
        <v>0</v>
      </c>
      <c r="AO575">
        <v>-85.029987723188711</v>
      </c>
      <c r="AP575">
        <v>0</v>
      </c>
      <c r="AQ575">
        <v>0</v>
      </c>
      <c r="AR575" t="str">
        <v>1613.par</v>
      </c>
      <c r="AV575" t="str">
        <v>121,188,255</v>
      </c>
      <c r="AW575" s="31">
        <v>0</v>
      </c>
      <c r="AX575" s="31">
        <v>85.029987723188711</v>
      </c>
      <c r="AY575" s="31">
        <v>-85.029987723188711</v>
      </c>
    </row>
    <row r="576" spans="31:51" x14ac:dyDescent="0.25">
      <c r="AE576">
        <v>5.2370000000000001</v>
      </c>
      <c r="AF576">
        <v>5</v>
      </c>
      <c r="AG576">
        <v>2</v>
      </c>
      <c r="AH576">
        <v>2</v>
      </c>
      <c r="AI576">
        <v>3.0000000000291038</v>
      </c>
      <c r="AJ576">
        <v>5.2372300000000003</v>
      </c>
      <c r="AK576">
        <v>5.2371300000000005</v>
      </c>
      <c r="AL576">
        <v>0</v>
      </c>
      <c r="AM576">
        <v>0</v>
      </c>
      <c r="AN576">
        <v>0</v>
      </c>
      <c r="AO576">
        <v>-79.129988575043214</v>
      </c>
      <c r="AP576">
        <v>0</v>
      </c>
      <c r="AQ576">
        <v>0</v>
      </c>
      <c r="AR576" t="str">
        <v>1613.par</v>
      </c>
      <c r="AV576" t="str">
        <v>121,188,255</v>
      </c>
      <c r="AW576" s="31">
        <v>0</v>
      </c>
      <c r="AX576" s="31">
        <v>79.129988575043214</v>
      </c>
      <c r="AY576" s="31">
        <v>-79.129988575043214</v>
      </c>
    </row>
    <row r="577" spans="31:51" x14ac:dyDescent="0.25">
      <c r="AE577">
        <v>5.2309999999999999</v>
      </c>
      <c r="AF577">
        <v>5</v>
      </c>
      <c r="AG577">
        <v>2</v>
      </c>
      <c r="AH577">
        <v>2</v>
      </c>
      <c r="AI577">
        <v>3.0000000000291038</v>
      </c>
      <c r="AJ577">
        <v>5.23123</v>
      </c>
      <c r="AK577">
        <v>5.2311300000000003</v>
      </c>
      <c r="AL577">
        <v>0</v>
      </c>
      <c r="AM577">
        <v>0</v>
      </c>
      <c r="AN577">
        <v>0</v>
      </c>
      <c r="AO577">
        <v>-62.299991004994205</v>
      </c>
      <c r="AP577">
        <v>0</v>
      </c>
      <c r="AQ577">
        <v>0</v>
      </c>
      <c r="AR577" t="str">
        <v>1313.par</v>
      </c>
      <c r="AV577" t="str">
        <v>121,188,255</v>
      </c>
      <c r="AW577" s="31">
        <v>0</v>
      </c>
      <c r="AX577" s="31">
        <v>62.299991004994205</v>
      </c>
      <c r="AY577" s="31">
        <v>-62.299991004994205</v>
      </c>
    </row>
    <row r="578" spans="31:51" x14ac:dyDescent="0.25">
      <c r="AE578">
        <v>5.2249999999999996</v>
      </c>
      <c r="AF578">
        <v>5</v>
      </c>
      <c r="AG578">
        <v>2</v>
      </c>
      <c r="AH578">
        <v>2</v>
      </c>
      <c r="AI578">
        <v>2.9999999999563443</v>
      </c>
      <c r="AJ578">
        <v>5.2252299999999998</v>
      </c>
      <c r="AK578">
        <v>5.2251300000000001</v>
      </c>
      <c r="AL578">
        <v>0</v>
      </c>
      <c r="AM578">
        <v>0</v>
      </c>
      <c r="AN578">
        <v>0</v>
      </c>
      <c r="AO578">
        <v>-44.999993502804806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0</v>
      </c>
      <c r="AX578" s="31">
        <v>44.999993502804806</v>
      </c>
      <c r="AY578" s="31">
        <v>-44.999993502804806</v>
      </c>
    </row>
    <row r="579" spans="31:51" x14ac:dyDescent="0.25">
      <c r="AE579">
        <v>5.2190000000000003</v>
      </c>
      <c r="AF579">
        <v>5</v>
      </c>
      <c r="AG579">
        <v>2</v>
      </c>
      <c r="AH579">
        <v>2</v>
      </c>
      <c r="AI579">
        <v>3.0000000000291038</v>
      </c>
      <c r="AJ579">
        <v>5.2192300000000005</v>
      </c>
      <c r="AK579">
        <v>5.2191300000000007</v>
      </c>
      <c r="AL579">
        <v>0</v>
      </c>
      <c r="AM579">
        <v>0</v>
      </c>
      <c r="AN579">
        <v>0</v>
      </c>
      <c r="AO579">
        <v>-29.999995668536492</v>
      </c>
      <c r="AP579">
        <v>0</v>
      </c>
      <c r="AQ579">
        <v>0</v>
      </c>
      <c r="AR579" t="str">
        <v>1313.par</v>
      </c>
      <c r="AV579" t="str">
        <v>121,188,255</v>
      </c>
      <c r="AW579" s="31">
        <v>0</v>
      </c>
      <c r="AX579" s="31">
        <v>29.999995668536492</v>
      </c>
      <c r="AY579" s="31">
        <v>-29.999995668536492</v>
      </c>
    </row>
    <row r="580" spans="31:51" x14ac:dyDescent="0.25">
      <c r="AE580">
        <v>5.2130000000000001</v>
      </c>
      <c r="AF580">
        <v>5</v>
      </c>
      <c r="AG580">
        <v>2</v>
      </c>
      <c r="AH580">
        <v>2</v>
      </c>
      <c r="AI580">
        <v>3.0000000000291038</v>
      </c>
      <c r="AJ580">
        <v>5.2132300000000003</v>
      </c>
      <c r="AK580">
        <v>5.2131300000000005</v>
      </c>
      <c r="AL580">
        <v>0</v>
      </c>
      <c r="AM580">
        <v>0</v>
      </c>
      <c r="AN580">
        <v>0</v>
      </c>
      <c r="AO580">
        <v>-14.999997834268259</v>
      </c>
      <c r="AP580">
        <v>0</v>
      </c>
      <c r="AQ580">
        <v>0</v>
      </c>
      <c r="AR580" t="str">
        <v>1313.par</v>
      </c>
      <c r="AV580" t="str">
        <v>121,188,255</v>
      </c>
      <c r="AW580" s="31">
        <v>0</v>
      </c>
      <c r="AX580" s="31">
        <v>14.999997834268259</v>
      </c>
      <c r="AY580" s="31">
        <v>-14.999997834268259</v>
      </c>
    </row>
    <row r="581" spans="31:51" x14ac:dyDescent="0.25">
      <c r="AE581">
        <v>5.1429999999999998</v>
      </c>
      <c r="AF581">
        <v>5</v>
      </c>
      <c r="AG581">
        <v>1</v>
      </c>
      <c r="AH581">
        <v>2</v>
      </c>
      <c r="AI581">
        <v>3.0000000000291038</v>
      </c>
      <c r="AJ581">
        <v>5.14323</v>
      </c>
      <c r="AK581">
        <v>5.1431300000000002</v>
      </c>
      <c r="AL581">
        <v>0</v>
      </c>
      <c r="AM581">
        <v>0</v>
      </c>
      <c r="AN581">
        <v>0</v>
      </c>
      <c r="AO581">
        <v>-84.999987727520178</v>
      </c>
      <c r="AP581">
        <v>0</v>
      </c>
      <c r="AQ581">
        <v>0</v>
      </c>
      <c r="AR581" t="str">
        <v>1613.par</v>
      </c>
      <c r="AV581" t="str">
        <v>0,102,204</v>
      </c>
      <c r="AW581" s="31">
        <v>0</v>
      </c>
      <c r="AX581" s="31">
        <v>84.999987727520178</v>
      </c>
      <c r="AY581" s="31">
        <v>-84.999987727520178</v>
      </c>
    </row>
    <row r="582" spans="31:51" x14ac:dyDescent="0.25">
      <c r="AE582">
        <v>5.1369999999999996</v>
      </c>
      <c r="AF582">
        <v>5</v>
      </c>
      <c r="AG582">
        <v>1</v>
      </c>
      <c r="AH582">
        <v>2</v>
      </c>
      <c r="AI582">
        <v>2.9999999999563443</v>
      </c>
      <c r="AJ582">
        <v>5.1372299999999997</v>
      </c>
      <c r="AK582">
        <v>5.13713</v>
      </c>
      <c r="AL582">
        <v>0</v>
      </c>
      <c r="AM582">
        <v>0</v>
      </c>
      <c r="AN582">
        <v>0</v>
      </c>
      <c r="AO582">
        <v>-74.999989171341326</v>
      </c>
      <c r="AP582">
        <v>0</v>
      </c>
      <c r="AQ582">
        <v>0</v>
      </c>
      <c r="AR582" t="str">
        <v>1613.par</v>
      </c>
      <c r="AV582" t="str">
        <v>0,102,204</v>
      </c>
      <c r="AW582" s="31">
        <v>0</v>
      </c>
      <c r="AX582" s="31">
        <v>74.999989171341326</v>
      </c>
      <c r="AY582" s="31">
        <v>-74.999989171341326</v>
      </c>
    </row>
    <row r="583" spans="31:51" x14ac:dyDescent="0.25">
      <c r="AE583">
        <v>5.1310000000000002</v>
      </c>
      <c r="AF583">
        <v>5</v>
      </c>
      <c r="AG583">
        <v>1</v>
      </c>
      <c r="AH583">
        <v>2</v>
      </c>
      <c r="AI583">
        <v>3.0000000000291038</v>
      </c>
      <c r="AJ583">
        <v>5.1312300000000004</v>
      </c>
      <c r="AK583">
        <v>5.1311300000000006</v>
      </c>
      <c r="AL583">
        <v>0</v>
      </c>
      <c r="AM583">
        <v>0</v>
      </c>
      <c r="AN583">
        <v>0</v>
      </c>
      <c r="AO583">
        <v>-59.999991337073098</v>
      </c>
      <c r="AP583">
        <v>0</v>
      </c>
      <c r="AQ583">
        <v>0</v>
      </c>
      <c r="AR583" t="str">
        <v>1613.par</v>
      </c>
      <c r="AV583" t="str">
        <v>0,102,204</v>
      </c>
      <c r="AW583" s="31">
        <v>0</v>
      </c>
      <c r="AX583" s="31">
        <v>59.999991337073098</v>
      </c>
      <c r="AY583" s="31">
        <v>-59.999991337073098</v>
      </c>
    </row>
    <row r="584" spans="31:51" x14ac:dyDescent="0.25">
      <c r="AE584">
        <v>5.125</v>
      </c>
      <c r="AF584">
        <v>5</v>
      </c>
      <c r="AG584">
        <v>1</v>
      </c>
      <c r="AH584">
        <v>2</v>
      </c>
      <c r="AI584">
        <v>3.0000000000291038</v>
      </c>
      <c r="AJ584">
        <v>5.1252300000000002</v>
      </c>
      <c r="AK584">
        <v>5.1251300000000004</v>
      </c>
      <c r="AL584">
        <v>0</v>
      </c>
      <c r="AM584">
        <v>0</v>
      </c>
      <c r="AN584">
        <v>0</v>
      </c>
      <c r="AO584">
        <v>-44.999993502804777</v>
      </c>
      <c r="AP584">
        <v>0</v>
      </c>
      <c r="AQ584">
        <v>0</v>
      </c>
      <c r="AR584" t="str">
        <v>1613.par</v>
      </c>
      <c r="AV584" t="str">
        <v>0,102,204</v>
      </c>
      <c r="AW584" s="31">
        <v>0</v>
      </c>
      <c r="AX584" s="31">
        <v>44.999993502804777</v>
      </c>
      <c r="AY584" s="31">
        <v>-44.999993502804777</v>
      </c>
    </row>
    <row r="585" spans="31:51" x14ac:dyDescent="0.25">
      <c r="AE585">
        <v>5.1189999999999998</v>
      </c>
      <c r="AF585">
        <v>5</v>
      </c>
      <c r="AG585">
        <v>1</v>
      </c>
      <c r="AH585">
        <v>2</v>
      </c>
      <c r="AI585">
        <v>3.0000000000291038</v>
      </c>
      <c r="AJ585">
        <v>5.1192299999999999</v>
      </c>
      <c r="AK585">
        <v>5.1191300000000002</v>
      </c>
      <c r="AL585">
        <v>0</v>
      </c>
      <c r="AM585">
        <v>0</v>
      </c>
      <c r="AN585">
        <v>0</v>
      </c>
      <c r="AO585">
        <v>-29.999995668536499</v>
      </c>
      <c r="AP585">
        <v>0</v>
      </c>
      <c r="AQ585">
        <v>0</v>
      </c>
      <c r="AR585" t="str">
        <v>1613.par</v>
      </c>
      <c r="AV585" t="str">
        <v>0,102,204</v>
      </c>
      <c r="AW585" s="31">
        <v>0</v>
      </c>
      <c r="AX585" s="31">
        <v>29.999995668536499</v>
      </c>
      <c r="AY585" s="31">
        <v>-29.999995668536499</v>
      </c>
    </row>
    <row r="586" spans="31:51" x14ac:dyDescent="0.25">
      <c r="AE586">
        <v>5.1130000000000004</v>
      </c>
      <c r="AF586">
        <v>5</v>
      </c>
      <c r="AG586">
        <v>1</v>
      </c>
      <c r="AH586">
        <v>2</v>
      </c>
      <c r="AI586">
        <v>3.0000000000291038</v>
      </c>
      <c r="AJ586">
        <v>5.1132300000000006</v>
      </c>
      <c r="AK586">
        <v>5.1131300000000008</v>
      </c>
      <c r="AL586">
        <v>0</v>
      </c>
      <c r="AM586">
        <v>0</v>
      </c>
      <c r="AN586">
        <v>0</v>
      </c>
      <c r="AO586">
        <v>-14.999997834268246</v>
      </c>
      <c r="AP586">
        <v>0</v>
      </c>
      <c r="AQ586">
        <v>0</v>
      </c>
      <c r="AR586" t="str">
        <v>1613.par</v>
      </c>
      <c r="AV586" t="str">
        <v>0,102,204</v>
      </c>
      <c r="AW586" s="31">
        <v>0</v>
      </c>
      <c r="AX586" s="31">
        <v>14.999997834268246</v>
      </c>
      <c r="AY586" s="31">
        <v>-14.999997834268246</v>
      </c>
    </row>
    <row r="587" spans="31:51" x14ac:dyDescent="0.25">
      <c r="AE587">
        <v>5.1079999999999997</v>
      </c>
      <c r="AF587">
        <v>5</v>
      </c>
      <c r="AG587">
        <v>1</v>
      </c>
      <c r="AH587">
        <v>2</v>
      </c>
      <c r="AI587">
        <v>2.9999999999563443</v>
      </c>
      <c r="AJ587">
        <v>5.1082299999999998</v>
      </c>
      <c r="AK587">
        <v>5.1081300000000001</v>
      </c>
      <c r="AL587">
        <v>0</v>
      </c>
      <c r="AM587">
        <v>0</v>
      </c>
      <c r="AN587">
        <v>0</v>
      </c>
      <c r="AO587">
        <v>-2.4999996390447317</v>
      </c>
      <c r="AP587">
        <v>0</v>
      </c>
      <c r="AQ587">
        <v>0</v>
      </c>
      <c r="AR587" t="str">
        <v>1613.par</v>
      </c>
      <c r="AV587" t="str">
        <v>0,102,204</v>
      </c>
      <c r="AW587" s="31">
        <v>0</v>
      </c>
      <c r="AX587" s="31">
        <v>2.4999996390447317</v>
      </c>
      <c r="AY587" s="31">
        <v>-2.4999996390447317</v>
      </c>
    </row>
    <row r="588" spans="31:51" x14ac:dyDescent="0.25">
      <c r="AE588">
        <v>5.1050000000000004</v>
      </c>
      <c r="AF588">
        <v>5</v>
      </c>
      <c r="AG588">
        <v>1</v>
      </c>
      <c r="AH588">
        <v>2</v>
      </c>
      <c r="AI588">
        <v>3.0000000000291038</v>
      </c>
      <c r="AJ588">
        <v>5.1052300000000006</v>
      </c>
      <c r="AK588">
        <v>5.1051300000000008</v>
      </c>
      <c r="AL588">
        <v>0</v>
      </c>
      <c r="AM588">
        <v>0</v>
      </c>
      <c r="AN588">
        <v>0</v>
      </c>
      <c r="AO588">
        <v>1.9999997112357779</v>
      </c>
      <c r="AP588">
        <v>0</v>
      </c>
      <c r="AQ588">
        <v>0</v>
      </c>
      <c r="AR588" t="str">
        <v>1613.par</v>
      </c>
      <c r="AV588" t="str">
        <v>0,102,204</v>
      </c>
      <c r="AW588" s="31">
        <v>0</v>
      </c>
      <c r="AX588" s="31">
        <v>-1.9999997112357779</v>
      </c>
      <c r="AY588" s="31">
        <v>1.9999997112357779</v>
      </c>
    </row>
    <row r="589" spans="31:51" x14ac:dyDescent="0.25">
      <c r="AE589">
        <v>5.1020000000000003</v>
      </c>
      <c r="AF589">
        <v>5</v>
      </c>
      <c r="AG589">
        <v>1</v>
      </c>
      <c r="AH589">
        <v>2</v>
      </c>
      <c r="AI589">
        <v>3.0000000000291038</v>
      </c>
      <c r="AJ589">
        <v>5.1022300000000005</v>
      </c>
      <c r="AK589">
        <v>5.1021300000000007</v>
      </c>
      <c r="AL589">
        <v>0</v>
      </c>
      <c r="AM589">
        <v>0</v>
      </c>
      <c r="AN589">
        <v>0</v>
      </c>
      <c r="AO589">
        <v>5.9999991337073002</v>
      </c>
      <c r="AP589">
        <v>0</v>
      </c>
      <c r="AQ589">
        <v>0</v>
      </c>
      <c r="AR589" t="str">
        <v>1613.par</v>
      </c>
      <c r="AV589" t="str">
        <v>0,102,204</v>
      </c>
      <c r="AW589" s="31">
        <v>0</v>
      </c>
      <c r="AX589" s="31">
        <v>-5.9999991337073002</v>
      </c>
      <c r="AY589" s="31">
        <v>5.9999991337073002</v>
      </c>
    </row>
    <row r="590" spans="31:51" x14ac:dyDescent="0.25">
      <c r="AE590">
        <v>4.2439999999999998</v>
      </c>
      <c r="AF590">
        <v>4</v>
      </c>
      <c r="AG590">
        <v>2</v>
      </c>
      <c r="AH590">
        <v>2</v>
      </c>
      <c r="AI590">
        <v>3.0000000000291038</v>
      </c>
      <c r="AJ590">
        <v>4.2442299999999999</v>
      </c>
      <c r="AK590">
        <v>4.2441300000000002</v>
      </c>
      <c r="AL590">
        <v>0</v>
      </c>
      <c r="AM590">
        <v>0</v>
      </c>
      <c r="AN590">
        <v>0</v>
      </c>
      <c r="AO590">
        <v>-85.029987723188711</v>
      </c>
      <c r="AP590">
        <v>0</v>
      </c>
      <c r="AQ590">
        <v>0</v>
      </c>
      <c r="AR590" t="str">
        <v>1613.par</v>
      </c>
      <c r="AV590" t="str">
        <v>91,255,255</v>
      </c>
      <c r="AW590" s="31">
        <v>0</v>
      </c>
      <c r="AX590" s="31">
        <v>85.029987723188711</v>
      </c>
      <c r="AY590" s="31">
        <v>-85.029987723188711</v>
      </c>
    </row>
    <row r="591" spans="31:51" x14ac:dyDescent="0.25">
      <c r="AE591">
        <v>4.2380000000000004</v>
      </c>
      <c r="AF591">
        <v>4</v>
      </c>
      <c r="AG591">
        <v>2</v>
      </c>
      <c r="AH591">
        <v>2</v>
      </c>
      <c r="AI591">
        <v>3.0000000000291038</v>
      </c>
      <c r="AJ591">
        <v>4.2382300000000006</v>
      </c>
      <c r="AK591">
        <v>4.2381300000000008</v>
      </c>
      <c r="AL591">
        <v>0</v>
      </c>
      <c r="AM591">
        <v>0</v>
      </c>
      <c r="AN591">
        <v>0</v>
      </c>
      <c r="AO591">
        <v>-81.919988172217103</v>
      </c>
      <c r="AP591">
        <v>0</v>
      </c>
      <c r="AQ591">
        <v>0</v>
      </c>
      <c r="AR591" t="str">
        <v>1613.par</v>
      </c>
      <c r="AV591" t="str">
        <v>91,255,255</v>
      </c>
      <c r="AW591" s="31">
        <v>0</v>
      </c>
      <c r="AX591" s="31">
        <v>81.919988172217103</v>
      </c>
      <c r="AY591" s="31">
        <v>-81.919988172217103</v>
      </c>
    </row>
    <row r="592" spans="31:51" x14ac:dyDescent="0.25">
      <c r="AE592">
        <v>4.2320000000000002</v>
      </c>
      <c r="AF592">
        <v>4</v>
      </c>
      <c r="AG592">
        <v>2</v>
      </c>
      <c r="AH592">
        <v>2</v>
      </c>
      <c r="AI592">
        <v>3.0000000000291038</v>
      </c>
      <c r="AJ592">
        <v>4.2322300000000004</v>
      </c>
      <c r="AK592">
        <v>4.2321300000000006</v>
      </c>
      <c r="AL592">
        <v>0</v>
      </c>
      <c r="AM592">
        <v>0</v>
      </c>
      <c r="AN592">
        <v>0</v>
      </c>
      <c r="AO592">
        <v>-65.089990602168101</v>
      </c>
      <c r="AP592">
        <v>0</v>
      </c>
      <c r="AQ592">
        <v>0</v>
      </c>
      <c r="AR592" t="str">
        <v>1313.par</v>
      </c>
      <c r="AV592" t="str">
        <v>91,255,255</v>
      </c>
      <c r="AW592" s="31">
        <v>0</v>
      </c>
      <c r="AX592" s="31">
        <v>65.089990602168101</v>
      </c>
      <c r="AY592" s="31">
        <v>-65.089990602168101</v>
      </c>
    </row>
    <row r="593" spans="31:51" x14ac:dyDescent="0.25">
      <c r="AE593">
        <v>4.226</v>
      </c>
      <c r="AF593">
        <v>4</v>
      </c>
      <c r="AG593">
        <v>2</v>
      </c>
      <c r="AH593">
        <v>2</v>
      </c>
      <c r="AI593">
        <v>3.0000000000291038</v>
      </c>
      <c r="AJ593">
        <v>4.2262300000000002</v>
      </c>
      <c r="AK593">
        <v>4.2261300000000004</v>
      </c>
      <c r="AL593">
        <v>0</v>
      </c>
      <c r="AM593">
        <v>0</v>
      </c>
      <c r="AN593">
        <v>0</v>
      </c>
      <c r="AO593">
        <v>-47.49999314184948</v>
      </c>
      <c r="AP593">
        <v>0</v>
      </c>
      <c r="AQ593">
        <v>0</v>
      </c>
      <c r="AR593" t="str">
        <v>1313.par</v>
      </c>
      <c r="AV593" t="str">
        <v>91,255,255</v>
      </c>
      <c r="AW593" s="31">
        <v>0</v>
      </c>
      <c r="AX593" s="31">
        <v>47.49999314184948</v>
      </c>
      <c r="AY593" s="31">
        <v>-47.49999314184948</v>
      </c>
    </row>
    <row r="594" spans="31:51" x14ac:dyDescent="0.25">
      <c r="AE594">
        <v>4.22</v>
      </c>
      <c r="AF594">
        <v>4</v>
      </c>
      <c r="AG594">
        <v>2</v>
      </c>
      <c r="AH594">
        <v>2</v>
      </c>
      <c r="AI594">
        <v>2.9999999999563443</v>
      </c>
      <c r="AJ594">
        <v>4.2202299999999999</v>
      </c>
      <c r="AK594">
        <v>4.2201300000000002</v>
      </c>
      <c r="AL594">
        <v>0</v>
      </c>
      <c r="AM594">
        <v>0</v>
      </c>
      <c r="AN594">
        <v>0</v>
      </c>
      <c r="AO594">
        <v>-32.499995307581187</v>
      </c>
      <c r="AP594">
        <v>0</v>
      </c>
      <c r="AQ594">
        <v>0</v>
      </c>
      <c r="AR594" t="str">
        <v>1313.par</v>
      </c>
      <c r="AV594" t="str">
        <v>91,255,255</v>
      </c>
      <c r="AW594" s="31">
        <v>0</v>
      </c>
      <c r="AX594" s="31">
        <v>32.499995307581187</v>
      </c>
      <c r="AY594" s="31">
        <v>-32.499995307581187</v>
      </c>
    </row>
    <row r="595" spans="31:51" x14ac:dyDescent="0.25">
      <c r="AE595">
        <v>4.1440000000000001</v>
      </c>
      <c r="AF595">
        <v>4</v>
      </c>
      <c r="AG595">
        <v>1</v>
      </c>
      <c r="AH595">
        <v>2</v>
      </c>
      <c r="AI595">
        <v>3.0000000000291038</v>
      </c>
      <c r="AJ595">
        <v>4.1442300000000003</v>
      </c>
      <c r="AK595">
        <v>4.1441300000000005</v>
      </c>
      <c r="AL595">
        <v>0</v>
      </c>
      <c r="AM595">
        <v>0</v>
      </c>
      <c r="AN595">
        <v>0</v>
      </c>
      <c r="AO595">
        <v>-84.999987727520178</v>
      </c>
      <c r="AP595">
        <v>0</v>
      </c>
      <c r="AQ595">
        <v>0</v>
      </c>
      <c r="AR595" t="str">
        <v>1613.par</v>
      </c>
      <c r="AV595" t="str">
        <v>0,204,204</v>
      </c>
      <c r="AW595" s="31">
        <v>0</v>
      </c>
      <c r="AX595" s="31">
        <v>84.999987727520178</v>
      </c>
      <c r="AY595" s="31">
        <v>-84.999987727520178</v>
      </c>
    </row>
    <row r="596" spans="31:51" x14ac:dyDescent="0.25">
      <c r="AE596">
        <v>4.1379999999999999</v>
      </c>
      <c r="AF596">
        <v>4</v>
      </c>
      <c r="AG596">
        <v>1</v>
      </c>
      <c r="AH596">
        <v>2</v>
      </c>
      <c r="AI596">
        <v>3.0000000000291038</v>
      </c>
      <c r="AJ596">
        <v>4.1382300000000001</v>
      </c>
      <c r="AK596">
        <v>4.1381300000000003</v>
      </c>
      <c r="AL596">
        <v>0</v>
      </c>
      <c r="AM596">
        <v>0</v>
      </c>
      <c r="AN596">
        <v>0</v>
      </c>
      <c r="AO596">
        <v>-77.499988810386057</v>
      </c>
      <c r="AP596">
        <v>0</v>
      </c>
      <c r="AQ596">
        <v>0</v>
      </c>
      <c r="AR596" t="str">
        <v>1613.par</v>
      </c>
      <c r="AV596" t="str">
        <v>0,204,204</v>
      </c>
      <c r="AW596" s="31">
        <v>0</v>
      </c>
      <c r="AX596" s="31">
        <v>77.499988810386057</v>
      </c>
      <c r="AY596" s="31">
        <v>-77.499988810386057</v>
      </c>
    </row>
    <row r="597" spans="31:51" x14ac:dyDescent="0.25">
      <c r="AE597">
        <v>4.1319999999999997</v>
      </c>
      <c r="AF597">
        <v>4</v>
      </c>
      <c r="AG597">
        <v>1</v>
      </c>
      <c r="AH597">
        <v>2</v>
      </c>
      <c r="AI597">
        <v>2.9999999999563443</v>
      </c>
      <c r="AJ597">
        <v>4.1322299999999998</v>
      </c>
      <c r="AK597">
        <v>4.1321300000000001</v>
      </c>
      <c r="AL597">
        <v>0</v>
      </c>
      <c r="AM597">
        <v>0</v>
      </c>
      <c r="AN597">
        <v>0</v>
      </c>
      <c r="AO597">
        <v>-62.499990976117807</v>
      </c>
      <c r="AP597">
        <v>0</v>
      </c>
      <c r="AQ597">
        <v>0</v>
      </c>
      <c r="AR597" t="str">
        <v>1613.par</v>
      </c>
      <c r="AV597" t="str">
        <v>0,204,204</v>
      </c>
      <c r="AW597" s="31">
        <v>0</v>
      </c>
      <c r="AX597" s="31">
        <v>62.499990976117807</v>
      </c>
      <c r="AY597" s="31">
        <v>-62.499990976117807</v>
      </c>
    </row>
    <row r="598" spans="31:51" x14ac:dyDescent="0.25">
      <c r="AE598">
        <v>4.1260000000000003</v>
      </c>
      <c r="AF598">
        <v>4</v>
      </c>
      <c r="AG598">
        <v>1</v>
      </c>
      <c r="AH598">
        <v>2</v>
      </c>
      <c r="AI598">
        <v>3.0000000000291038</v>
      </c>
      <c r="AJ598">
        <v>4.1262300000000005</v>
      </c>
      <c r="AK598">
        <v>4.1261300000000007</v>
      </c>
      <c r="AL598">
        <v>0</v>
      </c>
      <c r="AM598">
        <v>0</v>
      </c>
      <c r="AN598">
        <v>0</v>
      </c>
      <c r="AO598">
        <v>-47.499993141849522</v>
      </c>
      <c r="AP598">
        <v>0</v>
      </c>
      <c r="AQ598">
        <v>0</v>
      </c>
      <c r="AR598" t="str">
        <v>1613.par</v>
      </c>
      <c r="AV598" t="str">
        <v>0,204,204</v>
      </c>
      <c r="AW598" s="31">
        <v>0</v>
      </c>
      <c r="AX598" s="31">
        <v>47.499993141849522</v>
      </c>
      <c r="AY598" s="31">
        <v>-47.499993141849522</v>
      </c>
    </row>
    <row r="599" spans="31:51" x14ac:dyDescent="0.25">
      <c r="AE599">
        <v>4.12</v>
      </c>
      <c r="AF599">
        <v>4</v>
      </c>
      <c r="AG599">
        <v>1</v>
      </c>
      <c r="AH599">
        <v>2</v>
      </c>
      <c r="AI599">
        <v>3.0000000000291038</v>
      </c>
      <c r="AJ599">
        <v>4.1202300000000003</v>
      </c>
      <c r="AK599">
        <v>4.1201300000000005</v>
      </c>
      <c r="AL599">
        <v>0</v>
      </c>
      <c r="AM599">
        <v>0</v>
      </c>
      <c r="AN599">
        <v>0</v>
      </c>
      <c r="AO599">
        <v>-32.499995307581308</v>
      </c>
      <c r="AP599">
        <v>0</v>
      </c>
      <c r="AQ599">
        <v>0</v>
      </c>
      <c r="AR599" t="str">
        <v>1613.par</v>
      </c>
      <c r="AV599" t="str">
        <v>0,204,204</v>
      </c>
      <c r="AW599" s="31">
        <v>0</v>
      </c>
      <c r="AX599" s="31">
        <v>32.499995307581308</v>
      </c>
      <c r="AY599" s="31">
        <v>-32.499995307581308</v>
      </c>
    </row>
    <row r="600" spans="31:51" x14ac:dyDescent="0.25">
      <c r="AE600">
        <v>4.1139999999999999</v>
      </c>
      <c r="AF600">
        <v>4</v>
      </c>
      <c r="AG600">
        <v>1</v>
      </c>
      <c r="AH600">
        <v>2</v>
      </c>
      <c r="AI600">
        <v>3.0000000000291038</v>
      </c>
      <c r="AJ600">
        <v>4.1142300000000001</v>
      </c>
      <c r="AK600">
        <v>4.1141300000000003</v>
      </c>
      <c r="AL600">
        <v>0</v>
      </c>
      <c r="AM600">
        <v>0</v>
      </c>
      <c r="AN600">
        <v>0</v>
      </c>
      <c r="AO600">
        <v>-17.499997473312991</v>
      </c>
      <c r="AP600">
        <v>0</v>
      </c>
      <c r="AQ600">
        <v>0</v>
      </c>
      <c r="AR600" t="str">
        <v>1613.par</v>
      </c>
      <c r="AV600" t="str">
        <v>0,204,204</v>
      </c>
      <c r="AW600" s="31">
        <v>0</v>
      </c>
      <c r="AX600" s="31">
        <v>17.499997473312991</v>
      </c>
      <c r="AY600" s="31">
        <v>-17.499997473312991</v>
      </c>
    </row>
    <row r="601" spans="31:51" x14ac:dyDescent="0.25">
      <c r="AE601">
        <v>3.2450000000000001</v>
      </c>
      <c r="AF601">
        <v>3</v>
      </c>
      <c r="AG601">
        <v>2</v>
      </c>
      <c r="AH601">
        <v>2</v>
      </c>
      <c r="AI601">
        <v>3.0000000000291038</v>
      </c>
      <c r="AJ601">
        <v>3.2452300000000003</v>
      </c>
      <c r="AK601">
        <v>3.2451300000000001</v>
      </c>
      <c r="AL601">
        <v>0</v>
      </c>
      <c r="AM601">
        <v>0</v>
      </c>
      <c r="AN601">
        <v>0</v>
      </c>
      <c r="AO601">
        <v>-85.029987723188739</v>
      </c>
      <c r="AP601">
        <v>0</v>
      </c>
      <c r="AQ601">
        <v>0</v>
      </c>
      <c r="AR601" t="str">
        <v>1613.par</v>
      </c>
      <c r="AV601" t="str">
        <v>97,255,97</v>
      </c>
      <c r="AW601" s="31">
        <v>0</v>
      </c>
      <c r="AX601" s="31">
        <v>85.029987723188739</v>
      </c>
      <c r="AY601" s="31">
        <v>-85.029987723188739</v>
      </c>
    </row>
    <row r="602" spans="31:51" x14ac:dyDescent="0.25">
      <c r="AE602">
        <v>3.2389999999999999</v>
      </c>
      <c r="AF602">
        <v>3</v>
      </c>
      <c r="AG602">
        <v>2</v>
      </c>
      <c r="AH602">
        <v>2</v>
      </c>
      <c r="AI602">
        <v>2.999999999992724</v>
      </c>
      <c r="AJ602">
        <v>3.2392300000000001</v>
      </c>
      <c r="AK602">
        <v>3.2391299999999998</v>
      </c>
      <c r="AL602">
        <v>0</v>
      </c>
      <c r="AM602">
        <v>0</v>
      </c>
      <c r="AN602">
        <v>0</v>
      </c>
      <c r="AO602">
        <v>-84.709987769390992</v>
      </c>
      <c r="AP602">
        <v>0</v>
      </c>
      <c r="AQ602">
        <v>0</v>
      </c>
      <c r="AR602" t="str">
        <v>1613.par</v>
      </c>
      <c r="AV602" t="str">
        <v>97,255,97</v>
      </c>
      <c r="AW602" s="31">
        <v>0</v>
      </c>
      <c r="AX602" s="31">
        <v>84.709987769390992</v>
      </c>
      <c r="AY602" s="31">
        <v>-84.709987769390992</v>
      </c>
    </row>
    <row r="603" spans="31:51" x14ac:dyDescent="0.25">
      <c r="AE603">
        <v>3.2330000000000001</v>
      </c>
      <c r="AF603">
        <v>3</v>
      </c>
      <c r="AG603">
        <v>2</v>
      </c>
      <c r="AH603">
        <v>2</v>
      </c>
      <c r="AI603">
        <v>3.0000000000291038</v>
      </c>
      <c r="AJ603">
        <v>3.2332300000000003</v>
      </c>
      <c r="AK603">
        <v>3.2331300000000001</v>
      </c>
      <c r="AL603">
        <v>0</v>
      </c>
      <c r="AM603">
        <v>0</v>
      </c>
      <c r="AN603">
        <v>0</v>
      </c>
      <c r="AO603">
        <v>-67.869990200785836</v>
      </c>
      <c r="AP603">
        <v>0</v>
      </c>
      <c r="AQ603">
        <v>0</v>
      </c>
      <c r="AR603" t="str">
        <v>1313.par</v>
      </c>
      <c r="AV603" t="str">
        <v>97,255,97</v>
      </c>
      <c r="AW603" s="31">
        <v>0</v>
      </c>
      <c r="AX603" s="31">
        <v>67.869990200785836</v>
      </c>
      <c r="AY603" s="31">
        <v>-67.869990200785836</v>
      </c>
    </row>
    <row r="604" spans="31:51" x14ac:dyDescent="0.25">
      <c r="AE604">
        <v>3.2269999999999999</v>
      </c>
      <c r="AF604">
        <v>3</v>
      </c>
      <c r="AG604">
        <v>2</v>
      </c>
      <c r="AH604">
        <v>2</v>
      </c>
      <c r="AI604">
        <v>2.999999999992724</v>
      </c>
      <c r="AJ604">
        <v>3.22723</v>
      </c>
      <c r="AK604">
        <v>3.2271299999999998</v>
      </c>
      <c r="AL604">
        <v>0</v>
      </c>
      <c r="AM604">
        <v>0</v>
      </c>
      <c r="AN604">
        <v>0</v>
      </c>
      <c r="AO604">
        <v>-49.999992780894232</v>
      </c>
      <c r="AP604">
        <v>0</v>
      </c>
      <c r="AQ604">
        <v>0</v>
      </c>
      <c r="AR604" t="str">
        <v>1313.par</v>
      </c>
      <c r="AV604" t="str">
        <v>97,255,97</v>
      </c>
      <c r="AW604" s="31">
        <v>0</v>
      </c>
      <c r="AX604" s="31">
        <v>49.999992780894232</v>
      </c>
      <c r="AY604" s="31">
        <v>-49.999992780894232</v>
      </c>
    </row>
    <row r="605" spans="31:51" x14ac:dyDescent="0.25">
      <c r="AE605">
        <v>3.2210000000000001</v>
      </c>
      <c r="AF605">
        <v>3</v>
      </c>
      <c r="AG605">
        <v>2</v>
      </c>
      <c r="AH605">
        <v>2</v>
      </c>
      <c r="AI605">
        <v>3.0000000000291038</v>
      </c>
      <c r="AJ605">
        <v>3.2212300000000003</v>
      </c>
      <c r="AK605">
        <v>3.22113</v>
      </c>
      <c r="AL605">
        <v>0</v>
      </c>
      <c r="AM605">
        <v>0</v>
      </c>
      <c r="AN605">
        <v>0</v>
      </c>
      <c r="AO605">
        <v>-34.999994946626003</v>
      </c>
      <c r="AP605">
        <v>0</v>
      </c>
      <c r="AQ605">
        <v>0</v>
      </c>
      <c r="AR605" t="str">
        <v>1313.par</v>
      </c>
      <c r="AV605" t="str">
        <v>97,255,97</v>
      </c>
      <c r="AW605" s="31">
        <v>0</v>
      </c>
      <c r="AX605" s="31">
        <v>34.999994946626003</v>
      </c>
      <c r="AY605" s="31">
        <v>-34.999994946626003</v>
      </c>
    </row>
    <row r="606" spans="31:51" x14ac:dyDescent="0.25">
      <c r="AE606">
        <v>3.2149999999999999</v>
      </c>
      <c r="AF606">
        <v>3</v>
      </c>
      <c r="AG606">
        <v>2</v>
      </c>
      <c r="AH606">
        <v>2</v>
      </c>
      <c r="AI606">
        <v>2.999999999992724</v>
      </c>
      <c r="AJ606">
        <v>3.21523</v>
      </c>
      <c r="AK606">
        <v>3.2151299999999998</v>
      </c>
      <c r="AL606">
        <v>0</v>
      </c>
      <c r="AM606">
        <v>0</v>
      </c>
      <c r="AN606">
        <v>0</v>
      </c>
      <c r="AO606">
        <v>-19.999997112357644</v>
      </c>
      <c r="AP606">
        <v>0</v>
      </c>
      <c r="AQ606">
        <v>0</v>
      </c>
      <c r="AR606" t="str">
        <v>1313.par</v>
      </c>
      <c r="AV606" t="str">
        <v>97,255,97</v>
      </c>
      <c r="AW606" s="31">
        <v>0</v>
      </c>
      <c r="AX606" s="31">
        <v>19.999997112357644</v>
      </c>
      <c r="AY606" s="31">
        <v>-19.999997112357644</v>
      </c>
    </row>
    <row r="607" spans="31:51" x14ac:dyDescent="0.25">
      <c r="AE607">
        <v>3.145</v>
      </c>
      <c r="AF607">
        <v>3</v>
      </c>
      <c r="AG607">
        <v>1</v>
      </c>
      <c r="AH607">
        <v>2</v>
      </c>
      <c r="AI607">
        <v>3.0000000000291038</v>
      </c>
      <c r="AJ607">
        <v>3.1452300000000002</v>
      </c>
      <c r="AK607">
        <v>3.14513</v>
      </c>
      <c r="AL607">
        <v>0</v>
      </c>
      <c r="AM607">
        <v>0</v>
      </c>
      <c r="AN607">
        <v>0</v>
      </c>
      <c r="AO607">
        <v>-84.999987727520178</v>
      </c>
      <c r="AP607">
        <v>0</v>
      </c>
      <c r="AQ607">
        <v>0</v>
      </c>
      <c r="AR607" t="str">
        <v>1613.par</v>
      </c>
      <c r="AV607" t="str">
        <v>0,204,0</v>
      </c>
      <c r="AW607" s="31">
        <v>0</v>
      </c>
      <c r="AX607" s="31">
        <v>84.999987727520178</v>
      </c>
      <c r="AY607" s="31">
        <v>-84.999987727520178</v>
      </c>
    </row>
    <row r="608" spans="31:51" x14ac:dyDescent="0.25">
      <c r="AE608">
        <v>3.1389999999999998</v>
      </c>
      <c r="AF608">
        <v>3</v>
      </c>
      <c r="AG608">
        <v>1</v>
      </c>
      <c r="AH608">
        <v>2</v>
      </c>
      <c r="AI608">
        <v>2.999999999992724</v>
      </c>
      <c r="AJ608">
        <v>3.13923</v>
      </c>
      <c r="AK608">
        <v>3.1391299999999998</v>
      </c>
      <c r="AL608">
        <v>0</v>
      </c>
      <c r="AM608">
        <v>0</v>
      </c>
      <c r="AN608">
        <v>0</v>
      </c>
      <c r="AO608">
        <v>-79.999988449430745</v>
      </c>
      <c r="AP608">
        <v>0</v>
      </c>
      <c r="AQ608">
        <v>0</v>
      </c>
      <c r="AR608" t="str">
        <v>1613.par</v>
      </c>
      <c r="AV608" t="str">
        <v>0,204,0</v>
      </c>
      <c r="AW608" s="31">
        <v>0</v>
      </c>
      <c r="AX608" s="31">
        <v>79.999988449430745</v>
      </c>
      <c r="AY608" s="31">
        <v>-79.999988449430745</v>
      </c>
    </row>
    <row r="609" spans="31:51" x14ac:dyDescent="0.25">
      <c r="AE609">
        <v>3.133</v>
      </c>
      <c r="AF609">
        <v>3</v>
      </c>
      <c r="AG609">
        <v>1</v>
      </c>
      <c r="AH609">
        <v>2</v>
      </c>
      <c r="AI609">
        <v>3.0000000000291038</v>
      </c>
      <c r="AJ609">
        <v>3.1332300000000002</v>
      </c>
      <c r="AK609">
        <v>3.13313</v>
      </c>
      <c r="AL609">
        <v>0</v>
      </c>
      <c r="AM609">
        <v>0</v>
      </c>
      <c r="AN609">
        <v>0</v>
      </c>
      <c r="AO609">
        <v>-64.999990615162503</v>
      </c>
      <c r="AP609">
        <v>0</v>
      </c>
      <c r="AQ609">
        <v>0</v>
      </c>
      <c r="AR609" t="str">
        <v>1613.par</v>
      </c>
      <c r="AV609" t="str">
        <v>0,204,0</v>
      </c>
      <c r="AW609" s="31">
        <v>0</v>
      </c>
      <c r="AX609" s="31">
        <v>64.999990615162503</v>
      </c>
      <c r="AY609" s="31">
        <v>-64.999990615162503</v>
      </c>
    </row>
    <row r="610" spans="31:51" x14ac:dyDescent="0.25">
      <c r="AE610">
        <v>3.1269999999999998</v>
      </c>
      <c r="AF610">
        <v>3</v>
      </c>
      <c r="AG610">
        <v>1</v>
      </c>
      <c r="AH610">
        <v>2</v>
      </c>
      <c r="AI610">
        <v>2.999999999992724</v>
      </c>
      <c r="AJ610">
        <v>3.12723</v>
      </c>
      <c r="AK610">
        <v>3.1271299999999997</v>
      </c>
      <c r="AL610">
        <v>0</v>
      </c>
      <c r="AM610">
        <v>0</v>
      </c>
      <c r="AN610">
        <v>0</v>
      </c>
      <c r="AO610">
        <v>-49.999992780894218</v>
      </c>
      <c r="AP610">
        <v>0</v>
      </c>
      <c r="AQ610">
        <v>0</v>
      </c>
      <c r="AR610" t="str">
        <v>1613.par</v>
      </c>
      <c r="AV610" t="str">
        <v>0,204,0</v>
      </c>
      <c r="AW610" s="31">
        <v>0</v>
      </c>
      <c r="AX610" s="31">
        <v>49.999992780894218</v>
      </c>
      <c r="AY610" s="31">
        <v>-49.999992780894218</v>
      </c>
    </row>
    <row r="611" spans="31:51" x14ac:dyDescent="0.25">
      <c r="AE611">
        <v>3.121</v>
      </c>
      <c r="AF611">
        <v>3</v>
      </c>
      <c r="AG611">
        <v>1</v>
      </c>
      <c r="AH611">
        <v>2</v>
      </c>
      <c r="AI611">
        <v>3.0000000000291038</v>
      </c>
      <c r="AJ611">
        <v>3.1212300000000002</v>
      </c>
      <c r="AK611">
        <v>3.12113</v>
      </c>
      <c r="AL611">
        <v>0</v>
      </c>
      <c r="AM611">
        <v>0</v>
      </c>
      <c r="AN611">
        <v>0</v>
      </c>
      <c r="AO611">
        <v>-34.999994946626082</v>
      </c>
      <c r="AP611">
        <v>0</v>
      </c>
      <c r="AQ611">
        <v>0</v>
      </c>
      <c r="AR611" t="str">
        <v>1613.par</v>
      </c>
      <c r="AV611" t="str">
        <v>0,204,0</v>
      </c>
      <c r="AW611" s="31">
        <v>0</v>
      </c>
      <c r="AX611" s="31">
        <v>34.999994946626082</v>
      </c>
      <c r="AY611" s="31">
        <v>-34.999994946626082</v>
      </c>
    </row>
    <row r="612" spans="31:51" x14ac:dyDescent="0.25">
      <c r="AE612">
        <v>3.1150000000000002</v>
      </c>
      <c r="AF612">
        <v>3</v>
      </c>
      <c r="AG612">
        <v>1</v>
      </c>
      <c r="AH612">
        <v>2</v>
      </c>
      <c r="AI612">
        <v>3.0000000000291038</v>
      </c>
      <c r="AJ612">
        <v>3.1152300000000004</v>
      </c>
      <c r="AK612">
        <v>3.1151300000000002</v>
      </c>
      <c r="AL612">
        <v>0</v>
      </c>
      <c r="AM612">
        <v>0</v>
      </c>
      <c r="AN612">
        <v>0</v>
      </c>
      <c r="AO612">
        <v>-19.999997112357622</v>
      </c>
      <c r="AP612">
        <v>0</v>
      </c>
      <c r="AQ612">
        <v>0</v>
      </c>
      <c r="AR612" t="str">
        <v>1613.par</v>
      </c>
      <c r="AV612" t="str">
        <v>0,204,0</v>
      </c>
      <c r="AW612" s="31">
        <v>0</v>
      </c>
      <c r="AX612" s="31">
        <v>19.999997112357622</v>
      </c>
      <c r="AY612" s="31">
        <v>-19.999997112357622</v>
      </c>
    </row>
    <row r="613" spans="31:51" x14ac:dyDescent="0.25">
      <c r="AE613">
        <v>3.109</v>
      </c>
      <c r="AF613">
        <v>3</v>
      </c>
      <c r="AG613">
        <v>1</v>
      </c>
      <c r="AH613">
        <v>2</v>
      </c>
      <c r="AI613">
        <v>3.0000000000291038</v>
      </c>
      <c r="AJ613">
        <v>3.1092300000000002</v>
      </c>
      <c r="AK613">
        <v>3.1091299999999999</v>
      </c>
      <c r="AL613">
        <v>0</v>
      </c>
      <c r="AM613">
        <v>0</v>
      </c>
      <c r="AN613">
        <v>0</v>
      </c>
      <c r="AO613">
        <v>-4.9999992780894003</v>
      </c>
      <c r="AP613">
        <v>0</v>
      </c>
      <c r="AQ613">
        <v>0</v>
      </c>
      <c r="AR613" t="str">
        <v>1613.par</v>
      </c>
      <c r="AV613" t="str">
        <v>0,204,0</v>
      </c>
      <c r="AW613" s="31">
        <v>0</v>
      </c>
      <c r="AX613" s="31">
        <v>4.9999992780894003</v>
      </c>
      <c r="AY613" s="31">
        <v>-4.9999992780894003</v>
      </c>
    </row>
    <row r="614" spans="31:51" x14ac:dyDescent="0.25">
      <c r="AE614">
        <v>3.1059999999999999</v>
      </c>
      <c r="AF614">
        <v>3</v>
      </c>
      <c r="AG614">
        <v>1</v>
      </c>
      <c r="AH614">
        <v>2</v>
      </c>
      <c r="AI614">
        <v>2.999999999992724</v>
      </c>
      <c r="AJ614">
        <v>3.10623</v>
      </c>
      <c r="AK614">
        <v>3.1061299999999998</v>
      </c>
      <c r="AL614">
        <v>0</v>
      </c>
      <c r="AM614">
        <v>0</v>
      </c>
      <c r="AN614">
        <v>0</v>
      </c>
      <c r="AO614">
        <v>0.99999985561785909</v>
      </c>
      <c r="AP614">
        <v>0</v>
      </c>
      <c r="AQ614">
        <v>0</v>
      </c>
      <c r="AR614" t="str">
        <v>1613.par</v>
      </c>
      <c r="AV614" t="str">
        <v>0,204,0</v>
      </c>
      <c r="AW614" s="31">
        <v>0</v>
      </c>
      <c r="AX614" s="31">
        <v>-0.99999985561785909</v>
      </c>
      <c r="AY614" s="31">
        <v>0.99999985561785909</v>
      </c>
    </row>
    <row r="615" spans="31:51" x14ac:dyDescent="0.25">
      <c r="AE615">
        <v>3.1030000000000002</v>
      </c>
      <c r="AF615">
        <v>3</v>
      </c>
      <c r="AG615">
        <v>1</v>
      </c>
      <c r="AH615">
        <v>2</v>
      </c>
      <c r="AI615">
        <v>3.0000000000291038</v>
      </c>
      <c r="AJ615">
        <v>3.1032300000000004</v>
      </c>
      <c r="AK615">
        <v>3.1031300000000002</v>
      </c>
      <c r="AL615">
        <v>0</v>
      </c>
      <c r="AM615">
        <v>0</v>
      </c>
      <c r="AN615">
        <v>0</v>
      </c>
      <c r="AO615">
        <v>3.9999994224715669</v>
      </c>
      <c r="AP615">
        <v>0</v>
      </c>
      <c r="AQ615">
        <v>0</v>
      </c>
      <c r="AR615" t="str">
        <v>1613.par</v>
      </c>
      <c r="AV615" t="str">
        <v>0,204,0</v>
      </c>
      <c r="AW615" s="31">
        <v>0</v>
      </c>
      <c r="AX615" s="31">
        <v>-3.9999994224715669</v>
      </c>
      <c r="AY615" s="31">
        <v>3.9999994224715669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-84.999987727520178</v>
      </c>
      <c r="AP616">
        <v>0</v>
      </c>
      <c r="AQ616">
        <v>0</v>
      </c>
      <c r="AR616" t="str">
        <v>1613.par</v>
      </c>
      <c r="AV616" t="str">
        <v>255,255,91</v>
      </c>
      <c r="AW616" s="31">
        <v>0</v>
      </c>
      <c r="AX616" s="31">
        <v>84.999987727520178</v>
      </c>
      <c r="AY616" s="31">
        <v>-84.999987727520178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-85.029987723188725</v>
      </c>
      <c r="AP617">
        <v>0</v>
      </c>
      <c r="AQ617">
        <v>0</v>
      </c>
      <c r="AR617" t="str">
        <v>1613.par</v>
      </c>
      <c r="AV617" t="str">
        <v>255,255,91</v>
      </c>
      <c r="AW617" s="31">
        <v>0</v>
      </c>
      <c r="AX617" s="31">
        <v>85.029987723188725</v>
      </c>
      <c r="AY617" s="31">
        <v>-85.029987723188725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-70.659989797959724</v>
      </c>
      <c r="AP618">
        <v>0</v>
      </c>
      <c r="AQ618">
        <v>0</v>
      </c>
      <c r="AR618" t="str">
        <v>1313.par</v>
      </c>
      <c r="AV618" t="str">
        <v>255,255,91</v>
      </c>
      <c r="AW618" s="31">
        <v>0</v>
      </c>
      <c r="AX618" s="31">
        <v>70.659989797959724</v>
      </c>
      <c r="AY618" s="31">
        <v>-70.659989797959724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-52.499992419938899</v>
      </c>
      <c r="AP619">
        <v>0</v>
      </c>
      <c r="AQ619">
        <v>0</v>
      </c>
      <c r="AR619" t="str">
        <v>1313.par</v>
      </c>
      <c r="AV619" t="str">
        <v>255,255,91</v>
      </c>
      <c r="AW619" s="31">
        <v>0</v>
      </c>
      <c r="AX619" s="31">
        <v>52.499992419938899</v>
      </c>
      <c r="AY619" s="31">
        <v>-52.499992419938899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-37.49999458567072</v>
      </c>
      <c r="AP620">
        <v>0</v>
      </c>
      <c r="AQ620">
        <v>0</v>
      </c>
      <c r="AR620" t="str">
        <v>1313.par</v>
      </c>
      <c r="AV620" t="str">
        <v>255,255,91</v>
      </c>
      <c r="AW620" s="31">
        <v>0</v>
      </c>
      <c r="AX620" s="31">
        <v>37.49999458567072</v>
      </c>
      <c r="AY620" s="31">
        <v>-37.49999458567072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-22.499996751402406</v>
      </c>
      <c r="AP621">
        <v>0</v>
      </c>
      <c r="AQ621">
        <v>0</v>
      </c>
      <c r="AR621" t="str">
        <v>1313.par</v>
      </c>
      <c r="AV621" t="str">
        <v>255,255,91</v>
      </c>
      <c r="AW621" s="31">
        <v>0</v>
      </c>
      <c r="AX621" s="31">
        <v>22.499996751402406</v>
      </c>
      <c r="AY621" s="31">
        <v>-22.499996751402406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-84.999987727520178</v>
      </c>
      <c r="AP622">
        <v>0</v>
      </c>
      <c r="AQ622">
        <v>0</v>
      </c>
      <c r="AR622" t="str">
        <v>1613.par</v>
      </c>
      <c r="AV622" t="str">
        <v>204,204,0</v>
      </c>
      <c r="AW622" s="31">
        <v>0</v>
      </c>
      <c r="AX622" s="31">
        <v>84.999987727520178</v>
      </c>
      <c r="AY622" s="31">
        <v>-84.999987727520178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-82.499988088475476</v>
      </c>
      <c r="AP623">
        <v>0</v>
      </c>
      <c r="AQ623">
        <v>0</v>
      </c>
      <c r="AR623" t="str">
        <v>1613.par</v>
      </c>
      <c r="AV623" t="str">
        <v>204,204,0</v>
      </c>
      <c r="AW623" s="31">
        <v>0</v>
      </c>
      <c r="AX623" s="31">
        <v>82.499988088475476</v>
      </c>
      <c r="AY623" s="31">
        <v>-82.499988088475476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-67.499990254207177</v>
      </c>
      <c r="AP624">
        <v>0</v>
      </c>
      <c r="AQ624">
        <v>0</v>
      </c>
      <c r="AR624" t="str">
        <v>1613.par</v>
      </c>
      <c r="AV624" t="str">
        <v>204,204,0</v>
      </c>
      <c r="AW624" s="31">
        <v>0</v>
      </c>
      <c r="AX624" s="31">
        <v>67.499990254207177</v>
      </c>
      <c r="AY624" s="31">
        <v>-67.499990254207177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-52.499992419938948</v>
      </c>
      <c r="AP625">
        <v>0</v>
      </c>
      <c r="AQ625">
        <v>0</v>
      </c>
      <c r="AR625" t="str">
        <v>1613.par</v>
      </c>
      <c r="AV625" t="str">
        <v>204,204,0</v>
      </c>
      <c r="AW625" s="31">
        <v>0</v>
      </c>
      <c r="AX625" s="31">
        <v>52.499992419938948</v>
      </c>
      <c r="AY625" s="31">
        <v>-52.499992419938948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-37.499994585670692</v>
      </c>
      <c r="AP626">
        <v>0</v>
      </c>
      <c r="AQ626">
        <v>0</v>
      </c>
      <c r="AR626" t="str">
        <v>1613.par</v>
      </c>
      <c r="AV626" t="str">
        <v>204,204,0</v>
      </c>
      <c r="AW626" s="31">
        <v>0</v>
      </c>
      <c r="AX626" s="31">
        <v>37.499994585670692</v>
      </c>
      <c r="AY626" s="31">
        <v>-37.499994585670692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-22.499996751402488</v>
      </c>
      <c r="AP627">
        <v>0</v>
      </c>
      <c r="AQ627">
        <v>0</v>
      </c>
      <c r="AR627" t="str">
        <v>1613.par</v>
      </c>
      <c r="AV627" t="str">
        <v>204,204,0</v>
      </c>
      <c r="AW627" s="31">
        <v>0</v>
      </c>
      <c r="AX627" s="31">
        <v>22.499996751402488</v>
      </c>
      <c r="AY627" s="31">
        <v>-22.499996751402488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-7.4999989171341195</v>
      </c>
      <c r="AP628">
        <v>0</v>
      </c>
      <c r="AQ628">
        <v>0</v>
      </c>
      <c r="AR628" t="str">
        <v>1613.par</v>
      </c>
      <c r="AV628" t="str">
        <v>204,204,0</v>
      </c>
      <c r="AW628" s="31">
        <v>0</v>
      </c>
      <c r="AX628" s="31">
        <v>7.4999989171341195</v>
      </c>
      <c r="AY628" s="31">
        <v>-7.4999989171341195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-85.029987723188711</v>
      </c>
      <c r="AP629">
        <v>0</v>
      </c>
      <c r="AQ629">
        <v>0</v>
      </c>
      <c r="AR629" t="str">
        <v>1613.par</v>
      </c>
      <c r="AV629" t="str">
        <v>255,188,121</v>
      </c>
      <c r="AW629" s="31">
        <v>0</v>
      </c>
      <c r="AX629" s="31">
        <v>85.029987723188711</v>
      </c>
      <c r="AY629" s="31">
        <v>-85.029987723188711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-73.469989392245964</v>
      </c>
      <c r="AP630">
        <v>0</v>
      </c>
      <c r="AQ630">
        <v>0</v>
      </c>
      <c r="AR630" t="str">
        <v>1613.par</v>
      </c>
      <c r="AV630" t="str">
        <v>255,188,121</v>
      </c>
      <c r="AW630" s="31">
        <v>0</v>
      </c>
      <c r="AX630" s="31">
        <v>73.469989392245964</v>
      </c>
      <c r="AY630" s="31">
        <v>-73.469989392245964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-56.709991812090223</v>
      </c>
      <c r="AP631">
        <v>0</v>
      </c>
      <c r="AQ631">
        <v>0</v>
      </c>
      <c r="AR631" t="str">
        <v>1313.par</v>
      </c>
      <c r="AV631" t="str">
        <v>255,188,121</v>
      </c>
      <c r="AW631" s="31">
        <v>0</v>
      </c>
      <c r="AX631" s="31">
        <v>56.709991812090223</v>
      </c>
      <c r="AY631" s="31">
        <v>-56.709991812090223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-39.999994224715337</v>
      </c>
      <c r="AP632">
        <v>0</v>
      </c>
      <c r="AQ632">
        <v>0</v>
      </c>
      <c r="AR632" t="str">
        <v>1313.par</v>
      </c>
      <c r="AV632" t="str">
        <v>255,188,121</v>
      </c>
      <c r="AW632" s="31">
        <v>0</v>
      </c>
      <c r="AX632" s="31">
        <v>39.999994224715337</v>
      </c>
      <c r="AY632" s="31">
        <v>-39.999994224715337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-24.999996390447119</v>
      </c>
      <c r="AP633">
        <v>0</v>
      </c>
      <c r="AQ633">
        <v>0</v>
      </c>
      <c r="AR633" t="str">
        <v>1313.par</v>
      </c>
      <c r="AV633" t="str">
        <v>255,188,121</v>
      </c>
      <c r="AW633" s="31">
        <v>0</v>
      </c>
      <c r="AX633" s="31">
        <v>24.999996390447119</v>
      </c>
      <c r="AY633" s="31">
        <v>-24.999996390447119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-9.9999985561788076</v>
      </c>
      <c r="AP634">
        <v>0</v>
      </c>
      <c r="AQ634">
        <v>0</v>
      </c>
      <c r="AR634" t="str">
        <v>1313.par</v>
      </c>
      <c r="AV634" t="str">
        <v>255,188,121</v>
      </c>
      <c r="AW634" s="31">
        <v>0</v>
      </c>
      <c r="AX634" s="31">
        <v>9.9999985561788076</v>
      </c>
      <c r="AY634" s="31">
        <v>-9.9999985561788076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-84.999987727520178</v>
      </c>
      <c r="AP635">
        <v>0</v>
      </c>
      <c r="AQ635">
        <v>0</v>
      </c>
      <c r="AR635" t="str">
        <v>1613.par</v>
      </c>
      <c r="AV635" t="str">
        <v>255,127,0</v>
      </c>
      <c r="AW635" s="31">
        <v>0</v>
      </c>
      <c r="AX635" s="31">
        <v>84.999987727520178</v>
      </c>
      <c r="AY635" s="31">
        <v>-84.999987727520178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-69.999989893251936</v>
      </c>
      <c r="AP636">
        <v>0</v>
      </c>
      <c r="AQ636">
        <v>0</v>
      </c>
      <c r="AR636" t="str">
        <v>1613.par</v>
      </c>
      <c r="AV636" t="str">
        <v>255,127,0</v>
      </c>
      <c r="AW636" s="31">
        <v>0</v>
      </c>
      <c r="AX636" s="31">
        <v>69.999989893251936</v>
      </c>
      <c r="AY636" s="31">
        <v>-69.999989893251936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-54.999992058983644</v>
      </c>
      <c r="AP637">
        <v>0</v>
      </c>
      <c r="AQ637">
        <v>0</v>
      </c>
      <c r="AR637" t="str">
        <v>1613.par</v>
      </c>
      <c r="AV637" t="str">
        <v>255,127,0</v>
      </c>
      <c r="AW637" s="31">
        <v>0</v>
      </c>
      <c r="AX637" s="31">
        <v>54.999992058983644</v>
      </c>
      <c r="AY637" s="31">
        <v>-54.999992058983644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-39.999994224715344</v>
      </c>
      <c r="AP638">
        <v>0</v>
      </c>
      <c r="AQ638">
        <v>0</v>
      </c>
      <c r="AR638" t="str">
        <v>1613.par</v>
      </c>
      <c r="AV638" t="str">
        <v>255,127,0</v>
      </c>
      <c r="AW638" s="31">
        <v>0</v>
      </c>
      <c r="AX638" s="31">
        <v>39.999994224715344</v>
      </c>
      <c r="AY638" s="31">
        <v>-39.999994224715344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-24.99999639044708</v>
      </c>
      <c r="AP639">
        <v>0</v>
      </c>
      <c r="AQ639">
        <v>0</v>
      </c>
      <c r="AR639" t="str">
        <v>1613.par</v>
      </c>
      <c r="AV639" t="str">
        <v>255,127,0</v>
      </c>
      <c r="AW639" s="31">
        <v>0</v>
      </c>
      <c r="AX639" s="31">
        <v>24.99999639044708</v>
      </c>
      <c r="AY639" s="31">
        <v>-24.99999639044708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-9.999998556178836</v>
      </c>
      <c r="AP640">
        <v>0</v>
      </c>
      <c r="AQ640">
        <v>0</v>
      </c>
      <c r="AR640" t="str">
        <v>1613.par</v>
      </c>
      <c r="AV640" t="str">
        <v>255,127,0</v>
      </c>
      <c r="AW640" s="31">
        <v>0</v>
      </c>
      <c r="AX640" s="31">
        <v>9.999998556178836</v>
      </c>
      <c r="AY640" s="31">
        <v>-9.999998556178836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 t="str">
        <v>1613.par</v>
      </c>
      <c r="AV641" t="str">
        <v>255,127,0</v>
      </c>
      <c r="AW641" s="31">
        <v>0</v>
      </c>
      <c r="AX641" s="31">
        <v>0</v>
      </c>
      <c r="AY641" s="31">
        <v>0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2.9999995668536554</v>
      </c>
      <c r="AP642">
        <v>0</v>
      </c>
      <c r="AQ642">
        <v>0</v>
      </c>
      <c r="AR642" t="str">
        <v>1613.par</v>
      </c>
      <c r="AV642" t="str">
        <v>255,127,0</v>
      </c>
      <c r="AW642" s="31">
        <v>0</v>
      </c>
      <c r="AX642" s="31">
        <v>-2.9999995668536554</v>
      </c>
      <c r="AY642" s="31">
        <v>2.9999995668536554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8.9999987005609601</v>
      </c>
      <c r="AP643">
        <v>0</v>
      </c>
      <c r="AQ643">
        <v>0</v>
      </c>
      <c r="AR643" t="str">
        <v>1613.par</v>
      </c>
      <c r="AV643" t="str">
        <v>255,127,0</v>
      </c>
      <c r="AW643" s="31">
        <v>0</v>
      </c>
      <c r="AX643" s="31">
        <v>-8.9999987005609601</v>
      </c>
      <c r="AY643" s="31">
        <v>8.9999987005609601</v>
      </c>
    </row>
    <row r="1048576" spans="12:12" x14ac:dyDescent="0.25">
      <c r="L1048576" s="683"/>
    </row>
  </sheetData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41" priority="166" stopIfTrue="1" operator="between">
      <formula>9</formula>
      <formula>9.99</formula>
    </cfRule>
    <cfRule type="cellIs" dxfId="40" priority="167" stopIfTrue="1" operator="between">
      <formula>8</formula>
      <formula>8.99</formula>
    </cfRule>
    <cfRule type="cellIs" dxfId="39" priority="168" stopIfTrue="1" operator="between">
      <formula>7</formula>
      <formula>7.99</formula>
    </cfRule>
    <cfRule type="cellIs" dxfId="38" priority="169" stopIfTrue="1" operator="between">
      <formula>6</formula>
      <formula>6.99</formula>
    </cfRule>
    <cfRule type="cellIs" dxfId="37" priority="170" stopIfTrue="1" operator="between">
      <formula>5</formula>
      <formula>5.99</formula>
    </cfRule>
    <cfRule type="cellIs" dxfId="36" priority="171" stopIfTrue="1" operator="between">
      <formula>4</formula>
      <formula>4.99</formula>
    </cfRule>
    <cfRule type="cellIs" dxfId="35" priority="172" stopIfTrue="1" operator="between">
      <formula>3</formula>
      <formula>3.99</formula>
    </cfRule>
    <cfRule type="cellIs" dxfId="34" priority="173" stopIfTrue="1" operator="between">
      <formula>2</formula>
      <formula>2.99</formula>
    </cfRule>
    <cfRule type="cellIs" dxfId="33" priority="174" stopIfTrue="1" operator="between">
      <formula>1</formula>
      <formula>1.99</formula>
    </cfRule>
  </conditionalFormatting>
  <conditionalFormatting sqref="HM9:HM40 HM54:HM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52" stopIfTrue="1" operator="between">
      <formula>9</formula>
      <formula>9.99</formula>
    </cfRule>
    <cfRule type="cellIs" dxfId="31" priority="53" stopIfTrue="1" operator="between">
      <formula>8</formula>
      <formula>8.99</formula>
    </cfRule>
    <cfRule type="cellIs" dxfId="30" priority="54" stopIfTrue="1" operator="between">
      <formula>7</formula>
      <formula>7.99</formula>
    </cfRule>
    <cfRule type="cellIs" dxfId="29" priority="55" stopIfTrue="1" operator="between">
      <formula>6</formula>
      <formula>6.99</formula>
    </cfRule>
    <cfRule type="cellIs" dxfId="28" priority="56" stopIfTrue="1" operator="between">
      <formula>5</formula>
      <formula>5.99</formula>
    </cfRule>
    <cfRule type="cellIs" dxfId="27" priority="57" stopIfTrue="1" operator="between">
      <formula>4</formula>
      <formula>4.99</formula>
    </cfRule>
    <cfRule type="cellIs" dxfId="26" priority="58" stopIfTrue="1" operator="between">
      <formula>3</formula>
      <formula>3.99</formula>
    </cfRule>
    <cfRule type="cellIs" dxfId="25" priority="59" stopIfTrue="1" operator="between">
      <formula>2</formula>
      <formula>2.99</formula>
    </cfRule>
    <cfRule type="cellIs" dxfId="24" priority="60" stopIfTrue="1" operator="between">
      <formula>1</formula>
      <formula>1.99</formula>
    </cfRule>
  </conditionalFormatting>
  <conditionalFormatting sqref="HM41:HM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23" priority="32" operator="equal">
      <formula>"Wrong CS"</formula>
    </cfRule>
  </conditionalFormatting>
  <conditionalFormatting sqref="HU9:HU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3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57" t="str">
        <f>CONCATENATE(Settings!$C$19," ",Settings!$B$28)</f>
        <v>9.875 5749r00</v>
      </c>
      <c r="D1" s="1257"/>
      <c r="E1" s="1257"/>
      <c r="F1" s="1257"/>
      <c r="G1" s="1257"/>
      <c r="H1" s="1257"/>
      <c r="I1" s="1257"/>
      <c r="J1" s="1257"/>
      <c r="K1" s="1257"/>
      <c r="M1" s="103" t="s">
        <v>310</v>
      </c>
      <c r="N1" s="1375" t="s">
        <v>312</v>
      </c>
      <c r="O1" s="1375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4" t="str">
        <f>Settings!B28</f>
        <v>5749r00</v>
      </c>
      <c r="C2" s="1385"/>
      <c r="D2" s="1385"/>
      <c r="E2" s="1385"/>
      <c r="F2" s="1385"/>
      <c r="G2" s="1385"/>
      <c r="H2" s="1385"/>
      <c r="I2" s="1385"/>
      <c r="J2" s="1385"/>
      <c r="K2" s="1386"/>
      <c r="L2" s="1141" t="str" cm="1">
        <f t="array" ref="L2">IF(OR($K$9:$K$150="Undefined"),"Undefined Element","")</f>
        <v/>
      </c>
      <c r="M2" s="1381" t="s">
        <v>0</v>
      </c>
      <c r="N2" s="1235" t="s">
        <v>1</v>
      </c>
      <c r="O2" s="1236"/>
      <c r="P2" s="1236"/>
      <c r="Q2" s="1236"/>
      <c r="R2" s="1236"/>
      <c r="S2" s="1236"/>
      <c r="T2" s="1236"/>
      <c r="U2" s="1236"/>
      <c r="V2" s="1236"/>
      <c r="W2" s="1236"/>
      <c r="X2" s="1236"/>
      <c r="Y2" s="1310"/>
      <c r="Z2" s="1235" t="s">
        <v>2</v>
      </c>
      <c r="AA2" s="1236"/>
      <c r="AB2" s="1236"/>
      <c r="AC2" s="1236"/>
      <c r="AD2" s="1236"/>
      <c r="AE2" s="1236"/>
      <c r="AF2" s="1236"/>
      <c r="AG2" s="1236"/>
      <c r="AH2" s="1236"/>
      <c r="AI2" s="1236"/>
      <c r="AJ2" s="1236"/>
      <c r="AK2" s="1236"/>
      <c r="AL2" s="1236"/>
      <c r="AM2" s="1236"/>
      <c r="AN2" s="1236"/>
      <c r="AO2" s="1236"/>
      <c r="AP2" s="1236"/>
      <c r="AQ2" s="1237"/>
      <c r="AS2" s="1316" t="s">
        <v>44</v>
      </c>
      <c r="AT2" s="1317"/>
      <c r="AV2" s="1397" t="str">
        <f>M2</f>
        <v>CS-Name</v>
      </c>
      <c r="AW2" s="1411"/>
      <c r="AX2" s="1411"/>
      <c r="AY2" s="1411"/>
      <c r="AZ2" s="1411"/>
      <c r="BA2" s="1411"/>
      <c r="BB2" s="1411"/>
      <c r="BC2" s="1412"/>
      <c r="BF2" s="1404" t="s">
        <v>313</v>
      </c>
      <c r="BG2" s="1405"/>
      <c r="BH2" s="1405"/>
      <c r="BI2" s="1405"/>
      <c r="BJ2" s="1405"/>
      <c r="BK2" s="1406"/>
      <c r="BM2" s="1421" t="s">
        <v>270</v>
      </c>
      <c r="BN2" s="1355"/>
      <c r="BO2" s="1355"/>
      <c r="BP2" s="1356"/>
      <c r="BR2" s="1421" t="s">
        <v>270</v>
      </c>
      <c r="BS2" s="1355"/>
      <c r="BT2" s="1355"/>
      <c r="BU2" s="1356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59"/>
      <c r="C3" s="1260"/>
      <c r="D3" s="1260"/>
      <c r="E3" s="1260"/>
      <c r="F3" s="1260"/>
      <c r="G3" s="1260"/>
      <c r="H3" s="1260"/>
      <c r="I3" s="1260"/>
      <c r="J3" s="1260"/>
      <c r="K3" s="1261"/>
      <c r="L3" s="1141"/>
      <c r="M3" s="1382"/>
      <c r="N3" s="1311"/>
      <c r="O3" s="1312"/>
      <c r="P3" s="1312"/>
      <c r="Q3" s="1312"/>
      <c r="R3" s="1312"/>
      <c r="S3" s="1312"/>
      <c r="T3" s="1312"/>
      <c r="U3" s="1312"/>
      <c r="V3" s="1312"/>
      <c r="W3" s="1312"/>
      <c r="X3" s="1312"/>
      <c r="Y3" s="1313"/>
      <c r="Z3" s="1119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0"/>
      <c r="AM3" s="1120"/>
      <c r="AN3" s="1120"/>
      <c r="AO3" s="1120"/>
      <c r="AP3" s="1120"/>
      <c r="AQ3" s="1238"/>
      <c r="AS3" s="415">
        <v>100</v>
      </c>
      <c r="AT3" s="412" t="s">
        <v>45</v>
      </c>
      <c r="AV3" s="1398"/>
      <c r="AW3" s="1413"/>
      <c r="AX3" s="1413"/>
      <c r="AY3" s="1413"/>
      <c r="AZ3" s="1413"/>
      <c r="BA3" s="1413"/>
      <c r="BB3" s="1413"/>
      <c r="BC3" s="1414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5" t="s">
        <v>307</v>
      </c>
      <c r="C4" s="1012"/>
      <c r="D4" s="1012"/>
      <c r="E4" s="1012"/>
      <c r="F4" s="1012"/>
      <c r="G4" s="1012"/>
      <c r="H4" s="1012"/>
      <c r="I4" s="1012"/>
      <c r="J4" s="1012"/>
      <c r="K4" s="1387"/>
      <c r="L4" s="1141"/>
      <c r="M4" s="1382"/>
      <c r="N4" s="1278" t="s">
        <v>3</v>
      </c>
      <c r="O4" s="1275"/>
      <c r="P4" s="1275"/>
      <c r="Q4" s="1274" t="s">
        <v>4</v>
      </c>
      <c r="R4" s="1275"/>
      <c r="S4" s="1293"/>
      <c r="T4" s="1287" t="str">
        <f>N4</f>
        <v>Cartesian Coordinates</v>
      </c>
      <c r="U4" s="1242"/>
      <c r="V4" s="1288"/>
      <c r="W4" s="1242" t="str">
        <f>Q4</f>
        <v>Polar XY; Cartesian Z</v>
      </c>
      <c r="X4" s="1242"/>
      <c r="Y4" s="1258"/>
      <c r="Z4" s="1377" t="s">
        <v>3</v>
      </c>
      <c r="AA4" s="1378"/>
      <c r="AB4" s="1378"/>
      <c r="AC4" s="1378"/>
      <c r="AD4" s="1378"/>
      <c r="AE4" s="1378"/>
      <c r="AF4" s="1378"/>
      <c r="AG4" s="1417" t="s">
        <v>31</v>
      </c>
      <c r="AH4" s="1378"/>
      <c r="AI4" s="1378"/>
      <c r="AJ4" s="1418"/>
      <c r="AK4" s="1424" t="s">
        <v>32</v>
      </c>
      <c r="AL4" s="1425"/>
      <c r="AM4" s="1425"/>
      <c r="AN4" s="1425"/>
      <c r="AO4" s="1425"/>
      <c r="AP4" s="1425"/>
      <c r="AQ4" s="1426"/>
      <c r="AS4" s="416">
        <v>0</v>
      </c>
      <c r="AT4" s="413" t="s">
        <v>46</v>
      </c>
      <c r="AV4" s="1398"/>
      <c r="AW4" s="1415"/>
      <c r="AX4" s="1415"/>
      <c r="AY4" s="1415"/>
      <c r="AZ4" s="1416"/>
      <c r="BA4" s="1415" t="str">
        <f>Z2</f>
        <v>PDC Orientation</v>
      </c>
      <c r="BB4" s="1415"/>
      <c r="BC4" s="1416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9" t="s">
        <v>372</v>
      </c>
      <c r="IF4" s="99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59" t="str">
        <f>CONCATENATE(B7," ; ",E7," ; ",H8)</f>
        <v>Absolute-Point ; Incremental-Vector Point ; Radius</v>
      </c>
      <c r="C5" s="1260"/>
      <c r="D5" s="1260"/>
      <c r="E5" s="1260"/>
      <c r="F5" s="1260"/>
      <c r="G5" s="1260"/>
      <c r="H5" s="1260"/>
      <c r="I5" s="1260"/>
      <c r="J5" s="1260"/>
      <c r="K5" s="1261"/>
      <c r="L5" s="813" t="str" cm="1">
        <f t="array" ref="L5">IF(OR(IF(LEFT($K$9:$K$150,4)="&lt;&gt;CS",TRUE,FALSE)),"Wrong CS","")</f>
        <v/>
      </c>
      <c r="M5" s="1382"/>
      <c r="N5" s="1298" t="s">
        <v>5</v>
      </c>
      <c r="O5" s="1299"/>
      <c r="P5" s="1299"/>
      <c r="Q5" s="1351" t="s">
        <v>6</v>
      </c>
      <c r="R5" s="1299"/>
      <c r="S5" s="1337"/>
      <c r="T5" s="1304" t="str">
        <f>CONCATENATE("Relative to ",M8,"'s θ &amp; Z; Z Axis")</f>
        <v>Relative to 's θ &amp; Z; Z Axis</v>
      </c>
      <c r="U5" s="1249"/>
      <c r="V5" s="1328"/>
      <c r="W5" s="1249" t="str">
        <f>CONCATENATE("Relative to ",M8,"'s θ &amp; Z; Z Axis")</f>
        <v>Relative to 's θ &amp; Z; Z Axis</v>
      </c>
      <c r="X5" s="1249"/>
      <c r="Y5" s="1289"/>
      <c r="Z5" s="1279" t="str">
        <f>N5</f>
        <v>Relative to World_CS</v>
      </c>
      <c r="AA5" s="1249"/>
      <c r="AB5" s="1249"/>
      <c r="AC5" s="1249"/>
      <c r="AD5" s="1249"/>
      <c r="AE5" s="1249"/>
      <c r="AF5" s="1249"/>
      <c r="AG5" s="1304" t="str">
        <f>N5</f>
        <v>Relative to World_CS</v>
      </c>
      <c r="AH5" s="1249"/>
      <c r="AI5" s="1249"/>
      <c r="AJ5" s="1250"/>
      <c r="AK5" s="1336" t="s">
        <v>7</v>
      </c>
      <c r="AL5" s="1299"/>
      <c r="AM5" s="1299"/>
      <c r="AN5" s="1299"/>
      <c r="AO5" s="1299"/>
      <c r="AP5" s="1299"/>
      <c r="AQ5" s="1337"/>
      <c r="AS5" s="167">
        <f>(((AS4*12)/60)/AS3)</f>
        <v>0</v>
      </c>
      <c r="AT5" s="413" t="s">
        <v>47</v>
      </c>
      <c r="AV5" s="1398"/>
      <c r="AW5" s="1287" t="str">
        <f>W4</f>
        <v>Polar XY; Cartesian Z</v>
      </c>
      <c r="AX5" s="1242"/>
      <c r="AY5" s="1242"/>
      <c r="AZ5" s="1142" t="s">
        <v>104</v>
      </c>
      <c r="BA5" s="1242" t="str">
        <f>AK4</f>
        <v>Polar Z Projection → XZ Plane</v>
      </c>
      <c r="BB5" s="1242"/>
      <c r="BC5" s="1243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62"/>
      <c r="C6" s="1263"/>
      <c r="D6" s="1263"/>
      <c r="E6" s="1263"/>
      <c r="F6" s="1263"/>
      <c r="G6" s="1263"/>
      <c r="H6" s="1263"/>
      <c r="I6" s="1263"/>
      <c r="J6" s="1263"/>
      <c r="K6" s="1264"/>
      <c r="L6" s="1141" t="str" cm="1">
        <f t="array" ref="L6">IF(OR($K$9:$K$150="Inactive"),"Inactive Element","")</f>
        <v/>
      </c>
      <c r="M6" s="1382"/>
      <c r="N6" s="1294" t="s">
        <v>8</v>
      </c>
      <c r="O6" s="1296" t="s">
        <v>9</v>
      </c>
      <c r="P6" s="1349" t="s">
        <v>10</v>
      </c>
      <c r="Q6" s="1300" t="s">
        <v>11</v>
      </c>
      <c r="R6" s="1301"/>
      <c r="S6" s="1290" t="s">
        <v>10</v>
      </c>
      <c r="T6" s="1324" t="str">
        <f>N6</f>
        <v>X</v>
      </c>
      <c r="U6" s="1326" t="str">
        <f>O6</f>
        <v>Y</v>
      </c>
      <c r="V6" s="1285" t="str">
        <f>P6</f>
        <v>Z</v>
      </c>
      <c r="W6" s="1244" t="str">
        <f>Q6</f>
        <v>Projected XY</v>
      </c>
      <c r="X6" s="1245"/>
      <c r="Y6" s="1322" t="str">
        <f>S6</f>
        <v>Z</v>
      </c>
      <c r="Z6" s="1306" t="s">
        <v>12</v>
      </c>
      <c r="AA6" s="1269"/>
      <c r="AB6" s="1269"/>
      <c r="AC6" s="1307"/>
      <c r="AD6" s="1274" t="s">
        <v>13</v>
      </c>
      <c r="AE6" s="1275"/>
      <c r="AF6" s="1275"/>
      <c r="AG6" s="1305" t="s">
        <v>7</v>
      </c>
      <c r="AH6" s="1275"/>
      <c r="AI6" s="1274" t="s">
        <v>14</v>
      </c>
      <c r="AJ6" s="1293"/>
      <c r="AK6" s="1287" t="str">
        <f>AD6</f>
        <v>Unit Vector</v>
      </c>
      <c r="AL6" s="1242"/>
      <c r="AM6" s="1243"/>
      <c r="AN6" s="34" t="s">
        <v>15</v>
      </c>
      <c r="AO6" s="35" t="s">
        <v>16</v>
      </c>
      <c r="AP6" s="680" t="s">
        <v>17</v>
      </c>
      <c r="AQ6" s="1379" t="s">
        <v>108</v>
      </c>
      <c r="AS6" s="168">
        <f>(AS5/360)</f>
        <v>0</v>
      </c>
      <c r="AT6" s="414" t="s">
        <v>48</v>
      </c>
      <c r="AV6" s="1398"/>
      <c r="AW6" s="1304" t="str">
        <f>W5</f>
        <v>Relative to 's θ &amp; Z; Z Axis</v>
      </c>
      <c r="AX6" s="1249"/>
      <c r="AY6" s="1249"/>
      <c r="AZ6" s="1394"/>
      <c r="BA6" s="1249" t="str">
        <f>AK5</f>
        <v>Vector Along X Axis</v>
      </c>
      <c r="BB6" s="1249"/>
      <c r="BC6" s="1250"/>
      <c r="BD6" s="417"/>
      <c r="BF6" s="410">
        <f>SUM(AZ9:AZ150)</f>
        <v>0</v>
      </c>
      <c r="BG6" s="1376" t="s">
        <v>309</v>
      </c>
      <c r="BH6" s="1376"/>
      <c r="BI6" s="1376"/>
      <c r="BJ6" s="1376"/>
      <c r="BK6" s="1376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80" t="s">
        <v>40</v>
      </c>
      <c r="C7" s="1281"/>
      <c r="D7" s="1282"/>
      <c r="E7" s="1283" t="s">
        <v>41</v>
      </c>
      <c r="F7" s="1281"/>
      <c r="G7" s="1284"/>
      <c r="H7" s="979" t="s">
        <v>305</v>
      </c>
      <c r="I7" s="977"/>
      <c r="J7" s="978"/>
      <c r="K7" s="488"/>
      <c r="L7" s="1141"/>
      <c r="M7" s="1383"/>
      <c r="N7" s="1295"/>
      <c r="O7" s="1297"/>
      <c r="P7" s="1350"/>
      <c r="Q7" s="36" t="s">
        <v>18</v>
      </c>
      <c r="R7" s="2" t="s">
        <v>19</v>
      </c>
      <c r="S7" s="1291"/>
      <c r="T7" s="1325"/>
      <c r="U7" s="1327"/>
      <c r="V7" s="1286"/>
      <c r="W7" s="37" t="str">
        <f>Q7</f>
        <v>&lt; θ°</v>
      </c>
      <c r="X7" s="27" t="str">
        <f>R7</f>
        <v>r</v>
      </c>
      <c r="Y7" s="132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0"/>
      <c r="AS7" s="1419" t="s">
        <v>54</v>
      </c>
      <c r="AT7" s="1422" t="s">
        <v>53</v>
      </c>
      <c r="AV7" s="1398"/>
      <c r="AW7" s="1393" t="str">
        <f>$W$6</f>
        <v>Projected XY</v>
      </c>
      <c r="AX7" s="1245"/>
      <c r="AY7" s="1395" t="str">
        <f>$Y$6</f>
        <v>Z</v>
      </c>
      <c r="AZ7" s="1394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6"/>
      <c r="BH7" s="1376"/>
      <c r="BI7" s="1376"/>
      <c r="BJ7" s="1376"/>
      <c r="BK7" s="1376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85" t="s">
        <v>33</v>
      </c>
      <c r="IH7" s="1175" t="s">
        <v>376</v>
      </c>
      <c r="II7" s="981" t="s">
        <v>324</v>
      </c>
      <c r="IJ7" s="982"/>
      <c r="IK7" s="982"/>
      <c r="IL7" s="977"/>
      <c r="IM7" s="977"/>
      <c r="IN7" s="977"/>
      <c r="IO7" s="978"/>
      <c r="IP7" s="979" t="s">
        <v>320</v>
      </c>
      <c r="IQ7" s="977"/>
      <c r="IR7" s="977"/>
      <c r="IS7" s="977"/>
      <c r="IT7" s="977"/>
      <c r="IU7" s="979" t="s">
        <v>319</v>
      </c>
      <c r="IV7" s="977"/>
      <c r="IW7" s="977"/>
      <c r="IX7" s="977"/>
      <c r="IY7" s="978"/>
      <c r="JA7" s="725"/>
      <c r="JB7" s="1427" t="s">
        <v>355</v>
      </c>
      <c r="JC7" s="1352"/>
      <c r="JD7" s="1352"/>
      <c r="JE7" s="135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41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0"/>
      <c r="AT8" s="1423"/>
      <c r="AV8" s="1399"/>
      <c r="AW8" s="46" t="str">
        <f>$W$7</f>
        <v>&lt; θ°</v>
      </c>
      <c r="AX8" s="27" t="str">
        <f>$X$7</f>
        <v>r</v>
      </c>
      <c r="AY8" s="1396"/>
      <c r="AZ8" s="1143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7"/>
      <c r="IH8" s="117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4" t="s">
        <v>356</v>
      </c>
      <c r="JC19" s="1355"/>
      <c r="JD19" s="1355"/>
      <c r="JE19" s="1355"/>
      <c r="JF19" s="1355"/>
      <c r="JG19" s="1355"/>
      <c r="JH19" s="1355"/>
      <c r="JI19" s="1356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7" t="s">
        <v>360</v>
      </c>
      <c r="JC20" s="1358"/>
      <c r="JD20" s="1358"/>
      <c r="JE20" s="1358"/>
      <c r="JF20" s="1136" t="s">
        <v>361</v>
      </c>
      <c r="JG20" s="1137"/>
      <c r="JH20" s="1137"/>
      <c r="JI20" s="113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1"/>
      <c r="JC21" s="1212"/>
      <c r="JD21" s="1212"/>
      <c r="JE21" s="1212"/>
      <c r="JF21" s="1139" t="s">
        <v>349</v>
      </c>
      <c r="JG21" s="1140"/>
      <c r="JH21" s="1359" t="s">
        <v>362</v>
      </c>
      <c r="JI21" s="1360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1" t="str">
        <f>$W$6</f>
        <v>Projected XY</v>
      </c>
      <c r="AX152" s="1392"/>
      <c r="AY152" s="1409" t="str">
        <f>$Y$6</f>
        <v>Z</v>
      </c>
      <c r="AZ152" s="140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0"/>
      <c r="AZ153" s="140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65" t="s">
        <v>42</v>
      </c>
      <c r="C157" s="1266"/>
      <c r="D157" s="1266"/>
      <c r="E157" s="1266"/>
      <c r="F157" s="1266"/>
      <c r="G157" s="1266"/>
      <c r="H157" s="1266"/>
      <c r="I157" s="1266"/>
      <c r="J157" s="1266"/>
      <c r="K157" s="126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68"/>
      <c r="C158" s="1269"/>
      <c r="D158" s="1269"/>
      <c r="E158" s="1269"/>
      <c r="F158" s="1269"/>
      <c r="G158" s="1269"/>
      <c r="H158" s="1269"/>
      <c r="I158" s="1269"/>
      <c r="J158" s="1269"/>
      <c r="K158" s="1270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71"/>
      <c r="C159" s="1272"/>
      <c r="D159" s="1272"/>
      <c r="E159" s="1272"/>
      <c r="F159" s="1272"/>
      <c r="G159" s="1272"/>
      <c r="H159" s="1272"/>
      <c r="I159" s="1272"/>
      <c r="J159" s="1272"/>
      <c r="K159" s="1273"/>
      <c r="AQ159" s="162"/>
      <c r="BD159" s="417"/>
    </row>
    <row r="160" spans="1:259" ht="15" customHeight="1" x14ac:dyDescent="0.25">
      <c r="B160" s="1259" t="str">
        <f>CONCATENATE(B162," ; ",E162," ; ",H163)</f>
        <v>Absolute-Point ; Incremental-Vector Point ; Radius</v>
      </c>
      <c r="C160" s="1260"/>
      <c r="D160" s="1260"/>
      <c r="E160" s="1260"/>
      <c r="F160" s="1260"/>
      <c r="G160" s="1260"/>
      <c r="H160" s="1260"/>
      <c r="I160" s="1260"/>
      <c r="J160" s="1260"/>
      <c r="K160" s="1261"/>
      <c r="AQ160" s="162"/>
      <c r="BD160" s="417"/>
    </row>
    <row r="161" spans="2:56" ht="15" customHeight="1" x14ac:dyDescent="0.25">
      <c r="B161" s="1262"/>
      <c r="C161" s="1263"/>
      <c r="D161" s="1263"/>
      <c r="E161" s="1263"/>
      <c r="F161" s="1263"/>
      <c r="G161" s="1263"/>
      <c r="H161" s="1263"/>
      <c r="I161" s="1263"/>
      <c r="J161" s="1263"/>
      <c r="K161" s="1264"/>
      <c r="AQ161" s="162"/>
      <c r="BD161" s="417"/>
    </row>
    <row r="162" spans="2:56" ht="15" customHeight="1" x14ac:dyDescent="0.25">
      <c r="B162" s="1280" t="s">
        <v>40</v>
      </c>
      <c r="C162" s="1281"/>
      <c r="D162" s="1282"/>
      <c r="E162" s="1283" t="s">
        <v>41</v>
      </c>
      <c r="F162" s="1281"/>
      <c r="G162" s="1284"/>
      <c r="H162" s="979" t="s">
        <v>305</v>
      </c>
      <c r="I162" s="977"/>
      <c r="J162" s="978"/>
      <c r="K162" s="488"/>
      <c r="M162" s="1101" t="s">
        <v>304</v>
      </c>
      <c r="N162" s="1388"/>
      <c r="O162" s="1400" t="s">
        <v>283</v>
      </c>
      <c r="P162" s="1401"/>
      <c r="Q162" s="1402"/>
      <c r="R162" s="1403" t="s">
        <v>41</v>
      </c>
      <c r="S162" s="1401"/>
      <c r="T162" s="140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9"/>
      <c r="N163" s="1390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3.1030000000000002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3.1059999999999999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3.1150000000000002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3.121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3.1269999999999998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3.133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3.1389999999999998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3.145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3.2149999999999999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3.2210000000000001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3.2269999999999999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3.2330000000000001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3.2389999999999999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3.2450000000000001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4.1139999999999999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4.12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4.1260000000000003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4.1319999999999997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4.1379999999999999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4.1440000000000001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4.22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4.226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4.2320000000000002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4.2380000000000004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4.2439999999999998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5.1020000000000003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5.1050000000000004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5.1079999999999997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5.1130000000000004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5.1189999999999998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5.125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5.1310000000000002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5.1369999999999996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5.1429999999999998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5.2130000000000001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5.2190000000000003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5.2249999999999996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5.2309999999999999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5.2370000000000001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5.2430000000000003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6.1120000000000001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6.1180000000000003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6.1239999999999997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6.1360000000000001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6.1420000000000003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6.218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6.2240000000000002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6.2359999999999998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6.242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0" t="s">
        <v>33</v>
      </c>
      <c r="C7" s="1428" t="s">
        <v>105</v>
      </c>
      <c r="D7" s="1429"/>
      <c r="E7" s="1432" t="s">
        <v>110</v>
      </c>
    </row>
    <row r="8" spans="1:5" ht="15.75" thickBot="1" x14ac:dyDescent="0.3">
      <c r="A8" s="31" t="s">
        <v>422</v>
      </c>
      <c r="B8" s="1431"/>
      <c r="C8" s="959" t="s">
        <v>8</v>
      </c>
      <c r="D8" s="960" t="s">
        <v>9</v>
      </c>
      <c r="E8" s="1433"/>
    </row>
    <row r="9" spans="1:5" ht="15.75" thickTop="1" x14ac:dyDescent="0.25">
      <c r="A9" s="31">
        <f t="shared" ref="A9:A53" si="0">MOD(B9*10,1)*100</f>
        <v>0.99999999999997868</v>
      </c>
      <c r="B9" s="956">
        <v>1.101</v>
      </c>
      <c r="C9" s="961">
        <v>0.2011</v>
      </c>
      <c r="D9" s="962">
        <v>-0.20499999999999999</v>
      </c>
      <c r="E9" s="963">
        <v>7.7100000000000002E-2</v>
      </c>
    </row>
    <row r="10" spans="1:5" x14ac:dyDescent="0.25">
      <c r="A10" s="31">
        <f t="shared" si="0"/>
        <v>2.0000000000003126</v>
      </c>
      <c r="B10" s="957">
        <v>5.1020000000000003</v>
      </c>
      <c r="C10" s="964">
        <v>0.46260000000000001</v>
      </c>
      <c r="D10" s="965">
        <v>7.2700000000000001E-2</v>
      </c>
      <c r="E10" s="966">
        <v>5.7200000000000001E-2</v>
      </c>
    </row>
    <row r="11" spans="1:5" x14ac:dyDescent="0.25">
      <c r="A11" s="31">
        <f t="shared" si="0"/>
        <v>3.0000000000001137</v>
      </c>
      <c r="B11" s="957">
        <v>3.1030000000000002</v>
      </c>
      <c r="C11" s="964">
        <v>0.69930000000000003</v>
      </c>
      <c r="D11" s="965">
        <v>5.91E-2</v>
      </c>
      <c r="E11" s="966">
        <v>6.0400000000000002E-2</v>
      </c>
    </row>
    <row r="12" spans="1:5" x14ac:dyDescent="0.25">
      <c r="A12" s="31">
        <f t="shared" si="0"/>
        <v>4.0000000000000924</v>
      </c>
      <c r="B12" s="957">
        <v>1.1040000000000001</v>
      </c>
      <c r="C12" s="964">
        <v>0.93310000000000004</v>
      </c>
      <c r="D12" s="965">
        <v>3.9100000000000003E-2</v>
      </c>
      <c r="E12" s="966">
        <v>5.7200000000000001E-2</v>
      </c>
    </row>
    <row r="13" spans="1:5" x14ac:dyDescent="0.25">
      <c r="A13" s="31">
        <f t="shared" si="0"/>
        <v>5.0000000000004263</v>
      </c>
      <c r="B13" s="956">
        <v>5.1050000000000004</v>
      </c>
      <c r="C13" s="961">
        <v>1.161</v>
      </c>
      <c r="D13" s="962">
        <v>0.2661</v>
      </c>
      <c r="E13" s="963">
        <v>5.6800000000000003E-2</v>
      </c>
    </row>
    <row r="14" spans="1:5" x14ac:dyDescent="0.25">
      <c r="A14" s="31">
        <f t="shared" si="0"/>
        <v>5.9999999999998721</v>
      </c>
      <c r="B14" s="957">
        <v>3.1059999999999999</v>
      </c>
      <c r="C14" s="964">
        <v>1.3966000000000001</v>
      </c>
      <c r="D14" s="965">
        <v>0.24829999999999999</v>
      </c>
      <c r="E14" s="966">
        <v>6.0299999999999999E-2</v>
      </c>
    </row>
    <row r="15" spans="1:5" x14ac:dyDescent="0.25">
      <c r="A15" s="31">
        <f t="shared" si="0"/>
        <v>7.0000000000000284</v>
      </c>
      <c r="B15" s="957">
        <v>1.107</v>
      </c>
      <c r="C15" s="964">
        <v>1.6409</v>
      </c>
      <c r="D15" s="965">
        <v>0.2258</v>
      </c>
      <c r="E15" s="966">
        <v>6.1899999999999997E-2</v>
      </c>
    </row>
    <row r="16" spans="1:5" x14ac:dyDescent="0.25">
      <c r="A16" s="31">
        <f t="shared" si="0"/>
        <v>7.9999999999998295</v>
      </c>
      <c r="B16" s="957">
        <v>5.1079999999999997</v>
      </c>
      <c r="C16" s="964">
        <v>1.8936999999999999</v>
      </c>
      <c r="D16" s="965">
        <v>0.43959999999999999</v>
      </c>
      <c r="E16" s="966">
        <v>6.4399999999999999E-2</v>
      </c>
    </row>
    <row r="17" spans="1:5" x14ac:dyDescent="0.25">
      <c r="A17" s="31">
        <f t="shared" si="0"/>
        <v>8.9999999999999858</v>
      </c>
      <c r="B17" s="957">
        <v>3.109</v>
      </c>
      <c r="C17" s="964">
        <v>2.1025999999999998</v>
      </c>
      <c r="D17" s="965">
        <v>0.4032</v>
      </c>
      <c r="E17" s="966">
        <v>3.61E-2</v>
      </c>
    </row>
    <row r="18" spans="1:5" x14ac:dyDescent="0.25">
      <c r="A18" s="31">
        <f t="shared" si="0"/>
        <v>9.9999999999997868</v>
      </c>
      <c r="B18" s="957">
        <v>2.11</v>
      </c>
      <c r="C18" s="964">
        <v>2.2400000000000002</v>
      </c>
      <c r="D18" s="965">
        <v>0.36080000000000001</v>
      </c>
      <c r="E18" s="966">
        <v>3.6799999999999999E-2</v>
      </c>
    </row>
    <row r="19" spans="1:5" x14ac:dyDescent="0.25">
      <c r="A19" s="31">
        <f t="shared" si="0"/>
        <v>10.999999999999943</v>
      </c>
      <c r="B19" s="957">
        <v>1.111</v>
      </c>
      <c r="C19" s="964">
        <v>2.3776000000000002</v>
      </c>
      <c r="D19" s="965">
        <v>0.31919999999999998</v>
      </c>
      <c r="E19" s="966">
        <v>3.3799999999999997E-2</v>
      </c>
    </row>
    <row r="20" spans="1:5" x14ac:dyDescent="0.25">
      <c r="A20" s="31">
        <f t="shared" si="0"/>
        <v>12.000000000000455</v>
      </c>
      <c r="B20" s="957">
        <v>6.1120000000000001</v>
      </c>
      <c r="C20" s="964">
        <v>2.5207000000000002</v>
      </c>
      <c r="D20" s="965">
        <v>0.26779999999999998</v>
      </c>
      <c r="E20" s="966">
        <v>3.5200000000000002E-2</v>
      </c>
    </row>
    <row r="21" spans="1:5" x14ac:dyDescent="0.25">
      <c r="A21" s="31">
        <f t="shared" si="0"/>
        <v>13.000000000000256</v>
      </c>
      <c r="B21" s="957">
        <v>5.1130000000000004</v>
      </c>
      <c r="C21" s="964">
        <v>2.6514000000000002</v>
      </c>
      <c r="D21" s="965">
        <v>0.45669999999999999</v>
      </c>
      <c r="E21" s="966">
        <v>3.27E-2</v>
      </c>
    </row>
    <row r="22" spans="1:5" x14ac:dyDescent="0.25">
      <c r="A22" s="31">
        <f t="shared" si="0"/>
        <v>14.000000000000057</v>
      </c>
      <c r="B22" s="957">
        <v>4.1139999999999999</v>
      </c>
      <c r="C22" s="964">
        <v>2.7862</v>
      </c>
      <c r="D22" s="965">
        <v>0.38790000000000002</v>
      </c>
      <c r="E22" s="966">
        <v>3.61E-2</v>
      </c>
    </row>
    <row r="23" spans="1:5" x14ac:dyDescent="0.25">
      <c r="A23" s="31">
        <f t="shared" si="0"/>
        <v>15.000000000000213</v>
      </c>
      <c r="B23" s="957">
        <v>3.1150000000000002</v>
      </c>
      <c r="C23" s="964">
        <v>2.9211999999999998</v>
      </c>
      <c r="D23" s="965">
        <v>0.31390000000000001</v>
      </c>
      <c r="E23" s="966">
        <v>3.6299999999999999E-2</v>
      </c>
    </row>
    <row r="24" spans="1:5" x14ac:dyDescent="0.25">
      <c r="A24" s="31">
        <f t="shared" si="0"/>
        <v>16.000000000000014</v>
      </c>
      <c r="B24" s="957">
        <v>2.1160000000000001</v>
      </c>
      <c r="C24" s="964">
        <v>3.0628000000000002</v>
      </c>
      <c r="D24" s="965">
        <v>0.23039999999999999</v>
      </c>
      <c r="E24" s="966">
        <v>3.3700000000000001E-2</v>
      </c>
    </row>
    <row r="25" spans="1:5" x14ac:dyDescent="0.25">
      <c r="A25" s="31">
        <f t="shared" si="0"/>
        <v>16.999999999999993</v>
      </c>
      <c r="B25" s="957">
        <v>1.117</v>
      </c>
      <c r="C25" s="964">
        <v>3.1920000000000002</v>
      </c>
      <c r="D25" s="965">
        <v>0.13950000000000001</v>
      </c>
      <c r="E25" s="966">
        <v>3.1199999999999999E-2</v>
      </c>
    </row>
    <row r="26" spans="1:5" x14ac:dyDescent="0.25">
      <c r="A26" s="31">
        <f t="shared" si="0"/>
        <v>18.000000000000682</v>
      </c>
      <c r="B26" s="957">
        <v>6.1180000000000003</v>
      </c>
      <c r="C26" s="964">
        <v>3.3212999999999999</v>
      </c>
      <c r="D26" s="965">
        <v>0.29099999999999998</v>
      </c>
      <c r="E26" s="966">
        <v>3.2000000000000001E-2</v>
      </c>
    </row>
    <row r="27" spans="1:5" x14ac:dyDescent="0.25">
      <c r="A27" s="31">
        <f t="shared" si="0"/>
        <v>18.000000000000682</v>
      </c>
      <c r="B27" s="957">
        <v>6.1180000000000003</v>
      </c>
      <c r="C27" s="964">
        <v>3.3212999999999999</v>
      </c>
      <c r="D27" s="965">
        <v>0.29099999999999998</v>
      </c>
      <c r="E27" s="966">
        <v>3.2000000000000001E-2</v>
      </c>
    </row>
    <row r="28" spans="1:5" x14ac:dyDescent="0.25">
      <c r="A28" s="31">
        <f t="shared" si="0"/>
        <v>18.999999999999773</v>
      </c>
      <c r="B28" s="957">
        <v>5.1189999999999998</v>
      </c>
      <c r="C28" s="964">
        <v>3.44</v>
      </c>
      <c r="D28" s="965">
        <v>0.1875</v>
      </c>
      <c r="E28" s="966">
        <v>2.9100000000000001E-2</v>
      </c>
    </row>
    <row r="29" spans="1:5" x14ac:dyDescent="0.25">
      <c r="A29" s="31">
        <f t="shared" si="0"/>
        <v>20.000000000000284</v>
      </c>
      <c r="B29" s="957">
        <v>4.12</v>
      </c>
      <c r="C29" s="964">
        <v>3.5615000000000001</v>
      </c>
      <c r="D29" s="965">
        <v>7.8200000000000006E-2</v>
      </c>
      <c r="E29" s="966">
        <v>3.0099999999999998E-2</v>
      </c>
    </row>
    <row r="30" spans="1:5" x14ac:dyDescent="0.25">
      <c r="A30" s="31">
        <f t="shared" si="0"/>
        <v>21.000000000000085</v>
      </c>
      <c r="B30" s="957">
        <v>3.121</v>
      </c>
      <c r="C30" s="964">
        <v>3.6800999999999999</v>
      </c>
      <c r="D30" s="965">
        <v>-4.1399999999999999E-2</v>
      </c>
      <c r="E30" s="966">
        <v>2.9899999999999999E-2</v>
      </c>
    </row>
    <row r="31" spans="1:5" x14ac:dyDescent="0.25">
      <c r="A31" s="31">
        <f t="shared" si="0"/>
        <v>21.999999999999886</v>
      </c>
      <c r="B31" s="957">
        <v>2.1219999999999999</v>
      </c>
      <c r="C31" s="964">
        <v>3.7938000000000001</v>
      </c>
      <c r="D31" s="965">
        <v>-0.16739999999999999</v>
      </c>
      <c r="E31" s="966">
        <v>2.8000000000000001E-2</v>
      </c>
    </row>
    <row r="32" spans="1:5" x14ac:dyDescent="0.25">
      <c r="A32" s="31">
        <f t="shared" si="0"/>
        <v>23.000000000000043</v>
      </c>
      <c r="B32" s="957">
        <v>1.123</v>
      </c>
      <c r="C32" s="964">
        <v>3.9011999999999998</v>
      </c>
      <c r="D32" s="965">
        <v>-0.29699999999999999</v>
      </c>
      <c r="E32" s="966">
        <v>2.5399999999999999E-2</v>
      </c>
    </row>
    <row r="33" spans="1:5" x14ac:dyDescent="0.25">
      <c r="A33" s="31">
        <f t="shared" si="0"/>
        <v>23.999999999999488</v>
      </c>
      <c r="B33" s="957">
        <v>6.1239999999999997</v>
      </c>
      <c r="C33" s="964">
        <v>4.0052000000000003</v>
      </c>
      <c r="D33" s="965">
        <v>-0.1827</v>
      </c>
      <c r="E33" s="966">
        <v>2.5600000000000001E-2</v>
      </c>
    </row>
    <row r="34" spans="1:5" x14ac:dyDescent="0.25">
      <c r="A34" s="31">
        <f t="shared" si="0"/>
        <v>23.999999999999488</v>
      </c>
      <c r="B34" s="957">
        <v>6.1239999999999997</v>
      </c>
      <c r="C34" s="964">
        <v>4.0052000000000003</v>
      </c>
      <c r="D34" s="965">
        <v>-0.1827</v>
      </c>
      <c r="E34" s="966">
        <v>2.5600000000000001E-2</v>
      </c>
    </row>
    <row r="35" spans="1:5" x14ac:dyDescent="0.25">
      <c r="A35" s="31">
        <f t="shared" si="0"/>
        <v>25</v>
      </c>
      <c r="B35" s="957">
        <v>5.125</v>
      </c>
      <c r="C35" s="964">
        <v>4.0998000000000001</v>
      </c>
      <c r="D35" s="965">
        <v>-0.32050000000000001</v>
      </c>
      <c r="E35" s="966">
        <v>2.29E-2</v>
      </c>
    </row>
    <row r="36" spans="1:5" x14ac:dyDescent="0.25">
      <c r="A36" s="31">
        <f t="shared" si="0"/>
        <v>26.000000000000512</v>
      </c>
      <c r="B36" s="957">
        <v>4.1260000000000003</v>
      </c>
      <c r="C36" s="964">
        <v>4.1936</v>
      </c>
      <c r="D36" s="965">
        <v>-0.4632</v>
      </c>
      <c r="E36" s="966">
        <v>2.3E-2</v>
      </c>
    </row>
    <row r="37" spans="1:5" x14ac:dyDescent="0.25">
      <c r="A37" s="31">
        <f t="shared" si="0"/>
        <v>26.999999999999602</v>
      </c>
      <c r="B37" s="957">
        <v>3.1269999999999998</v>
      </c>
      <c r="C37" s="964">
        <v>4.2827999999999999</v>
      </c>
      <c r="D37" s="965">
        <v>-0.61480000000000001</v>
      </c>
      <c r="E37" s="966">
        <v>2.2200000000000001E-2</v>
      </c>
    </row>
    <row r="38" spans="1:5" x14ac:dyDescent="0.25">
      <c r="A38" s="31">
        <f t="shared" si="0"/>
        <v>28.000000000000114</v>
      </c>
      <c r="B38" s="957">
        <v>2.1280000000000001</v>
      </c>
      <c r="C38" s="964">
        <v>4.367</v>
      </c>
      <c r="D38" s="965">
        <v>-0.77129999999999999</v>
      </c>
      <c r="E38" s="966">
        <v>2.0199999999999999E-2</v>
      </c>
    </row>
    <row r="39" spans="1:5" x14ac:dyDescent="0.25">
      <c r="A39" s="31">
        <f t="shared" si="0"/>
        <v>28.999999999999915</v>
      </c>
      <c r="B39" s="957">
        <v>1.129</v>
      </c>
      <c r="C39" s="964">
        <v>4.4440999999999997</v>
      </c>
      <c r="D39" s="965">
        <v>-0.92930000000000001</v>
      </c>
      <c r="E39" s="966">
        <v>1.7899999999999999E-2</v>
      </c>
    </row>
    <row r="40" spans="1:5" x14ac:dyDescent="0.25">
      <c r="A40" s="31">
        <f t="shared" si="0"/>
        <v>29.999999999999716</v>
      </c>
      <c r="B40" s="957">
        <v>6.13</v>
      </c>
      <c r="C40" s="964">
        <v>4.5156999999999998</v>
      </c>
      <c r="D40" s="965">
        <v>-0.84099999999999997</v>
      </c>
      <c r="E40" s="966">
        <v>1.7399999999999999E-2</v>
      </c>
    </row>
    <row r="41" spans="1:5" x14ac:dyDescent="0.25">
      <c r="A41" s="31">
        <f t="shared" si="0"/>
        <v>29.999999999999716</v>
      </c>
      <c r="B41" s="957">
        <v>6.13</v>
      </c>
      <c r="C41" s="964">
        <v>4.5156999999999998</v>
      </c>
      <c r="D41" s="965">
        <v>-0.84099999999999997</v>
      </c>
      <c r="E41" s="966">
        <v>1.7399999999999999E-2</v>
      </c>
    </row>
    <row r="42" spans="1:5" x14ac:dyDescent="0.25">
      <c r="A42" s="31">
        <f t="shared" si="0"/>
        <v>31.000000000000227</v>
      </c>
      <c r="B42" s="957">
        <v>5.1310000000000002</v>
      </c>
      <c r="C42" s="964">
        <v>4.5797999999999996</v>
      </c>
      <c r="D42" s="965">
        <v>-1.0032000000000001</v>
      </c>
      <c r="E42" s="966">
        <v>1.5100000000000001E-2</v>
      </c>
    </row>
    <row r="43" spans="1:5" x14ac:dyDescent="0.25">
      <c r="A43" s="31">
        <f t="shared" si="0"/>
        <v>31.999999999999318</v>
      </c>
      <c r="B43" s="957">
        <v>4.1319999999999997</v>
      </c>
      <c r="C43" s="964">
        <v>4.6402000000000001</v>
      </c>
      <c r="D43" s="965">
        <v>-1.1688000000000001</v>
      </c>
      <c r="E43" s="966">
        <v>1.4500000000000001E-2</v>
      </c>
    </row>
    <row r="44" spans="1:5" x14ac:dyDescent="0.25">
      <c r="A44" s="31">
        <f t="shared" si="0"/>
        <v>32.999999999999829</v>
      </c>
      <c r="B44" s="957">
        <v>3.133</v>
      </c>
      <c r="C44" s="964">
        <v>4.6947999999999999</v>
      </c>
      <c r="D44" s="965">
        <v>-1.3412999999999999</v>
      </c>
      <c r="E44" s="966">
        <v>1.34E-2</v>
      </c>
    </row>
    <row r="45" spans="1:5" x14ac:dyDescent="0.25">
      <c r="A45" s="31">
        <f t="shared" si="0"/>
        <v>33.999999999999986</v>
      </c>
      <c r="B45" s="957">
        <v>2.1339999999999999</v>
      </c>
      <c r="C45" s="964">
        <v>4.7446999999999999</v>
      </c>
      <c r="D45" s="965">
        <v>-1.5189999999999999</v>
      </c>
      <c r="E45" s="966">
        <v>1.14E-2</v>
      </c>
    </row>
    <row r="46" spans="1:5" x14ac:dyDescent="0.25">
      <c r="A46" s="31">
        <f t="shared" si="0"/>
        <v>34.999999999999964</v>
      </c>
      <c r="B46" s="957">
        <v>1.135</v>
      </c>
      <c r="C46" s="964">
        <v>4.7872000000000003</v>
      </c>
      <c r="D46" s="965">
        <v>-1.696</v>
      </c>
      <c r="E46" s="966">
        <v>9.4999999999999998E-3</v>
      </c>
    </row>
    <row r="47" spans="1:5" x14ac:dyDescent="0.25">
      <c r="A47" s="31">
        <f t="shared" si="0"/>
        <v>35.999999999999943</v>
      </c>
      <c r="B47" s="957">
        <v>6.1360000000000001</v>
      </c>
      <c r="C47" s="964">
        <v>4.8231999999999999</v>
      </c>
      <c r="D47" s="965">
        <v>-1.6242000000000001</v>
      </c>
      <c r="E47" s="966">
        <v>8.5000000000000006E-3</v>
      </c>
    </row>
    <row r="48" spans="1:5" x14ac:dyDescent="0.25">
      <c r="A48" s="31">
        <f t="shared" si="0"/>
        <v>35.999999999999943</v>
      </c>
      <c r="B48" s="957">
        <v>6.1360000000000001</v>
      </c>
      <c r="C48" s="964">
        <v>4.8231999999999999</v>
      </c>
      <c r="D48" s="965">
        <v>-1.6242000000000001</v>
      </c>
      <c r="E48" s="966">
        <v>8.5000000000000006E-3</v>
      </c>
    </row>
    <row r="49" spans="1:5" x14ac:dyDescent="0.25">
      <c r="A49" s="31">
        <f t="shared" si="0"/>
        <v>36.999999999999744</v>
      </c>
      <c r="B49" s="957">
        <v>5.1369999999999996</v>
      </c>
      <c r="C49" s="964">
        <v>4.8535000000000004</v>
      </c>
      <c r="D49" s="965">
        <v>-1.8050999999999999</v>
      </c>
      <c r="E49" s="966">
        <v>6.6E-3</v>
      </c>
    </row>
    <row r="50" spans="1:5" x14ac:dyDescent="0.25">
      <c r="A50" s="31">
        <f t="shared" si="0"/>
        <v>37.999999999999545</v>
      </c>
      <c r="B50" s="957">
        <v>4.1379999999999999</v>
      </c>
      <c r="C50" s="964">
        <v>4.8780000000000001</v>
      </c>
      <c r="D50" s="965">
        <v>-1.9872000000000001</v>
      </c>
      <c r="E50" s="966">
        <v>5.3E-3</v>
      </c>
    </row>
    <row r="51" spans="1:5" x14ac:dyDescent="0.25">
      <c r="A51" s="31">
        <f t="shared" si="0"/>
        <v>38.999999999999702</v>
      </c>
      <c r="B51" s="957">
        <v>3.1389999999999998</v>
      </c>
      <c r="C51" s="964">
        <v>4.8963000000000001</v>
      </c>
      <c r="D51" s="965">
        <v>-2.1715</v>
      </c>
      <c r="E51" s="966">
        <v>3.5999999999999999E-3</v>
      </c>
    </row>
    <row r="52" spans="1:5" x14ac:dyDescent="0.25">
      <c r="A52" s="31">
        <f t="shared" si="0"/>
        <v>40.000000000000213</v>
      </c>
      <c r="B52" s="957">
        <v>2.14</v>
      </c>
      <c r="C52" s="964">
        <v>4.9076000000000004</v>
      </c>
      <c r="D52" s="965">
        <v>-2.3487</v>
      </c>
      <c r="E52" s="966">
        <v>1.8E-3</v>
      </c>
    </row>
    <row r="53" spans="1:5" x14ac:dyDescent="0.25">
      <c r="A53" s="31">
        <f t="shared" si="0"/>
        <v>41.000000000000014</v>
      </c>
      <c r="B53" s="957">
        <v>1.141</v>
      </c>
      <c r="C53" s="964">
        <v>4.9236000000000004</v>
      </c>
      <c r="D53" s="965">
        <v>-2.5186000000000002</v>
      </c>
      <c r="E53" s="966">
        <v>4.5999999999999999E-3</v>
      </c>
    </row>
    <row r="54" spans="1:5" x14ac:dyDescent="0.25">
      <c r="B54" s="957"/>
      <c r="C54" s="964"/>
      <c r="D54" s="965"/>
      <c r="E54" s="966"/>
    </row>
    <row r="55" spans="1:5" x14ac:dyDescent="0.25">
      <c r="B55" s="957"/>
      <c r="C55" s="964"/>
      <c r="D55" s="965"/>
      <c r="E55" s="966"/>
    </row>
    <row r="56" spans="1:5" x14ac:dyDescent="0.25">
      <c r="B56" s="957"/>
      <c r="C56" s="964"/>
      <c r="D56" s="965"/>
      <c r="E56" s="966"/>
    </row>
    <row r="57" spans="1:5" x14ac:dyDescent="0.25">
      <c r="B57" s="957"/>
      <c r="C57" s="964"/>
      <c r="D57" s="965"/>
      <c r="E57" s="966"/>
    </row>
    <row r="58" spans="1:5" x14ac:dyDescent="0.25">
      <c r="B58" s="957"/>
      <c r="C58" s="964"/>
      <c r="D58" s="965"/>
      <c r="E58" s="966"/>
    </row>
    <row r="59" spans="1:5" x14ac:dyDescent="0.25">
      <c r="B59" s="957"/>
      <c r="C59" s="964"/>
      <c r="D59" s="965"/>
      <c r="E59" s="966"/>
    </row>
    <row r="60" spans="1:5" x14ac:dyDescent="0.25">
      <c r="B60" s="957"/>
      <c r="C60" s="964"/>
      <c r="D60" s="965"/>
      <c r="E60" s="966"/>
    </row>
    <row r="61" spans="1:5" x14ac:dyDescent="0.25">
      <c r="B61" s="957"/>
      <c r="C61" s="964"/>
      <c r="D61" s="965"/>
      <c r="E61" s="966"/>
    </row>
    <row r="62" spans="1:5" x14ac:dyDescent="0.25">
      <c r="B62" s="957"/>
      <c r="C62" s="964"/>
      <c r="D62" s="965"/>
      <c r="E62" s="966"/>
    </row>
    <row r="63" spans="1:5" x14ac:dyDescent="0.25">
      <c r="B63" s="957"/>
      <c r="C63" s="964"/>
      <c r="D63" s="965"/>
      <c r="E63" s="966"/>
    </row>
    <row r="64" spans="1:5" x14ac:dyDescent="0.25">
      <c r="B64" s="957"/>
      <c r="C64" s="964"/>
      <c r="D64" s="965"/>
      <c r="E64" s="966"/>
    </row>
    <row r="65" spans="2:5" x14ac:dyDescent="0.25">
      <c r="B65" s="957"/>
      <c r="C65" s="964"/>
      <c r="D65" s="965"/>
      <c r="E65" s="966"/>
    </row>
    <row r="66" spans="2:5" x14ac:dyDescent="0.25">
      <c r="B66" s="957"/>
      <c r="C66" s="964"/>
      <c r="D66" s="965"/>
      <c r="E66" s="966"/>
    </row>
    <row r="67" spans="2:5" x14ac:dyDescent="0.25">
      <c r="B67" s="957"/>
      <c r="C67" s="964"/>
      <c r="D67" s="965"/>
      <c r="E67" s="966"/>
    </row>
    <row r="68" spans="2:5" x14ac:dyDescent="0.25">
      <c r="B68" s="957"/>
      <c r="C68" s="964"/>
      <c r="D68" s="965"/>
      <c r="E68" s="966"/>
    </row>
    <row r="69" spans="2:5" x14ac:dyDescent="0.25">
      <c r="B69" s="957"/>
      <c r="C69" s="964"/>
      <c r="D69" s="965"/>
      <c r="E69" s="966"/>
    </row>
    <row r="70" spans="2:5" x14ac:dyDescent="0.25">
      <c r="B70" s="957"/>
      <c r="C70" s="964"/>
      <c r="D70" s="965"/>
      <c r="E70" s="966"/>
    </row>
    <row r="71" spans="2:5" x14ac:dyDescent="0.25">
      <c r="B71" s="957"/>
      <c r="C71" s="964"/>
      <c r="D71" s="965"/>
      <c r="E71" s="966"/>
    </row>
    <row r="72" spans="2:5" x14ac:dyDescent="0.25">
      <c r="B72" s="957"/>
      <c r="C72" s="964"/>
      <c r="D72" s="965"/>
      <c r="E72" s="966"/>
    </row>
    <row r="73" spans="2:5" x14ac:dyDescent="0.25">
      <c r="B73" s="957"/>
      <c r="C73" s="964"/>
      <c r="D73" s="965"/>
      <c r="E73" s="966"/>
    </row>
    <row r="74" spans="2:5" x14ac:dyDescent="0.25">
      <c r="B74" s="957"/>
      <c r="C74" s="964"/>
      <c r="D74" s="965"/>
      <c r="E74" s="966"/>
    </row>
    <row r="75" spans="2:5" x14ac:dyDescent="0.25">
      <c r="B75" s="957"/>
      <c r="C75" s="964"/>
      <c r="D75" s="965"/>
      <c r="E75" s="966"/>
    </row>
    <row r="76" spans="2:5" x14ac:dyDescent="0.25">
      <c r="B76" s="957"/>
      <c r="C76" s="964"/>
      <c r="D76" s="965"/>
      <c r="E76" s="966"/>
    </row>
    <row r="77" spans="2:5" x14ac:dyDescent="0.25">
      <c r="B77" s="957"/>
      <c r="C77" s="964"/>
      <c r="D77" s="965"/>
      <c r="E77" s="966"/>
    </row>
    <row r="78" spans="2:5" x14ac:dyDescent="0.25">
      <c r="B78" s="957"/>
      <c r="C78" s="964"/>
      <c r="D78" s="965"/>
      <c r="E78" s="966"/>
    </row>
    <row r="79" spans="2:5" x14ac:dyDescent="0.25">
      <c r="B79" s="957"/>
      <c r="C79" s="964"/>
      <c r="D79" s="965"/>
      <c r="E79" s="966"/>
    </row>
    <row r="80" spans="2:5" x14ac:dyDescent="0.25">
      <c r="B80" s="957"/>
      <c r="C80" s="964"/>
      <c r="D80" s="965"/>
      <c r="E80" s="966"/>
    </row>
    <row r="81" spans="2:5" x14ac:dyDescent="0.25">
      <c r="B81" s="957"/>
      <c r="C81" s="964"/>
      <c r="D81" s="965"/>
      <c r="E81" s="966"/>
    </row>
    <row r="82" spans="2:5" x14ac:dyDescent="0.25">
      <c r="B82" s="957"/>
      <c r="C82" s="964"/>
      <c r="D82" s="965"/>
      <c r="E82" s="966"/>
    </row>
    <row r="83" spans="2:5" x14ac:dyDescent="0.25">
      <c r="B83" s="957"/>
      <c r="C83" s="964"/>
      <c r="D83" s="965"/>
      <c r="E83" s="966"/>
    </row>
    <row r="84" spans="2:5" x14ac:dyDescent="0.25">
      <c r="B84" s="957"/>
      <c r="C84" s="964"/>
      <c r="D84" s="965"/>
      <c r="E84" s="966"/>
    </row>
    <row r="85" spans="2:5" x14ac:dyDescent="0.25">
      <c r="B85" s="957"/>
      <c r="C85" s="964"/>
      <c r="D85" s="965"/>
      <c r="E85" s="966"/>
    </row>
    <row r="86" spans="2:5" x14ac:dyDescent="0.25">
      <c r="B86" s="957"/>
      <c r="C86" s="964"/>
      <c r="D86" s="965"/>
      <c r="E86" s="966"/>
    </row>
    <row r="87" spans="2:5" x14ac:dyDescent="0.25">
      <c r="B87" s="957"/>
      <c r="C87" s="964"/>
      <c r="D87" s="965"/>
      <c r="E87" s="966"/>
    </row>
    <row r="88" spans="2:5" x14ac:dyDescent="0.25">
      <c r="B88" s="957"/>
      <c r="C88" s="964"/>
      <c r="D88" s="965"/>
      <c r="E88" s="966"/>
    </row>
    <row r="89" spans="2:5" x14ac:dyDescent="0.25">
      <c r="B89" s="957"/>
      <c r="C89" s="964"/>
      <c r="D89" s="965"/>
      <c r="E89" s="966"/>
    </row>
    <row r="90" spans="2:5" x14ac:dyDescent="0.25">
      <c r="B90" s="957"/>
      <c r="C90" s="964"/>
      <c r="D90" s="965"/>
      <c r="E90" s="966"/>
    </row>
    <row r="91" spans="2:5" x14ac:dyDescent="0.25">
      <c r="B91" s="957"/>
      <c r="C91" s="964"/>
      <c r="D91" s="965"/>
      <c r="E91" s="966"/>
    </row>
    <row r="92" spans="2:5" x14ac:dyDescent="0.25">
      <c r="B92" s="957"/>
      <c r="C92" s="964"/>
      <c r="D92" s="965"/>
      <c r="E92" s="966"/>
    </row>
    <row r="93" spans="2:5" x14ac:dyDescent="0.25">
      <c r="B93" s="957"/>
      <c r="C93" s="964"/>
      <c r="D93" s="965"/>
      <c r="E93" s="966"/>
    </row>
    <row r="94" spans="2:5" x14ac:dyDescent="0.25">
      <c r="B94" s="957"/>
      <c r="C94" s="964"/>
      <c r="D94" s="965"/>
      <c r="E94" s="966"/>
    </row>
    <row r="95" spans="2:5" x14ac:dyDescent="0.25">
      <c r="B95" s="957"/>
      <c r="C95" s="964"/>
      <c r="D95" s="965"/>
      <c r="E95" s="966"/>
    </row>
    <row r="96" spans="2:5" x14ac:dyDescent="0.25">
      <c r="B96" s="957"/>
      <c r="C96" s="964"/>
      <c r="D96" s="965"/>
      <c r="E96" s="966"/>
    </row>
    <row r="97" spans="2:5" x14ac:dyDescent="0.25">
      <c r="B97" s="957"/>
      <c r="C97" s="964"/>
      <c r="D97" s="965"/>
      <c r="E97" s="966"/>
    </row>
    <row r="98" spans="2:5" x14ac:dyDescent="0.25">
      <c r="B98" s="957"/>
      <c r="C98" s="964"/>
      <c r="D98" s="965"/>
      <c r="E98" s="966"/>
    </row>
    <row r="99" spans="2:5" x14ac:dyDescent="0.25">
      <c r="B99" s="957"/>
      <c r="C99" s="964"/>
      <c r="D99" s="965"/>
      <c r="E99" s="966"/>
    </row>
    <row r="100" spans="2:5" x14ac:dyDescent="0.25">
      <c r="B100" s="957"/>
      <c r="C100" s="964"/>
      <c r="D100" s="965"/>
      <c r="E100" s="966"/>
    </row>
    <row r="101" spans="2:5" x14ac:dyDescent="0.25">
      <c r="B101" s="957"/>
      <c r="C101" s="964"/>
      <c r="D101" s="965"/>
      <c r="E101" s="966"/>
    </row>
    <row r="102" spans="2:5" x14ac:dyDescent="0.25">
      <c r="B102" s="957"/>
      <c r="C102" s="964"/>
      <c r="D102" s="965"/>
      <c r="E102" s="966"/>
    </row>
    <row r="103" spans="2:5" x14ac:dyDescent="0.25">
      <c r="B103" s="957"/>
      <c r="C103" s="964"/>
      <c r="D103" s="965"/>
      <c r="E103" s="966"/>
    </row>
    <row r="104" spans="2:5" x14ac:dyDescent="0.25">
      <c r="B104" s="957"/>
      <c r="C104" s="964"/>
      <c r="D104" s="965"/>
      <c r="E104" s="966"/>
    </row>
    <row r="105" spans="2:5" x14ac:dyDescent="0.25">
      <c r="B105" s="957"/>
      <c r="C105" s="964"/>
      <c r="D105" s="965"/>
      <c r="E105" s="966"/>
    </row>
    <row r="106" spans="2:5" x14ac:dyDescent="0.25">
      <c r="B106" s="957"/>
      <c r="C106" s="964"/>
      <c r="D106" s="965"/>
      <c r="E106" s="966"/>
    </row>
    <row r="107" spans="2:5" x14ac:dyDescent="0.25">
      <c r="B107" s="957"/>
      <c r="C107" s="964"/>
      <c r="D107" s="965"/>
      <c r="E107" s="966"/>
    </row>
    <row r="108" spans="2:5" x14ac:dyDescent="0.25">
      <c r="B108" s="957"/>
      <c r="C108" s="964"/>
      <c r="D108" s="965"/>
      <c r="E108" s="966"/>
    </row>
    <row r="109" spans="2:5" x14ac:dyDescent="0.25">
      <c r="B109" s="957"/>
      <c r="C109" s="964"/>
      <c r="D109" s="965"/>
      <c r="E109" s="966"/>
    </row>
    <row r="110" spans="2:5" x14ac:dyDescent="0.25">
      <c r="B110" s="957"/>
      <c r="C110" s="964"/>
      <c r="D110" s="965"/>
      <c r="E110" s="966"/>
    </row>
    <row r="111" spans="2:5" x14ac:dyDescent="0.25">
      <c r="B111" s="957"/>
      <c r="C111" s="964"/>
      <c r="D111" s="965"/>
      <c r="E111" s="966"/>
    </row>
    <row r="112" spans="2:5" x14ac:dyDescent="0.25">
      <c r="B112" s="957"/>
      <c r="C112" s="964"/>
      <c r="D112" s="965"/>
      <c r="E112" s="966"/>
    </row>
    <row r="113" spans="2:5" x14ac:dyDescent="0.25">
      <c r="B113" s="957"/>
      <c r="C113" s="964"/>
      <c r="D113" s="965"/>
      <c r="E113" s="966"/>
    </row>
    <row r="114" spans="2:5" x14ac:dyDescent="0.25">
      <c r="B114" s="957"/>
      <c r="C114" s="964"/>
      <c r="D114" s="965"/>
      <c r="E114" s="966"/>
    </row>
    <row r="115" spans="2:5" x14ac:dyDescent="0.25">
      <c r="B115" s="957"/>
      <c r="C115" s="964"/>
      <c r="D115" s="965"/>
      <c r="E115" s="966"/>
    </row>
    <row r="116" spans="2:5" x14ac:dyDescent="0.25">
      <c r="B116" s="957"/>
      <c r="C116" s="964"/>
      <c r="D116" s="965"/>
      <c r="E116" s="966"/>
    </row>
    <row r="117" spans="2:5" x14ac:dyDescent="0.25">
      <c r="B117" s="957"/>
      <c r="C117" s="964"/>
      <c r="D117" s="965"/>
      <c r="E117" s="966"/>
    </row>
    <row r="118" spans="2:5" x14ac:dyDescent="0.25">
      <c r="B118" s="957"/>
      <c r="C118" s="964"/>
      <c r="D118" s="965"/>
      <c r="E118" s="966"/>
    </row>
    <row r="119" spans="2:5" x14ac:dyDescent="0.25">
      <c r="B119" s="957"/>
      <c r="C119" s="964"/>
      <c r="D119" s="965"/>
      <c r="E119" s="966"/>
    </row>
    <row r="120" spans="2:5" x14ac:dyDescent="0.25">
      <c r="B120" s="957"/>
      <c r="C120" s="964"/>
      <c r="D120" s="965"/>
      <c r="E120" s="966"/>
    </row>
    <row r="121" spans="2:5" x14ac:dyDescent="0.25">
      <c r="B121" s="957"/>
      <c r="C121" s="964"/>
      <c r="D121" s="965"/>
      <c r="E121" s="966"/>
    </row>
    <row r="122" spans="2:5" x14ac:dyDescent="0.25">
      <c r="B122" s="957"/>
      <c r="C122" s="964"/>
      <c r="D122" s="965"/>
      <c r="E122" s="966"/>
    </row>
    <row r="123" spans="2:5" x14ac:dyDescent="0.25">
      <c r="B123" s="957"/>
      <c r="C123" s="964"/>
      <c r="D123" s="965"/>
      <c r="E123" s="966"/>
    </row>
    <row r="124" spans="2:5" x14ac:dyDescent="0.25">
      <c r="B124" s="957"/>
      <c r="C124" s="964"/>
      <c r="D124" s="965"/>
      <c r="E124" s="966"/>
    </row>
    <row r="125" spans="2:5" x14ac:dyDescent="0.25">
      <c r="B125" s="957"/>
      <c r="C125" s="964"/>
      <c r="D125" s="965"/>
      <c r="E125" s="966"/>
    </row>
    <row r="126" spans="2:5" x14ac:dyDescent="0.25">
      <c r="B126" s="957"/>
      <c r="C126" s="964"/>
      <c r="D126" s="965"/>
      <c r="E126" s="966"/>
    </row>
    <row r="127" spans="2:5" x14ac:dyDescent="0.25">
      <c r="B127" s="957"/>
      <c r="C127" s="964"/>
      <c r="D127" s="965"/>
      <c r="E127" s="966"/>
    </row>
    <row r="128" spans="2:5" x14ac:dyDescent="0.25">
      <c r="B128" s="957"/>
      <c r="C128" s="964"/>
      <c r="D128" s="965"/>
      <c r="E128" s="966"/>
    </row>
    <row r="129" spans="2:5" x14ac:dyDescent="0.25">
      <c r="B129" s="957"/>
      <c r="C129" s="964"/>
      <c r="D129" s="965"/>
      <c r="E129" s="966"/>
    </row>
    <row r="130" spans="2:5" x14ac:dyDescent="0.25">
      <c r="B130" s="957"/>
      <c r="C130" s="964"/>
      <c r="D130" s="965"/>
      <c r="E130" s="966"/>
    </row>
    <row r="131" spans="2:5" x14ac:dyDescent="0.25">
      <c r="B131" s="957"/>
      <c r="C131" s="964"/>
      <c r="D131" s="965"/>
      <c r="E131" s="966"/>
    </row>
    <row r="132" spans="2:5" x14ac:dyDescent="0.25">
      <c r="B132" s="957"/>
      <c r="C132" s="964"/>
      <c r="D132" s="965"/>
      <c r="E132" s="966"/>
    </row>
    <row r="133" spans="2:5" x14ac:dyDescent="0.25">
      <c r="B133" s="957"/>
      <c r="C133" s="964"/>
      <c r="D133" s="965"/>
      <c r="E133" s="966"/>
    </row>
    <row r="134" spans="2:5" x14ac:dyDescent="0.25">
      <c r="B134" s="957"/>
      <c r="C134" s="964"/>
      <c r="D134" s="965"/>
      <c r="E134" s="966"/>
    </row>
    <row r="135" spans="2:5" x14ac:dyDescent="0.25">
      <c r="B135" s="957"/>
      <c r="C135" s="964"/>
      <c r="D135" s="965"/>
      <c r="E135" s="966"/>
    </row>
    <row r="136" spans="2:5" x14ac:dyDescent="0.25">
      <c r="B136" s="957"/>
      <c r="C136" s="964"/>
      <c r="D136" s="965"/>
      <c r="E136" s="966"/>
    </row>
    <row r="137" spans="2:5" x14ac:dyDescent="0.25">
      <c r="B137" s="957"/>
      <c r="C137" s="964"/>
      <c r="D137" s="965"/>
      <c r="E137" s="966"/>
    </row>
    <row r="138" spans="2:5" x14ac:dyDescent="0.25">
      <c r="B138" s="957"/>
      <c r="C138" s="964"/>
      <c r="D138" s="965"/>
      <c r="E138" s="966"/>
    </row>
    <row r="139" spans="2:5" x14ac:dyDescent="0.25">
      <c r="B139" s="957"/>
      <c r="C139" s="964"/>
      <c r="D139" s="965"/>
      <c r="E139" s="966"/>
    </row>
    <row r="140" spans="2:5" x14ac:dyDescent="0.25">
      <c r="B140" s="957"/>
      <c r="C140" s="964"/>
      <c r="D140" s="965"/>
      <c r="E140" s="966"/>
    </row>
    <row r="141" spans="2:5" x14ac:dyDescent="0.25">
      <c r="B141" s="957"/>
      <c r="C141" s="964"/>
      <c r="D141" s="965"/>
      <c r="E141" s="966"/>
    </row>
    <row r="142" spans="2:5" x14ac:dyDescent="0.25">
      <c r="B142" s="957"/>
      <c r="C142" s="964"/>
      <c r="D142" s="965"/>
      <c r="E142" s="966"/>
    </row>
    <row r="143" spans="2:5" x14ac:dyDescent="0.25">
      <c r="B143" s="957"/>
      <c r="C143" s="964"/>
      <c r="D143" s="965"/>
      <c r="E143" s="966"/>
    </row>
    <row r="144" spans="2:5" x14ac:dyDescent="0.25">
      <c r="B144" s="957"/>
      <c r="C144" s="964"/>
      <c r="D144" s="965"/>
      <c r="E144" s="966"/>
    </row>
    <row r="145" spans="2:5" x14ac:dyDescent="0.25">
      <c r="B145" s="957"/>
      <c r="C145" s="964"/>
      <c r="D145" s="965"/>
      <c r="E145" s="966"/>
    </row>
    <row r="146" spans="2:5" x14ac:dyDescent="0.25">
      <c r="B146" s="957"/>
      <c r="C146" s="964"/>
      <c r="D146" s="965"/>
      <c r="E146" s="966"/>
    </row>
    <row r="147" spans="2:5" x14ac:dyDescent="0.25">
      <c r="B147" s="957"/>
      <c r="C147" s="964"/>
      <c r="D147" s="965"/>
      <c r="E147" s="966"/>
    </row>
    <row r="148" spans="2:5" x14ac:dyDescent="0.25">
      <c r="B148" s="957"/>
      <c r="C148" s="964"/>
      <c r="D148" s="965"/>
      <c r="E148" s="966"/>
    </row>
    <row r="149" spans="2:5" x14ac:dyDescent="0.25">
      <c r="B149" s="957"/>
      <c r="C149" s="964"/>
      <c r="D149" s="965"/>
      <c r="E149" s="966"/>
    </row>
    <row r="150" spans="2:5" x14ac:dyDescent="0.25">
      <c r="B150" s="958"/>
      <c r="C150" s="967"/>
      <c r="D150" s="968"/>
      <c r="E150" s="969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2025-02-26T21:39:08Z</dcterms:modified>
</cp:coreProperties>
</file>